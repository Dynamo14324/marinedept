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16.xml" ContentType="application/vnd.ms-office.chartcolorstyle+xml"/>
  <Override PartName="/xl/charts/colors17.xml" ContentType="application/vnd.ms-office.chartcolorstyle+xml"/>
  <Override PartName="/xl/charts/colors18.xml" ContentType="application/vnd.ms-office.chartcolorstyle+xml"/>
  <Override PartName="/xl/charts/colors19.xml" ContentType="application/vnd.ms-office.chartcolorstyle+xml"/>
  <Override PartName="/xl/charts/colors2.xml" ContentType="application/vnd.ms-office.chartcolorstyle+xml"/>
  <Override PartName="/xl/charts/colors20.xml" ContentType="application/vnd.ms-office.chartcolorstyle+xml"/>
  <Override PartName="/xl/charts/colors21.xml" ContentType="application/vnd.ms-office.chartcolorstyle+xml"/>
  <Override PartName="/xl/charts/colors22.xml" ContentType="application/vnd.ms-office.chartcolorstyle+xml"/>
  <Override PartName="/xl/charts/colors23.xml" ContentType="application/vnd.ms-office.chartcolorstyle+xml"/>
  <Override PartName="/xl/charts/colors24.xml" ContentType="application/vnd.ms-office.chartcolorstyle+xml"/>
  <Override PartName="/xl/charts/colors25.xml" ContentType="application/vnd.ms-office.chartcolorstyle+xml"/>
  <Override PartName="/xl/charts/colors26.xml" ContentType="application/vnd.ms-office.chartcolorstyle+xml"/>
  <Override PartName="/xl/charts/colors27.xml" ContentType="application/vnd.ms-office.chartcolorstyle+xml"/>
  <Override PartName="/xl/charts/colors28.xml" ContentType="application/vnd.ms-office.chartcolorstyle+xml"/>
  <Override PartName="/xl/charts/colors29.xml" ContentType="application/vnd.ms-office.chartcolorstyle+xml"/>
  <Override PartName="/xl/charts/colors3.xml" ContentType="application/vnd.ms-office.chartcolorstyle+xml"/>
  <Override PartName="/xl/charts/colors30.xml" ContentType="application/vnd.ms-office.chartcolorstyle+xml"/>
  <Override PartName="/xl/charts/colors31.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16.xml" ContentType="application/vnd.ms-office.chartstyle+xml"/>
  <Override PartName="/xl/charts/style17.xml" ContentType="application/vnd.ms-office.chartstyle+xml"/>
  <Override PartName="/xl/charts/style18.xml" ContentType="application/vnd.ms-office.chartstyle+xml"/>
  <Override PartName="/xl/charts/style19.xml" ContentType="application/vnd.ms-office.chartstyle+xml"/>
  <Override PartName="/xl/charts/style2.xml" ContentType="application/vnd.ms-office.chartstyle+xml"/>
  <Override PartName="/xl/charts/style20.xml" ContentType="application/vnd.ms-office.chartstyle+xml"/>
  <Override PartName="/xl/charts/style21.xml" ContentType="application/vnd.ms-office.chartstyle+xml"/>
  <Override PartName="/xl/charts/style22.xml" ContentType="application/vnd.ms-office.chartstyle+xml"/>
  <Override PartName="/xl/charts/style23.xml" ContentType="application/vnd.ms-office.chartstyle+xml"/>
  <Override PartName="/xl/charts/style24.xml" ContentType="application/vnd.ms-office.chartstyle+xml"/>
  <Override PartName="/xl/charts/style25.xml" ContentType="application/vnd.ms-office.chartstyle+xml"/>
  <Override PartName="/xl/charts/style26.xml" ContentType="application/vnd.ms-office.chartstyle+xml"/>
  <Override PartName="/xl/charts/style27.xml" ContentType="application/vnd.ms-office.chartstyle+xml"/>
  <Override PartName="/xl/charts/style28.xml" ContentType="application/vnd.ms-office.chartstyle+xml"/>
  <Override PartName="/xl/charts/style29.xml" ContentType="application/vnd.ms-office.chartstyle+xml"/>
  <Override PartName="/xl/charts/style3.xml" ContentType="application/vnd.ms-office.chartstyle+xml"/>
  <Override PartName="/xl/charts/style30.xml" ContentType="application/vnd.ms-office.chartstyle+xml"/>
  <Override PartName="/xl/charts/style31.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theme/themeOverride10.xml" ContentType="application/vnd.openxmlformats-officedocument.themeOverride+xml"/>
  <Override PartName="/xl/theme/themeOverride2.xml" ContentType="application/vnd.openxmlformats-officedocument.themeOverride+xml"/>
  <Override PartName="/xl/theme/themeOverride3.xml" ContentType="application/vnd.openxmlformats-officedocument.themeOverride+xml"/>
  <Override PartName="/xl/theme/themeOverride4.xml" ContentType="application/vnd.openxmlformats-officedocument.themeOverride+xml"/>
  <Override PartName="/xl/theme/themeOverride5.xml" ContentType="application/vnd.openxmlformats-officedocument.themeOverride+xml"/>
  <Override PartName="/xl/theme/themeOverride6.xml" ContentType="application/vnd.openxmlformats-officedocument.themeOverride+xml"/>
  <Override PartName="/xl/theme/themeOverride7.xml" ContentType="application/vnd.openxmlformats-officedocument.themeOverride+xml"/>
  <Override PartName="/xl/theme/themeOverride8.xml" ContentType="application/vnd.openxmlformats-officedocument.themeOverride+xml"/>
  <Override PartName="/xl/theme/themeOverride9.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hidePivotFieldList="1"/>
  <workbookProtection workbookAlgorithmName="SHA-512" workbookHashValue="9/iZOm7IkgqFCmHbryneUH5wWPixnmKTpEz2zBEvxeepAFra0TV3fwGaMrUarkDmsdM7o1d5gd5LuKqjb5sqng==" workbookSaltValue="M8FTruwHvVwt51iFDHIpNQ==" workbookSpinCount="100000" lockStructure="1"/>
  <bookViews>
    <workbookView windowWidth="28800" windowHeight="12180" tabRatio="911" firstSheet="1" activeTab="5"/>
  </bookViews>
  <sheets>
    <sheet name="Guide" sheetId="3" r:id="rId1"/>
    <sheet name="IA Planner" sheetId="26" r:id="rId2"/>
    <sheet name=" IA-SI DRY" sheetId="2" r:id="rId3"/>
    <sheet name="IA-SI  TANKER" sheetId="4" r:id="rId4"/>
    <sheet name="Dry Data" sheetId="7" r:id="rId5"/>
    <sheet name="Tanker Data" sheetId="9" r:id="rId6"/>
    <sheet name="Int.Aud. Category" sheetId="25" r:id="rId7"/>
    <sheet name="Saf.Insp.category" sheetId="14" r:id="rId8"/>
    <sheet name="Nav.Audit Comparison" sheetId="17" r:id="rId9"/>
    <sheet name="Int Audit fleet graph" sheetId="15" r:id="rId10"/>
    <sheet name="Saf Insp fleet Graph" sheetId="16" r:id="rId11"/>
    <sheet name="IA-Deficiencies" sheetId="21" r:id="rId12"/>
    <sheet name="Int Audit Year Tank-Dry" sheetId="19" r:id="rId13"/>
    <sheet name="Saf. Insp. Year Tank-Dry " sheetId="20" r:id="rId14"/>
    <sheet name="SI-Deficiencies " sheetId="22" r:id="rId15"/>
    <sheet name="Nav Audit Graph" sheetId="18" r:id="rId16"/>
    <sheet name="Tanker Graph by inspector" sheetId="11" r:id="rId17"/>
    <sheet name="Dry Graph By Ispector " sheetId="8" r:id="rId18"/>
    <sheet name="Rem-Nc-Obs Tanker" sheetId="23" r:id="rId19"/>
    <sheet name="Rem-Nc-Obs Dry" sheetId="24" r:id="rId20"/>
  </sheets>
  <definedNames>
    <definedName name="_xlnm._FilterDatabase" localSheetId="2" hidden="1">' IA-SI DRY'!$A$1:$K$16</definedName>
    <definedName name="_xlnm._FilterDatabase" localSheetId="3" hidden="1">'IA-SI  TANKER'!$A$1:$K$33</definedName>
    <definedName name="_xlnm._FilterDatabase" localSheetId="5" hidden="1">'Tanker Data'!$A$1:$AW$122</definedName>
    <definedName name="_xlnm._FilterDatabase" localSheetId="4" hidden="1">'Dry Data'!$A$2:$AV$46</definedName>
    <definedName name="MarineSuperintendent">Guide!$A$35:$A$51</definedName>
    <definedName name="MS">Guide!$A$35:$A$37</definedName>
    <definedName name="Place">Guide!$A$39:$A$39</definedName>
    <definedName name="Superintendent">Guide!$A$35:$A$37</definedName>
    <definedName name="VisitPlace">Guide!$A$52:$A$53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<sst xmlns="http://schemas.openxmlformats.org/spreadsheetml/2006/main" count="1487" uniqueCount="406">
  <si>
    <t>Guideline to use this folder</t>
  </si>
  <si>
    <r>
      <rPr>
        <sz val="11"/>
        <color theme="1"/>
        <rFont val="Calibri"/>
        <charset val="134"/>
        <scheme val="minor"/>
      </rPr>
      <t>In the sheets</t>
    </r>
    <r>
      <rPr>
        <b/>
        <sz val="11"/>
        <color theme="1"/>
        <rFont val="Calibri"/>
        <charset val="134"/>
        <scheme val="minor"/>
      </rPr>
      <t xml:space="preserve"> "IA-SI TANKER"</t>
    </r>
    <r>
      <rPr>
        <sz val="11"/>
        <color theme="1"/>
        <rFont val="Calibri"/>
        <charset val="134"/>
        <scheme val="minor"/>
      </rPr>
      <t xml:space="preserve"> and "</t>
    </r>
    <r>
      <rPr>
        <b/>
        <sz val="11"/>
        <color theme="1"/>
        <rFont val="Calibri"/>
        <charset val="134"/>
        <scheme val="minor"/>
      </rPr>
      <t>IA-SI DRY"</t>
    </r>
    <r>
      <rPr>
        <sz val="11"/>
        <color theme="1"/>
        <rFont val="Calibri"/>
        <charset val="134"/>
        <scheme val="minor"/>
      </rPr>
      <t>:</t>
    </r>
  </si>
  <si>
    <t>Insert only the date in which Internal Audit and Safety Inspection are carried out</t>
  </si>
  <si>
    <t>Expiring dates will be calculated authomatically in order to produce the schedule/Plan according to the below legend</t>
  </si>
  <si>
    <r>
      <rPr>
        <b/>
        <sz val="11"/>
        <rFont val="Wingdings"/>
        <charset val="2"/>
      </rPr>
      <t>l</t>
    </r>
    <r>
      <rPr>
        <b/>
        <sz val="9"/>
        <rFont val="Wingdings"/>
        <charset val="2"/>
      </rPr>
      <t xml:space="preserve"> </t>
    </r>
    <r>
      <rPr>
        <b/>
        <sz val="9"/>
        <rFont val="Calibri"/>
        <charset val="134"/>
        <scheme val="minor"/>
      </rPr>
      <t>Black light =</t>
    </r>
    <r>
      <rPr>
        <b/>
        <sz val="9"/>
        <color rgb="FF3333FF"/>
        <rFont val="Calibri"/>
        <charset val="134"/>
        <scheme val="minor"/>
      </rPr>
      <t xml:space="preserve"> current date</t>
    </r>
    <r>
      <rPr>
        <b/>
        <sz val="9"/>
        <rFont val="Calibri"/>
        <charset val="134"/>
        <scheme val="minor"/>
      </rPr>
      <t xml:space="preserve"> &gt; anniversay date + 90 days</t>
    </r>
  </si>
  <si>
    <r>
      <rPr>
        <b/>
        <sz val="11"/>
        <color rgb="FFFF0000"/>
        <rFont val="Wingdings"/>
        <charset val="2"/>
      </rPr>
      <t>l</t>
    </r>
    <r>
      <rPr>
        <b/>
        <sz val="9"/>
        <rFont val="Wingdings"/>
        <charset val="2"/>
      </rPr>
      <t xml:space="preserve"> </t>
    </r>
    <r>
      <rPr>
        <b/>
        <sz val="9"/>
        <rFont val="Calibri"/>
        <charset val="134"/>
        <scheme val="minor"/>
      </rPr>
      <t xml:space="preserve">Red light =  anniversary date &lt; </t>
    </r>
    <r>
      <rPr>
        <b/>
        <sz val="9"/>
        <color rgb="FF3333FF"/>
        <rFont val="Calibri"/>
        <charset val="134"/>
        <scheme val="minor"/>
      </rPr>
      <t>current date</t>
    </r>
    <r>
      <rPr>
        <b/>
        <sz val="9"/>
        <rFont val="Calibri"/>
        <charset val="134"/>
        <scheme val="minor"/>
      </rPr>
      <t xml:space="preserve"> &lt; anniversary date + 90 days</t>
    </r>
  </si>
  <si>
    <r>
      <rPr>
        <b/>
        <sz val="11"/>
        <color rgb="FFFFCC66"/>
        <rFont val="Wingdings"/>
        <charset val="2"/>
      </rPr>
      <t>l</t>
    </r>
    <r>
      <rPr>
        <b/>
        <sz val="9"/>
        <rFont val="Wingdings"/>
        <charset val="2"/>
      </rPr>
      <t xml:space="preserve"> </t>
    </r>
    <r>
      <rPr>
        <b/>
        <sz val="9"/>
        <rFont val="Calibri"/>
        <charset val="134"/>
        <scheme val="minor"/>
      </rPr>
      <t xml:space="preserve">Yellow light = anniversay date - 30 days &lt; </t>
    </r>
    <r>
      <rPr>
        <b/>
        <sz val="9"/>
        <color rgb="FF3333FF"/>
        <rFont val="Calibri"/>
        <charset val="134"/>
        <scheme val="minor"/>
      </rPr>
      <t>current day</t>
    </r>
    <r>
      <rPr>
        <b/>
        <sz val="9"/>
        <rFont val="Calibri"/>
        <charset val="134"/>
        <scheme val="minor"/>
      </rPr>
      <t xml:space="preserve"> &lt; anniversay date</t>
    </r>
  </si>
  <si>
    <r>
      <rPr>
        <b/>
        <sz val="11"/>
        <color rgb="FF00B050"/>
        <rFont val="Wingdings"/>
        <charset val="2"/>
      </rPr>
      <t>l</t>
    </r>
    <r>
      <rPr>
        <b/>
        <sz val="9"/>
        <rFont val="Wingdings"/>
        <charset val="2"/>
      </rPr>
      <t xml:space="preserve"> </t>
    </r>
    <r>
      <rPr>
        <b/>
        <sz val="9"/>
        <rFont val="Calibri"/>
        <charset val="134"/>
        <scheme val="minor"/>
      </rPr>
      <t xml:space="preserve">Green light = </t>
    </r>
    <r>
      <rPr>
        <b/>
        <sz val="9"/>
        <color rgb="FF3333FF"/>
        <rFont val="Calibri"/>
        <charset val="134"/>
        <scheme val="minor"/>
      </rPr>
      <t>current date</t>
    </r>
    <r>
      <rPr>
        <b/>
        <sz val="9"/>
        <rFont val="Calibri"/>
        <charset val="134"/>
        <scheme val="minor"/>
      </rPr>
      <t xml:space="preserve"> &lt;  anniversay date - 30 days</t>
    </r>
  </si>
  <si>
    <r>
      <rPr>
        <sz val="11"/>
        <color theme="1"/>
        <rFont val="Calibri"/>
        <charset val="134"/>
        <scheme val="minor"/>
      </rPr>
      <t>In the sheets</t>
    </r>
    <r>
      <rPr>
        <b/>
        <sz val="11"/>
        <color theme="1"/>
        <rFont val="Calibri"/>
        <charset val="134"/>
        <scheme val="minor"/>
      </rPr>
      <t xml:space="preserve"> "TANKER DATA"</t>
    </r>
    <r>
      <rPr>
        <sz val="11"/>
        <color theme="1"/>
        <rFont val="Calibri"/>
        <charset val="134"/>
        <scheme val="minor"/>
      </rPr>
      <t xml:space="preserve"> and "</t>
    </r>
    <r>
      <rPr>
        <b/>
        <sz val="11"/>
        <color theme="1"/>
        <rFont val="Calibri"/>
        <charset val="134"/>
        <scheme val="minor"/>
      </rPr>
      <t>DRY DATA"</t>
    </r>
    <r>
      <rPr>
        <sz val="11"/>
        <color theme="1"/>
        <rFont val="Calibri"/>
        <charset val="134"/>
        <scheme val="minor"/>
      </rPr>
      <t>:</t>
    </r>
  </si>
  <si>
    <t>For each vessel are available 4 raws. Each raw must be dedicated to one visit on board, during which one or more kind of audits/inspections can be carried out</t>
  </si>
  <si>
    <r>
      <rPr>
        <b/>
        <sz val="11"/>
        <rFont val="Symbol"/>
        <charset val="2"/>
      </rPr>
      <t xml:space="preserve">· </t>
    </r>
    <r>
      <rPr>
        <b/>
        <sz val="11"/>
        <rFont val="Calibri"/>
        <charset val="134"/>
        <scheme val="minor"/>
      </rPr>
      <t>Select Superintendent and place through the drop down menu</t>
    </r>
  </si>
  <si>
    <r>
      <rPr>
        <b/>
        <sz val="11"/>
        <rFont val="Symbol"/>
        <charset val="2"/>
      </rPr>
      <t>·</t>
    </r>
    <r>
      <rPr>
        <b/>
        <sz val="11"/>
        <rFont val="Calibri"/>
        <charset val="134"/>
        <scheme val="minor"/>
      </rPr>
      <t xml:space="preserve"> Insert for each inspection/Audit, the date of execution, the date of report (date in which the report is ulpoaded into Shipnet or officially delivered to the vessel) and the nr. of NC and observations. Total remarks are calculaed automatically. </t>
    </r>
  </si>
  <si>
    <t xml:space="preserve">    The date  could also be a period from-to</t>
  </si>
  <si>
    <r>
      <rPr>
        <b/>
        <sz val="11"/>
        <color theme="1"/>
        <rFont val="Symbol"/>
        <charset val="2"/>
      </rPr>
      <t>·</t>
    </r>
    <r>
      <rPr>
        <b/>
        <sz val="11"/>
        <color theme="1"/>
        <rFont val="Calibri"/>
        <charset val="134"/>
        <scheme val="minor"/>
      </rPr>
      <t xml:space="preserve"> Insert the date of training if carried out (it could be also a period from-to)</t>
    </r>
  </si>
  <si>
    <r>
      <rPr>
        <b/>
        <sz val="11"/>
        <color theme="1"/>
        <rFont val="Symbol"/>
        <charset val="2"/>
      </rPr>
      <t xml:space="preserve">· </t>
    </r>
    <r>
      <rPr>
        <b/>
        <sz val="11"/>
        <color theme="1"/>
        <rFont val="Calibri"/>
        <charset val="134"/>
        <scheme val="minor"/>
      </rPr>
      <t xml:space="preserve">Insert the date of vetting and the name of vetting Company if carried out </t>
    </r>
  </si>
  <si>
    <r>
      <rPr>
        <b/>
        <sz val="11"/>
        <color theme="1"/>
        <rFont val="Symbol"/>
        <charset val="2"/>
      </rPr>
      <t xml:space="preserve">· </t>
    </r>
    <r>
      <rPr>
        <b/>
        <sz val="11"/>
        <color theme="1"/>
        <rFont val="Calibri"/>
        <charset val="134"/>
        <scheme val="minor"/>
      </rPr>
      <t>Complete witht Travel's informations as departure/return dates, boarding/disembarking dates, and total days</t>
    </r>
  </si>
  <si>
    <r>
      <rPr>
        <sz val="11"/>
        <color theme="1"/>
        <rFont val="Calibri"/>
        <charset val="134"/>
        <scheme val="minor"/>
      </rPr>
      <t xml:space="preserve">In the sheets </t>
    </r>
    <r>
      <rPr>
        <b/>
        <sz val="11"/>
        <color theme="1"/>
        <rFont val="Calibri"/>
        <charset val="134"/>
        <scheme val="minor"/>
      </rPr>
      <t>"Int. Aud. Category"</t>
    </r>
    <r>
      <rPr>
        <sz val="11"/>
        <color theme="1"/>
        <rFont val="Calibri"/>
        <charset val="134"/>
        <scheme val="minor"/>
      </rPr>
      <t xml:space="preserve"> and </t>
    </r>
    <r>
      <rPr>
        <b/>
        <sz val="11"/>
        <color theme="1"/>
        <rFont val="Calibri"/>
        <charset val="134"/>
        <scheme val="minor"/>
      </rPr>
      <t>"Saf Insp. Category"</t>
    </r>
    <r>
      <rPr>
        <sz val="11"/>
        <color theme="1"/>
        <rFont val="Calibri"/>
        <charset val="134"/>
        <scheme val="minor"/>
      </rPr>
      <t>:</t>
    </r>
  </si>
  <si>
    <r>
      <rPr>
        <sz val="11"/>
        <color theme="1"/>
        <rFont val="Calibri"/>
        <charset val="134"/>
        <scheme val="minor"/>
      </rPr>
      <t xml:space="preserve"> </t>
    </r>
    <r>
      <rPr>
        <sz val="11"/>
        <color theme="1"/>
        <rFont val="Symbol"/>
        <charset val="2"/>
      </rPr>
      <t xml:space="preserve">·  </t>
    </r>
    <r>
      <rPr>
        <sz val="11"/>
        <color theme="1"/>
        <rFont val="Calibri"/>
        <charset val="134"/>
        <scheme val="minor"/>
      </rPr>
      <t xml:space="preserve">For each vessel, after an inspection, insert or update the number of inspections (increasing of 1), </t>
    </r>
  </si>
  <si>
    <t xml:space="preserve">     and insert or  update the deficiencies raised, as per Sire categories, according to the quarter in which the inspections carried out</t>
  </si>
  <si>
    <r>
      <rPr>
        <sz val="11"/>
        <rFont val="Calibri"/>
        <charset val="134"/>
        <scheme val="minor"/>
      </rPr>
      <t>In the sheet "</t>
    </r>
    <r>
      <rPr>
        <b/>
        <sz val="11"/>
        <rFont val="Calibri"/>
        <charset val="134"/>
        <scheme val="minor"/>
      </rPr>
      <t>Nav. Audit Comparison</t>
    </r>
    <r>
      <rPr>
        <sz val="11"/>
        <rFont val="Calibri"/>
        <charset val="134"/>
        <scheme val="minor"/>
      </rPr>
      <t xml:space="preserve"> "</t>
    </r>
  </si>
  <si>
    <r>
      <rPr>
        <sz val="11"/>
        <color theme="1"/>
        <rFont val="Calibri"/>
        <charset val="134"/>
        <scheme val="minor"/>
      </rPr>
      <t xml:space="preserve"> </t>
    </r>
    <r>
      <rPr>
        <sz val="11"/>
        <color theme="1"/>
        <rFont val="Symbol"/>
        <charset val="2"/>
      </rPr>
      <t xml:space="preserve">·  </t>
    </r>
    <r>
      <rPr>
        <sz val="11"/>
        <color theme="1"/>
        <rFont val="Calibri"/>
        <charset val="134"/>
        <scheme val="minor"/>
      </rPr>
      <t xml:space="preserve">For each vessel, insert or update the number of observation raised by Master during navigation audit in the box </t>
    </r>
    <r>
      <rPr>
        <b/>
        <sz val="11"/>
        <color theme="1"/>
        <rFont val="Calibri"/>
        <charset val="134"/>
        <scheme val="minor"/>
      </rPr>
      <t xml:space="preserve">Navigation Audit Remarks by Master, </t>
    </r>
    <r>
      <rPr>
        <sz val="11"/>
        <color theme="1"/>
        <rFont val="Calibri"/>
        <charset val="134"/>
        <scheme val="minor"/>
      </rPr>
      <t xml:space="preserve">according to the quarter in which the inspections carried out  </t>
    </r>
  </si>
  <si>
    <r>
      <rPr>
        <sz val="11"/>
        <rFont val="Calibri"/>
        <charset val="134"/>
        <scheme val="minor"/>
      </rPr>
      <t xml:space="preserve">All other Sheets </t>
    </r>
    <r>
      <rPr>
        <sz val="11"/>
        <rFont val="Calibri"/>
        <charset val="134"/>
        <scheme val="minor"/>
      </rPr>
      <t xml:space="preserve">are automated and must not be touched </t>
    </r>
  </si>
  <si>
    <t>Manpreet</t>
  </si>
  <si>
    <t>Ashwin</t>
  </si>
  <si>
    <t>Venster</t>
  </si>
  <si>
    <t>Naveen</t>
  </si>
  <si>
    <t>Maqsood</t>
  </si>
  <si>
    <t>Avish</t>
  </si>
  <si>
    <t>Amandeep</t>
  </si>
  <si>
    <t>Ankur</t>
  </si>
  <si>
    <t>Jay</t>
  </si>
  <si>
    <t>Siddharth</t>
  </si>
  <si>
    <t>Kaustubh</t>
  </si>
  <si>
    <t>Lalit</t>
  </si>
  <si>
    <t>Rajneesh</t>
  </si>
  <si>
    <t>Others</t>
  </si>
  <si>
    <t>Port/Navigation</t>
  </si>
  <si>
    <t>Port</t>
  </si>
  <si>
    <t>Remote</t>
  </si>
  <si>
    <t>R</t>
  </si>
  <si>
    <t>VISIT PLANNER FOR 2024</t>
  </si>
  <si>
    <t>Note:</t>
  </si>
  <si>
    <t>Planning Month for Marine Visit</t>
  </si>
  <si>
    <t>xx</t>
  </si>
  <si>
    <t>Due Date for Marine Visit</t>
  </si>
  <si>
    <t>Done and next due is next year</t>
  </si>
  <si>
    <t>Planning Month for Technical Visit</t>
  </si>
  <si>
    <t>Due Date for Technial Visit</t>
  </si>
  <si>
    <t>Sr. No.</t>
  </si>
  <si>
    <t>Vessel Name</t>
  </si>
  <si>
    <t>Jan</t>
  </si>
  <si>
    <t>Feb</t>
  </si>
  <si>
    <t>Mar</t>
  </si>
  <si>
    <t>Apr</t>
  </si>
  <si>
    <t>May</t>
  </si>
  <si>
    <t>June</t>
  </si>
  <si>
    <t>July</t>
  </si>
  <si>
    <t>Aug</t>
  </si>
  <si>
    <t>Sept</t>
  </si>
  <si>
    <t>Oct</t>
  </si>
  <si>
    <t>Nov</t>
  </si>
  <si>
    <t>Dec</t>
  </si>
  <si>
    <t>BAGHEERA</t>
  </si>
  <si>
    <t>BANTRY BAY</t>
  </si>
  <si>
    <t>BRIGHT FUTURE</t>
  </si>
  <si>
    <t>CIELO DI HOUSTON</t>
  </si>
  <si>
    <t>CIELO ROSSO</t>
  </si>
  <si>
    <t>CLEAROCEAN MARIA</t>
  </si>
  <si>
    <t>CLEAROCEAN MARY</t>
  </si>
  <si>
    <t>CLEAROCEAN MATHILDE</t>
  </si>
  <si>
    <t>CLEAROCEAN MUSIC</t>
  </si>
  <si>
    <t>RUI FU XING (ex GLENDA MELANIE)</t>
  </si>
  <si>
    <t>GLENDA MELISSA</t>
  </si>
  <si>
    <t>GLENDA MELODY</t>
  </si>
  <si>
    <t>GLENDA MERYL</t>
  </si>
  <si>
    <t>HEROLDS BAY</t>
  </si>
  <si>
    <t>HIGH EXPLORER</t>
  </si>
  <si>
    <t>HIGH TRANSPORTER</t>
  </si>
  <si>
    <t>KALK BAY</t>
  </si>
  <si>
    <t>MOSSEL BAY</t>
  </si>
  <si>
    <t>PHILOTIMOS</t>
  </si>
  <si>
    <t>PHILOXENIA</t>
  </si>
  <si>
    <t>PNX CONQUEROR</t>
  </si>
  <si>
    <t>PS TOKYO</t>
  </si>
  <si>
    <t>PS VANCOUVER</t>
  </si>
  <si>
    <t>RUI FU SHENG</t>
  </si>
  <si>
    <t>TABLE BAY</t>
  </si>
  <si>
    <t>VIALLI</t>
  </si>
  <si>
    <t>VICTORIA BAY</t>
  </si>
  <si>
    <t>CIELO DEI MARONTI</t>
  </si>
  <si>
    <t>CIELO DI VALPARAISO</t>
  </si>
  <si>
    <t>MEDI ADRIATICO</t>
  </si>
  <si>
    <t>MEDI ATLANTICO</t>
  </si>
  <si>
    <t>MEDI CABOTO</t>
  </si>
  <si>
    <t>MEDI EGADI</t>
  </si>
  <si>
    <t>MEDI EGEO</t>
  </si>
  <si>
    <t>MEDI PALMAROLA</t>
  </si>
  <si>
    <t>MEDI SYDNEY</t>
  </si>
  <si>
    <t>MEDI TIRRENO</t>
  </si>
  <si>
    <t>MEDI ZUOZ</t>
  </si>
  <si>
    <t>Internal Audit / Inspection                  Scheduling-Plan</t>
  </si>
  <si>
    <t>Internal Audit</t>
  </si>
  <si>
    <t>Safety Inspection</t>
  </si>
  <si>
    <t>Technical Inspection</t>
  </si>
  <si>
    <t>Superintendent</t>
  </si>
  <si>
    <t>Status</t>
  </si>
  <si>
    <t xml:space="preserve">Last Audit date </t>
  </si>
  <si>
    <t xml:space="preserve">Expiring Audit date </t>
  </si>
  <si>
    <t xml:space="preserve">Last Inspection date </t>
  </si>
  <si>
    <t>Expiring Inspection date</t>
  </si>
  <si>
    <t>Status validity for 6 Months</t>
  </si>
  <si>
    <t>Cielo di Valparaiso</t>
  </si>
  <si>
    <t>Cielo Dei Maronti</t>
  </si>
  <si>
    <t>Medi Adriatico</t>
  </si>
  <si>
    <t>Medi Atlantico</t>
  </si>
  <si>
    <t>Medi Egadi</t>
  </si>
  <si>
    <t>Medi Egeo</t>
  </si>
  <si>
    <t>Medi Matsuura</t>
  </si>
  <si>
    <t>Medi Palmarola</t>
  </si>
  <si>
    <t>Gaurav</t>
  </si>
  <si>
    <t>Medi Sydney</t>
  </si>
  <si>
    <t>Medi Tirreno</t>
  </si>
  <si>
    <t>Medi Zuoz</t>
  </si>
  <si>
    <t>Medi Caboto</t>
  </si>
  <si>
    <t xml:space="preserve"> </t>
  </si>
  <si>
    <t xml:space="preserve">Remote </t>
  </si>
  <si>
    <r>
      <rPr>
        <b/>
        <strike/>
        <sz val="10"/>
        <rFont val="Calibri"/>
        <charset val="134"/>
        <scheme val="minor"/>
      </rPr>
      <t xml:space="preserve">Alpine Pembroke </t>
    </r>
    <r>
      <rPr>
        <b/>
        <strike/>
        <sz val="10"/>
        <color rgb="FFFF0000"/>
        <rFont val="Calibri"/>
        <charset val="134"/>
        <scheme val="minor"/>
      </rPr>
      <t>(Sold)</t>
    </r>
  </si>
  <si>
    <r>
      <rPr>
        <b/>
        <strike/>
        <sz val="10"/>
        <rFont val="Calibri"/>
        <charset val="134"/>
        <scheme val="minor"/>
      </rPr>
      <t xml:space="preserve">Alpine Pioneer </t>
    </r>
    <r>
      <rPr>
        <b/>
        <strike/>
        <sz val="10"/>
        <color rgb="FFFF0000"/>
        <rFont val="Calibri"/>
        <charset val="134"/>
        <scheme val="minor"/>
      </rPr>
      <t>(Sold)</t>
    </r>
  </si>
  <si>
    <t>Bagheera</t>
  </si>
  <si>
    <t>Bantry Bay</t>
  </si>
  <si>
    <t>Bright Future</t>
  </si>
  <si>
    <t>Cielo di Houston</t>
  </si>
  <si>
    <t>Cielo Rosso</t>
  </si>
  <si>
    <t>Clearocean Maria</t>
  </si>
  <si>
    <t>Clearocean Mary</t>
  </si>
  <si>
    <t>Clearocean Mathilde</t>
  </si>
  <si>
    <t>Clearocean Music</t>
  </si>
  <si>
    <t>Rui Fu Xing (Glenda Melanie)</t>
  </si>
  <si>
    <t>Glenda Melissa</t>
  </si>
  <si>
    <t>Glenda Melody</t>
  </si>
  <si>
    <t>Glenda Meryl</t>
  </si>
  <si>
    <t>Herolds Bay</t>
  </si>
  <si>
    <t>High Explorer</t>
  </si>
  <si>
    <t>High Mariner</t>
  </si>
  <si>
    <t>High Transporter</t>
  </si>
  <si>
    <t>Kalk Bay</t>
  </si>
  <si>
    <t>Mossel Bay</t>
  </si>
  <si>
    <t>Philotimos</t>
  </si>
  <si>
    <t>Philoxenia</t>
  </si>
  <si>
    <t>PNX Conqueror</t>
  </si>
  <si>
    <t>PS Tokyo (Gone)</t>
  </si>
  <si>
    <t>PS Vancouver</t>
  </si>
  <si>
    <t>Table Bay</t>
  </si>
  <si>
    <t>Rui Fu Sheng</t>
  </si>
  <si>
    <t>Vialli</t>
  </si>
  <si>
    <t>Victoria Bay</t>
  </si>
  <si>
    <t>INTERNAL AUDIT 2024</t>
  </si>
  <si>
    <t>SAFETY INSPECTION 2024</t>
  </si>
  <si>
    <t>NAVIGATIONAL AUDIT 2024</t>
  </si>
  <si>
    <t>ENVIRONMENTAL AUDIT 2024</t>
  </si>
  <si>
    <t>CARGO OPERATION AUDIT 2024</t>
  </si>
  <si>
    <t>ISPS AUDIT 2024</t>
  </si>
  <si>
    <t>MOORING AUDIT 2024</t>
  </si>
  <si>
    <t xml:space="preserve">Vessel </t>
  </si>
  <si>
    <t>Auditor Name</t>
  </si>
  <si>
    <t xml:space="preserve">Place                         </t>
  </si>
  <si>
    <t xml:space="preserve">Internal Audit date </t>
  </si>
  <si>
    <t xml:space="preserve">Report date </t>
  </si>
  <si>
    <t>Remarks</t>
  </si>
  <si>
    <t>NC</t>
  </si>
  <si>
    <t>Obs</t>
  </si>
  <si>
    <t xml:space="preserve">Safety Inspection date </t>
  </si>
  <si>
    <t>Nc</t>
  </si>
  <si>
    <t xml:space="preserve">Nav Audit date </t>
  </si>
  <si>
    <t xml:space="preserve">Env Audit date </t>
  </si>
  <si>
    <t xml:space="preserve">Cargo Op Audit date </t>
  </si>
  <si>
    <t xml:space="preserve">ISPS Audit date </t>
  </si>
  <si>
    <t xml:space="preserve">Imooriong Audit  date </t>
  </si>
  <si>
    <t>Training Date</t>
  </si>
  <si>
    <r>
      <rPr>
        <b/>
        <sz val="11"/>
        <color theme="1"/>
        <rFont val="Calibri"/>
        <charset val="134"/>
        <scheme val="minor"/>
      </rPr>
      <t xml:space="preserve">Vetting                                              </t>
    </r>
    <r>
      <rPr>
        <b/>
        <i/>
        <sz val="9"/>
        <color theme="1"/>
        <rFont val="Calibri"/>
        <charset val="134"/>
        <scheme val="minor"/>
      </rPr>
      <t>Date              Company</t>
    </r>
    <r>
      <rPr>
        <b/>
        <sz val="11"/>
        <color theme="1"/>
        <rFont val="Calibri"/>
        <charset val="134"/>
        <scheme val="minor"/>
      </rPr>
      <t xml:space="preserve"> </t>
    </r>
  </si>
  <si>
    <t xml:space="preserve">Embarkation Port </t>
  </si>
  <si>
    <t xml:space="preserve">Disembarkation Port </t>
  </si>
  <si>
    <t>Travel out</t>
  </si>
  <si>
    <t>Onboard</t>
  </si>
  <si>
    <t>Off vessel</t>
  </si>
  <si>
    <t>Travel in</t>
  </si>
  <si>
    <t>Total days</t>
  </si>
  <si>
    <t>Total days on Board</t>
  </si>
  <si>
    <t>07.08.2024</t>
  </si>
  <si>
    <t>Cristobal</t>
  </si>
  <si>
    <t>Balboa</t>
  </si>
  <si>
    <t>02-08-2024</t>
  </si>
  <si>
    <t>22-08-24</t>
  </si>
  <si>
    <t>02.08.2024</t>
  </si>
  <si>
    <t>22.08.2024</t>
  </si>
  <si>
    <t>Mobile</t>
  </si>
  <si>
    <t>26.06.2024</t>
  </si>
  <si>
    <t>Zhangjiagang</t>
  </si>
  <si>
    <t>08.08.2024</t>
  </si>
  <si>
    <t>Singapore</t>
  </si>
  <si>
    <t>30.09.2024</t>
  </si>
  <si>
    <t>Kaohsiung</t>
  </si>
  <si>
    <t>30.10.2024</t>
  </si>
  <si>
    <t>Onahama</t>
  </si>
  <si>
    <t>28.07.2024</t>
  </si>
  <si>
    <t>28.07.2027</t>
  </si>
  <si>
    <t>Paradip</t>
  </si>
  <si>
    <t>Haldia</t>
  </si>
  <si>
    <t>06.10.2024</t>
  </si>
  <si>
    <t>01.01.2024</t>
  </si>
  <si>
    <t>25.08.2024</t>
  </si>
  <si>
    <t>Vizag</t>
  </si>
  <si>
    <t>INTERNAL AUDIT</t>
  </si>
  <si>
    <t>NAVIGATION AUDIT</t>
  </si>
  <si>
    <t>ENVIRONMENTAL AUDIT</t>
  </si>
  <si>
    <t>CARGO AUDIT</t>
  </si>
  <si>
    <t>ISPS AUDIT</t>
  </si>
  <si>
    <t>MOORING AUDIT</t>
  </si>
  <si>
    <t>TOTAL PER INSPECTOR</t>
  </si>
  <si>
    <t>OBS</t>
  </si>
  <si>
    <t xml:space="preserve">Manpreet </t>
  </si>
  <si>
    <t>Other</t>
  </si>
  <si>
    <t>TOTAL</t>
  </si>
  <si>
    <t>SAFETY INSPECTION</t>
  </si>
  <si>
    <t>Non Conformity</t>
  </si>
  <si>
    <t>Observation</t>
  </si>
  <si>
    <t xml:space="preserve">Inspection </t>
  </si>
  <si>
    <t>Average Remarks</t>
  </si>
  <si>
    <t>Avrage Nc</t>
  </si>
  <si>
    <t>Average obs</t>
  </si>
  <si>
    <t>Average</t>
  </si>
  <si>
    <t>Average Nc</t>
  </si>
  <si>
    <t>NAVIGATION  AUDIT</t>
  </si>
  <si>
    <t>MOORING  AUDIT 2024</t>
  </si>
  <si>
    <t>Date: dd/mm/yyyy</t>
  </si>
  <si>
    <t xml:space="preserve">Place                        </t>
  </si>
  <si>
    <t xml:space="preserve">Mooring Audit date </t>
  </si>
  <si>
    <r>
      <rPr>
        <b/>
        <sz val="11"/>
        <color theme="1"/>
        <rFont val="Calibri"/>
        <charset val="134"/>
        <scheme val="minor"/>
      </rPr>
      <t xml:space="preserve">Vetting                                              </t>
    </r>
    <r>
      <rPr>
        <b/>
        <i/>
        <sz val="9"/>
        <color theme="1"/>
        <rFont val="Calibri"/>
        <charset val="134"/>
        <scheme val="minor"/>
      </rPr>
      <t xml:space="preserve">    Date             Company</t>
    </r>
    <r>
      <rPr>
        <b/>
        <sz val="11"/>
        <color theme="1"/>
        <rFont val="Calibri"/>
        <charset val="134"/>
        <scheme val="minor"/>
      </rPr>
      <t xml:space="preserve"> </t>
    </r>
  </si>
  <si>
    <t xml:space="preserve">Embarkation  Port   </t>
  </si>
  <si>
    <t>Days on board</t>
  </si>
  <si>
    <t>01.05.2024</t>
  </si>
  <si>
    <t>Fos</t>
  </si>
  <si>
    <t>Lavera</t>
  </si>
  <si>
    <t>St Charles</t>
  </si>
  <si>
    <t>Mumbai</t>
  </si>
  <si>
    <t>Vadinar</t>
  </si>
  <si>
    <t>09.10.2024</t>
  </si>
  <si>
    <t>02.10.2024</t>
  </si>
  <si>
    <t>Viva Australia</t>
  </si>
  <si>
    <t>Shanghai</t>
  </si>
  <si>
    <t>14.05.2024</t>
  </si>
  <si>
    <t>Sikka</t>
  </si>
  <si>
    <t>04.12.2024</t>
  </si>
  <si>
    <t>4.12.2024</t>
  </si>
  <si>
    <t>Long Beach</t>
  </si>
  <si>
    <t>20.09.2024</t>
  </si>
  <si>
    <t>26.11.2024</t>
  </si>
  <si>
    <t>Lake charles</t>
  </si>
  <si>
    <t>San Nicholas</t>
  </si>
  <si>
    <t>31.07.2024</t>
  </si>
  <si>
    <t>Manzanillo</t>
  </si>
  <si>
    <t>Mazatlan</t>
  </si>
  <si>
    <t>26.08.2024</t>
  </si>
  <si>
    <t>25.10.2024</t>
  </si>
  <si>
    <t>St. Lucia</t>
  </si>
  <si>
    <t>St. Croix</t>
  </si>
  <si>
    <t>26.05.2024</t>
  </si>
  <si>
    <t>Beaumont</t>
  </si>
  <si>
    <t>06.02.2024</t>
  </si>
  <si>
    <t>Los Angeles</t>
  </si>
  <si>
    <t>Richmond</t>
  </si>
  <si>
    <t>18.04.2024</t>
  </si>
  <si>
    <t>Kandla</t>
  </si>
  <si>
    <t>03.01.2024</t>
  </si>
  <si>
    <t>02.01.2024</t>
  </si>
  <si>
    <t>23.10.2024</t>
  </si>
  <si>
    <t>22.10.2024</t>
  </si>
  <si>
    <t>Tanjun Pelapas</t>
  </si>
  <si>
    <t>Preem</t>
  </si>
  <si>
    <t>Pascagoula</t>
  </si>
  <si>
    <t>Puerta Cortez</t>
  </si>
  <si>
    <t>Port/ Navigation</t>
  </si>
  <si>
    <t>27.08.2024</t>
  </si>
  <si>
    <t>Incheon, SK</t>
  </si>
  <si>
    <t>Caojing, China</t>
  </si>
  <si>
    <t>12.10.2024</t>
  </si>
  <si>
    <t>Rostock</t>
  </si>
  <si>
    <t>Amsterdam</t>
  </si>
  <si>
    <t>28.04.2024</t>
  </si>
  <si>
    <t>22.04.2024</t>
  </si>
  <si>
    <t>Tampico</t>
  </si>
  <si>
    <t>Veracruz</t>
  </si>
  <si>
    <t>09.12.2024</t>
  </si>
  <si>
    <t>Port Klang</t>
  </si>
  <si>
    <t>Trieste</t>
  </si>
  <si>
    <t>Sidi Kerir</t>
  </si>
  <si>
    <t>24.01.2024</t>
  </si>
  <si>
    <t>13.01.2024</t>
  </si>
  <si>
    <t>Daesan</t>
  </si>
  <si>
    <t>Taichung</t>
  </si>
  <si>
    <t>25.11.2024</t>
  </si>
  <si>
    <t>Cebu</t>
  </si>
  <si>
    <t>19.12.2024</t>
  </si>
  <si>
    <t>Ningbo</t>
  </si>
  <si>
    <t>15.02.2024</t>
  </si>
  <si>
    <t>Yeosu</t>
  </si>
  <si>
    <t>28.01.2024</t>
  </si>
  <si>
    <t>Chevron</t>
  </si>
  <si>
    <t>Rio Haina</t>
  </si>
  <si>
    <t>Nederlands</t>
  </si>
  <si>
    <t>28.09.2024</t>
  </si>
  <si>
    <t>Malta</t>
  </si>
  <si>
    <t>OPL Malta</t>
  </si>
  <si>
    <t>22.06.2024</t>
  </si>
  <si>
    <t>Corpus christi</t>
  </si>
  <si>
    <t>11.06.2024</t>
  </si>
  <si>
    <t>Gdansk</t>
  </si>
  <si>
    <t>16.01.2024</t>
  </si>
  <si>
    <t>Ningo</t>
  </si>
  <si>
    <t>25.06.2024</t>
  </si>
  <si>
    <t>23.06.2024</t>
  </si>
  <si>
    <t>Savannah</t>
  </si>
  <si>
    <t>Charleston</t>
  </si>
  <si>
    <t>Kaustabh</t>
  </si>
  <si>
    <t>INTERNAL AUDIT CATEGORY OBSERVATION</t>
  </si>
  <si>
    <t>General Fleet</t>
  </si>
  <si>
    <t>1st Quarter</t>
  </si>
  <si>
    <t>2nd Quarter</t>
  </si>
  <si>
    <t>3rd Quarter</t>
  </si>
  <si>
    <t>4th Quarter</t>
  </si>
  <si>
    <t>Total</t>
  </si>
  <si>
    <t>Tanker</t>
  </si>
  <si>
    <t>DRY</t>
  </si>
  <si>
    <t>No. Vess.</t>
  </si>
  <si>
    <t>#</t>
  </si>
  <si>
    <t>No. Aud.</t>
  </si>
  <si>
    <t>Def.</t>
  </si>
  <si>
    <t>Def x Insp.</t>
  </si>
  <si>
    <t>Fill in fields white and grey only</t>
  </si>
  <si>
    <t>1st quarter</t>
  </si>
  <si>
    <t>2nd quarter</t>
  </si>
  <si>
    <t>3rd quarter</t>
  </si>
  <si>
    <t>4th quarter</t>
  </si>
  <si>
    <t>No.  Insp.</t>
  </si>
  <si>
    <t>Def x Insp</t>
  </si>
  <si>
    <t xml:space="preserve">Total Fleet </t>
  </si>
  <si>
    <t>Vessels</t>
  </si>
  <si>
    <t>Audits</t>
  </si>
  <si>
    <t>Deficiencies</t>
  </si>
  <si>
    <t>Tanker Fleet</t>
  </si>
  <si>
    <t>Dry Fleet</t>
  </si>
  <si>
    <t>General</t>
  </si>
  <si>
    <t>kpi</t>
  </si>
  <si>
    <t>2 Certification and Documentation</t>
  </si>
  <si>
    <t xml:space="preserve">3 Crew Management </t>
  </si>
  <si>
    <t>4 Navigation and Communication</t>
  </si>
  <si>
    <t xml:space="preserve">5 Safety Managemenet </t>
  </si>
  <si>
    <t>6 Pollution Prevention</t>
  </si>
  <si>
    <t>7 Maritime Security</t>
  </si>
  <si>
    <t>8 Cargo and Ballast System</t>
  </si>
  <si>
    <t>9 Mooring</t>
  </si>
  <si>
    <t>10 Engine and Steering Compartments</t>
  </si>
  <si>
    <t xml:space="preserve">11 General Appearance Condition  </t>
  </si>
  <si>
    <t xml:space="preserve">12 Ice Operations </t>
  </si>
  <si>
    <t>Dry</t>
  </si>
  <si>
    <t>SAFETY INSPECTION CATEGORY OBSERVATION</t>
  </si>
  <si>
    <t>dry</t>
  </si>
  <si>
    <t>No. Insp.</t>
  </si>
  <si>
    <t>Compilare Solamente i Campi Grigi e Bianchi</t>
  </si>
  <si>
    <t>Inspections</t>
  </si>
  <si>
    <t xml:space="preserve">Navigation Audit Remarks by Master </t>
  </si>
  <si>
    <t>FLEET</t>
  </si>
  <si>
    <t>I Quarter</t>
  </si>
  <si>
    <t>II Quarter</t>
  </si>
  <si>
    <t>III Quarter</t>
  </si>
  <si>
    <t>IV Quarter</t>
  </si>
  <si>
    <t xml:space="preserve">By Master </t>
  </si>
  <si>
    <t>By vetting</t>
  </si>
  <si>
    <t>By PSC</t>
  </si>
  <si>
    <t>TANKER</t>
  </si>
  <si>
    <t>By Marine</t>
  </si>
  <si>
    <t>Navigation Remarks by Vetting</t>
  </si>
  <si>
    <t>Navigation Remarks by PSC</t>
  </si>
  <si>
    <t>NAVIGATIONAL AUDIT</t>
  </si>
  <si>
    <t>CARGO OPERATIONAL AUDIT</t>
  </si>
  <si>
    <t>IntA  Nr</t>
  </si>
  <si>
    <t>IntA Remarks</t>
  </si>
  <si>
    <t>IntA Average Remarks</t>
  </si>
  <si>
    <t>SafIns Nr</t>
  </si>
  <si>
    <t>SafIns Remarks</t>
  </si>
  <si>
    <t>SafIns Average Remarks</t>
  </si>
  <si>
    <t>NavA Nr</t>
  </si>
  <si>
    <t>NavA  Remarks</t>
  </si>
  <si>
    <t>NavA Average Remarks</t>
  </si>
  <si>
    <t>EnvA  Nr</t>
  </si>
  <si>
    <t>EnvA Remarks</t>
  </si>
  <si>
    <t>EnvA Average Remarks</t>
  </si>
  <si>
    <t>CarOpA   Nr</t>
  </si>
  <si>
    <t>CarOpA Remarks</t>
  </si>
  <si>
    <t>CarOpA Average Remarks</t>
  </si>
  <si>
    <t>ISPSA   Nr</t>
  </si>
  <si>
    <t>ISPSA Remarks</t>
  </si>
  <si>
    <t>ISPSA Average Remarks</t>
  </si>
  <si>
    <t>MoorA   Nr</t>
  </si>
  <si>
    <t>MoorA Remarks</t>
  </si>
  <si>
    <t>MoorA Average Remarks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</si>
</sst>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 numFmtId="181" formatCode="[$-409]d/mmm/yyyy;@"/>
  </numFmts>
  <fonts count="72">
    <font>
      <sz val="11"/>
      <color theme="1"/>
      <name val="Calibri"/>
      <charset val="134"/>
      <scheme val="minor"/>
    </font>
    <font>
      <b/>
      <sz val="11"/>
      <color theme="1"/>
      <name val="Calibri"/>
      <charset val="134"/>
      <scheme val="minor"/>
    </font>
    <font>
      <b/>
      <sz val="11"/>
      <name val="Calibri"/>
      <charset val="134"/>
      <scheme val="minor"/>
    </font>
    <font>
      <sz val="11"/>
      <color theme="1"/>
      <name val="Calibri"/>
      <charset val="134"/>
    </font>
    <font>
      <b/>
      <sz val="10"/>
      <color rgb="FFFF0000"/>
      <name val="Calibri"/>
      <charset val="134"/>
      <scheme val="minor"/>
    </font>
    <font>
      <b/>
      <sz val="10"/>
      <name val="Calibri"/>
      <charset val="134"/>
      <scheme val="minor"/>
    </font>
    <font>
      <sz val="11"/>
      <name val="Calibri"/>
      <charset val="134"/>
      <scheme val="minor"/>
    </font>
    <font>
      <sz val="20"/>
      <color rgb="FFFF0000"/>
      <name val="Calibri"/>
      <charset val="134"/>
    </font>
    <font>
      <b/>
      <sz val="11"/>
      <color rgb="FF000000"/>
      <name val="Calibri"/>
      <charset val="134"/>
    </font>
    <font>
      <sz val="10"/>
      <color rgb="FF000000"/>
      <name val="Calibri"/>
      <charset val="134"/>
    </font>
    <font>
      <b/>
      <sz val="10"/>
      <color rgb="FF000000"/>
      <name val="Calibri"/>
      <charset val="134"/>
    </font>
    <font>
      <b/>
      <sz val="20"/>
      <color rgb="FF000000"/>
      <name val="Calibri"/>
      <charset val="134"/>
    </font>
    <font>
      <sz val="11"/>
      <color rgb="FFFFFFFF"/>
      <name val="Calibri"/>
      <charset val="134"/>
    </font>
    <font>
      <sz val="8"/>
      <color rgb="FF000000"/>
      <name val="Calibri"/>
      <charset val="134"/>
    </font>
    <font>
      <b/>
      <sz val="8"/>
      <color rgb="FF000000"/>
      <name val="Calibri"/>
      <charset val="134"/>
    </font>
    <font>
      <b/>
      <u/>
      <sz val="11"/>
      <color theme="1"/>
      <name val="Calibri"/>
      <charset val="134"/>
    </font>
    <font>
      <b/>
      <sz val="11"/>
      <color rgb="FFFFFFFF"/>
      <name val="Calibri"/>
      <charset val="134"/>
    </font>
    <font>
      <strike/>
      <sz val="8"/>
      <color rgb="FF000000"/>
      <name val="Calibri"/>
      <charset val="134"/>
    </font>
    <font>
      <b/>
      <strike/>
      <sz val="8"/>
      <color rgb="FF000000"/>
      <name val="Calibri"/>
      <charset val="134"/>
    </font>
    <font>
      <b/>
      <sz val="12"/>
      <name val="Calibri"/>
      <charset val="134"/>
      <scheme val="minor"/>
    </font>
    <font>
      <sz val="10"/>
      <name val="Calibri"/>
      <charset val="134"/>
      <scheme val="minor"/>
    </font>
    <font>
      <b/>
      <sz val="11"/>
      <color rgb="FFFFFF00"/>
      <name val="Calibri"/>
      <charset val="134"/>
      <scheme val="minor"/>
    </font>
    <font>
      <sz val="10"/>
      <color theme="1"/>
      <name val="Calibri"/>
      <charset val="134"/>
      <scheme val="minor"/>
    </font>
    <font>
      <b/>
      <strike/>
      <sz val="10"/>
      <name val="Calibri"/>
      <charset val="134"/>
      <scheme val="minor"/>
    </font>
    <font>
      <strike/>
      <sz val="11"/>
      <color theme="1"/>
      <name val="Calibri"/>
      <charset val="134"/>
      <scheme val="minor"/>
    </font>
    <font>
      <b/>
      <sz val="14"/>
      <color theme="1"/>
      <name val="Calibri"/>
      <charset val="134"/>
      <scheme val="minor"/>
    </font>
    <font>
      <b/>
      <sz val="12"/>
      <color theme="1"/>
      <name val="Calibri"/>
      <charset val="134"/>
      <scheme val="minor"/>
    </font>
    <font>
      <sz val="8"/>
      <color theme="6" tint="-0.249977111117893"/>
      <name val="Calibri"/>
      <charset val="134"/>
      <scheme val="minor"/>
    </font>
    <font>
      <b/>
      <sz val="10"/>
      <color theme="1"/>
      <name val="Calibri"/>
      <charset val="134"/>
      <scheme val="minor"/>
    </font>
    <font>
      <strike/>
      <sz val="10"/>
      <color theme="1"/>
      <name val="Calibri"/>
      <charset val="134"/>
      <scheme val="minor"/>
    </font>
    <font>
      <strike/>
      <sz val="12"/>
      <color theme="0"/>
      <name val="Calibri"/>
      <charset val="134"/>
      <scheme val="minor"/>
    </font>
    <font>
      <b/>
      <strike/>
      <sz val="10"/>
      <color rgb="FFFF0000"/>
      <name val="Calibri"/>
      <charset val="134"/>
      <scheme val="minor"/>
    </font>
    <font>
      <sz val="12"/>
      <color theme="0"/>
      <name val="Calibri"/>
      <charset val="134"/>
      <scheme val="minor"/>
    </font>
    <font>
      <sz val="11"/>
      <color theme="0"/>
      <name val="Calibri"/>
      <charset val="134"/>
      <scheme val="minor"/>
    </font>
    <font>
      <sz val="8"/>
      <color theme="0"/>
      <name val="Calibri"/>
      <charset val="134"/>
      <scheme val="minor"/>
    </font>
    <font>
      <strike/>
      <sz val="11"/>
      <color theme="0"/>
      <name val="Calibri"/>
      <charset val="134"/>
      <scheme val="minor"/>
    </font>
    <font>
      <b/>
      <sz val="9"/>
      <name val="Calibri"/>
      <charset val="134"/>
      <scheme val="minor"/>
    </font>
    <font>
      <sz val="20"/>
      <color theme="1"/>
      <name val="Calibri"/>
      <charset val="134"/>
      <scheme val="minor"/>
    </font>
    <font>
      <b/>
      <sz val="12"/>
      <color theme="0"/>
      <name val="Calibri"/>
      <charset val="134"/>
      <scheme val="minor"/>
    </font>
    <font>
      <sz val="11"/>
      <color rgb="FFFF0000"/>
      <name val="Calibri"/>
      <charset val="134"/>
      <scheme val="minor"/>
    </font>
    <font>
      <b/>
      <sz val="11"/>
      <name val="Calibri"/>
      <charset val="2"/>
      <scheme val="minor"/>
    </font>
    <font>
      <b/>
      <sz val="9"/>
      <name val="Wingdings"/>
      <charset val="2"/>
    </font>
    <font>
      <b/>
      <sz val="11"/>
      <color rgb="FFFF000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Symbol"/>
      <charset val="2"/>
    </font>
    <font>
      <b/>
      <i/>
      <sz val="9"/>
      <color theme="1"/>
      <name val="Calibri"/>
      <charset val="134"/>
      <scheme val="minor"/>
    </font>
    <font>
      <b/>
      <sz val="11"/>
      <name val="Symbol"/>
      <charset val="2"/>
    </font>
    <font>
      <b/>
      <sz val="11"/>
      <name val="Wingdings"/>
      <charset val="2"/>
    </font>
    <font>
      <b/>
      <sz val="9"/>
      <color rgb="FF3333FF"/>
      <name val="Calibri"/>
      <charset val="134"/>
      <scheme val="minor"/>
    </font>
    <font>
      <b/>
      <sz val="11"/>
      <color theme="1"/>
      <name val="Symbol"/>
      <charset val="2"/>
    </font>
    <font>
      <b/>
      <sz val="11"/>
      <color rgb="FF00B050"/>
      <name val="Wingdings"/>
      <charset val="2"/>
    </font>
    <font>
      <b/>
      <sz val="11"/>
      <color rgb="FFFF0000"/>
      <name val="Wingdings"/>
      <charset val="2"/>
    </font>
    <font>
      <b/>
      <sz val="11"/>
      <color rgb="FFFFCC66"/>
      <name val="Wingdings"/>
      <charset val="2"/>
    </font>
  </fonts>
  <fills count="79">
    <fill>
      <patternFill patternType="none"/>
    </fill>
    <fill>
      <patternFill patternType="gray125"/>
    </fill>
    <fill>
      <patternFill patternType="solid">
        <fgColor theme="3" tint="0.799981688894314"/>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0" tint="-0.0499893185216834"/>
        <bgColor indexed="64"/>
      </patternFill>
    </fill>
    <fill>
      <patternFill patternType="solid">
        <fgColor theme="6" tint="0.799981688894314"/>
        <bgColor indexed="64"/>
      </patternFill>
    </fill>
    <fill>
      <patternFill patternType="solid">
        <fgColor rgb="FFFFFF99"/>
        <bgColor indexed="64"/>
      </patternFill>
    </fill>
    <fill>
      <patternFill patternType="solid">
        <fgColor rgb="FFFF9999"/>
        <bgColor indexed="64"/>
      </patternFill>
    </fill>
    <fill>
      <patternFill patternType="solid">
        <fgColor theme="9" tint="0.599993896298105"/>
        <bgColor indexed="64"/>
      </patternFill>
    </fill>
    <fill>
      <patternFill patternType="solid">
        <fgColor them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F7C80"/>
        <bgColor indexed="64"/>
      </patternFill>
    </fill>
    <fill>
      <patternFill patternType="solid">
        <fgColor theme="6" tint="0.399975585192419"/>
        <bgColor indexed="64"/>
      </patternFill>
    </fill>
    <fill>
      <patternFill patternType="solid">
        <fgColor rgb="FFFCD5B4"/>
        <bgColor rgb="FF000000"/>
      </patternFill>
    </fill>
    <fill>
      <patternFill patternType="solid">
        <fgColor rgb="FF16365C"/>
        <bgColor rgb="FF000000"/>
      </patternFill>
    </fill>
    <fill>
      <patternFill patternType="solid">
        <fgColor rgb="FFB8CCE4"/>
        <bgColor rgb="FF000000"/>
      </patternFill>
    </fill>
    <fill>
      <patternFill patternType="solid">
        <fgColor rgb="FFF2F2F2"/>
        <bgColor rgb="FF000000"/>
      </patternFill>
    </fill>
    <fill>
      <patternFill patternType="solid">
        <fgColor rgb="FFFFFFCC"/>
        <bgColor rgb="FF000000"/>
      </patternFill>
    </fill>
    <fill>
      <patternFill patternType="solid">
        <fgColor rgb="FFFFFFFF"/>
        <bgColor rgb="FF000000"/>
      </patternFill>
    </fill>
    <fill>
      <patternFill patternType="solid">
        <fgColor rgb="FFFFFF00"/>
        <bgColor rgb="FF000000"/>
      </patternFill>
    </fill>
    <fill>
      <patternFill patternType="solid">
        <fgColor rgb="FFFFFF99"/>
        <bgColor rgb="FF000000"/>
      </patternFill>
    </fill>
    <fill>
      <patternFill patternType="solid">
        <fgColor theme="0"/>
        <bgColor rgb="FF000000"/>
      </patternFill>
    </fill>
    <fill>
      <patternFill patternType="solid">
        <fgColor rgb="FF002060"/>
        <bgColor rgb="FF000000"/>
      </patternFill>
    </fill>
    <fill>
      <patternFill patternType="solid">
        <fgColor theme="0"/>
        <bgColor indexed="64"/>
      </patternFill>
    </fill>
    <fill>
      <patternFill patternType="solid">
        <fgColor rgb="FFD9D9D9"/>
        <bgColor rgb="FF000000"/>
      </patternFill>
    </fill>
    <fill>
      <patternFill patternType="solid">
        <fgColor theme="4" tint="0.599993896298105"/>
        <bgColor rgb="FF000000"/>
      </patternFill>
    </fill>
    <fill>
      <patternFill patternType="solid">
        <fgColor theme="4" tint="0.599993896298105"/>
        <bgColor indexed="64"/>
      </patternFill>
    </fill>
    <fill>
      <patternFill patternType="solid">
        <fgColor theme="3" tint="0.599993896298105"/>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rgb="FFFFFFCC"/>
        <bgColor indexed="64"/>
      </patternFill>
    </fill>
    <fill>
      <patternFill patternType="solid">
        <fgColor rgb="FFFF0066"/>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theme="7" tint="-0.249977111117893"/>
        <bgColor indexed="64"/>
      </patternFill>
    </fill>
    <fill>
      <patternFill patternType="solid">
        <fgColor theme="2" tint="-0.0999786370433668"/>
        <bgColor indexed="64"/>
      </patternFill>
    </fill>
    <fill>
      <patternFill patternType="darkDown">
        <bgColor rgb="FFFF0000"/>
      </patternFill>
    </fill>
    <fill>
      <patternFill patternType="darkDown">
        <fgColor rgb="FF00B0F0"/>
      </patternFill>
    </fill>
    <fill>
      <patternFill patternType="solid">
        <fgColor rgb="FF00B050"/>
        <bgColor indexed="64"/>
      </patternFill>
    </fill>
    <fill>
      <patternFill patternType="solid">
        <fgColor rgb="FFFF0000"/>
        <bgColor indexed="64"/>
      </patternFill>
    </fill>
    <fill>
      <patternFill patternType="solid">
        <fgColor rgb="FF00206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style="thin">
        <color auto="1"/>
      </right>
      <top style="thin">
        <color auto="1"/>
      </top>
      <bottom/>
      <diagonal/>
    </border>
    <border>
      <left style="thin">
        <color auto="1"/>
      </left>
      <right/>
      <top style="thin">
        <color auto="1"/>
      </top>
      <bottom/>
      <diagonal/>
    </border>
    <border>
      <left style="medium">
        <color auto="1"/>
      </left>
      <right style="medium">
        <color auto="1"/>
      </right>
      <top style="thin">
        <color auto="1"/>
      </top>
      <bottom/>
      <diagonal/>
    </border>
    <border>
      <left style="thin">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bottom style="thin">
        <color auto="1"/>
      </bottom>
      <diagonal/>
    </border>
    <border>
      <left style="medium">
        <color auto="1"/>
      </left>
      <right/>
      <top/>
      <bottom/>
      <diagonal/>
    </border>
    <border>
      <left style="thin">
        <color auto="1"/>
      </left>
      <right style="medium">
        <color auto="1"/>
      </right>
      <top/>
      <bottom/>
      <diagonal/>
    </border>
    <border>
      <left style="thin">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style="thin">
        <color auto="1"/>
      </bottom>
      <diagonal/>
    </border>
    <border>
      <left/>
      <right/>
      <top style="medium">
        <color auto="1"/>
      </top>
      <bottom style="thin">
        <color auto="1"/>
      </bottom>
      <diagonal/>
    </border>
    <border>
      <left style="medium">
        <color auto="1"/>
      </left>
      <right style="medium">
        <color auto="1"/>
      </right>
      <top/>
      <bottom style="thin">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style="thin">
        <color auto="1"/>
      </top>
      <bottom/>
      <diagonal/>
    </border>
    <border>
      <left style="thin">
        <color auto="1"/>
      </left>
      <right style="thin">
        <color auto="1"/>
      </right>
      <top style="medium">
        <color auto="1"/>
      </top>
      <bottom style="medium">
        <color auto="1"/>
      </bottom>
      <diagonal/>
    </border>
    <border>
      <left style="thin">
        <color auto="1"/>
      </left>
      <right/>
      <top style="thin">
        <color auto="1"/>
      </top>
      <bottom style="medium">
        <color auto="1"/>
      </bottom>
      <diagonal/>
    </border>
    <border>
      <left/>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style="medium">
        <color auto="1"/>
      </bottom>
      <diagonal/>
    </border>
    <border>
      <left/>
      <right/>
      <top style="double">
        <color auto="1"/>
      </top>
      <bottom style="thin">
        <color auto="1"/>
      </bottom>
      <diagonal/>
    </border>
    <border>
      <left/>
      <right style="thin">
        <color auto="1"/>
      </right>
      <top style="thin">
        <color auto="1"/>
      </top>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right style="medium">
        <color auto="1"/>
      </right>
      <top style="double">
        <color auto="1"/>
      </top>
      <bottom style="thin">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right/>
      <top style="medium">
        <color auto="1"/>
      </top>
      <bottom style="medium">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diagonal/>
    </border>
    <border>
      <left style="thick">
        <color auto="1"/>
      </left>
      <right style="thin">
        <color auto="1"/>
      </right>
      <top style="thin">
        <color auto="1"/>
      </top>
      <bottom style="thick">
        <color auto="1"/>
      </bottom>
      <diagonal/>
    </border>
    <border>
      <left style="thick">
        <color auto="1"/>
      </left>
      <right style="thin">
        <color auto="1"/>
      </right>
      <top/>
      <bottom style="thin">
        <color auto="1"/>
      </bottom>
      <diagonal/>
    </border>
    <border>
      <left/>
      <right style="thin">
        <color auto="1"/>
      </right>
      <top style="thin">
        <color auto="1"/>
      </top>
      <bottom style="medium">
        <color auto="1"/>
      </bottom>
      <diagonal/>
    </border>
    <border>
      <left style="thin">
        <color auto="1"/>
      </left>
      <right/>
      <top/>
      <bottom style="thin">
        <color auto="1"/>
      </bottom>
      <diagonal/>
    </border>
    <border>
      <left style="thick">
        <color auto="1"/>
      </left>
      <right/>
      <top style="thick">
        <color auto="1"/>
      </top>
      <bottom/>
      <diagonal/>
    </border>
    <border>
      <left/>
      <right/>
      <top style="thick">
        <color auto="1"/>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right style="thick">
        <color auto="1"/>
      </right>
      <top style="thick">
        <color auto="1"/>
      </top>
      <bottom/>
      <diagonal/>
    </border>
    <border>
      <left style="thin">
        <color auto="1"/>
      </left>
      <right style="thick">
        <color auto="1"/>
      </right>
      <top/>
      <bottom style="thin">
        <color auto="1"/>
      </bottom>
      <diagonal/>
    </border>
    <border>
      <left style="thin">
        <color auto="1"/>
      </left>
      <right style="thick">
        <color auto="1"/>
      </right>
      <top style="thin">
        <color auto="1"/>
      </top>
      <bottom/>
      <diagonal/>
    </border>
    <border>
      <left style="thin">
        <color auto="1"/>
      </left>
      <right style="thick">
        <color auto="1"/>
      </right>
      <top style="thick">
        <color auto="1"/>
      </top>
      <bottom style="thin">
        <color auto="1"/>
      </bottom>
      <diagonal/>
    </border>
    <border>
      <left style="thin">
        <color auto="1"/>
      </left>
      <right style="thick">
        <color auto="1"/>
      </right>
      <top style="thick">
        <color auto="1"/>
      </top>
      <bottom style="thick">
        <color auto="1"/>
      </bottom>
      <diagonal/>
    </border>
    <border>
      <left/>
      <right/>
      <top/>
      <bottom style="thin">
        <color auto="1"/>
      </bottom>
      <diagonal/>
    </border>
    <border>
      <left style="thin">
        <color auto="1"/>
      </left>
      <right/>
      <top style="medium">
        <color auto="1"/>
      </top>
      <bottom/>
      <diagonal/>
    </border>
    <border>
      <left style="medium">
        <color auto="1"/>
      </left>
      <right style="medium">
        <color auto="1"/>
      </right>
      <top/>
      <bottom style="medium">
        <color auto="1"/>
      </bottom>
      <diagonal/>
    </border>
    <border>
      <left style="thin">
        <color auto="1"/>
      </left>
      <right style="double">
        <color auto="1"/>
      </right>
      <top style="thin">
        <color auto="1"/>
      </top>
      <bottom style="thin">
        <color auto="1"/>
      </bottom>
      <diagonal/>
    </border>
    <border>
      <left style="double">
        <color auto="1"/>
      </left>
      <right style="double">
        <color auto="1"/>
      </right>
      <top style="thin">
        <color auto="1"/>
      </top>
      <bottom style="thin">
        <color auto="1"/>
      </bottom>
      <diagonal/>
    </border>
    <border>
      <left style="double">
        <color auto="1"/>
      </left>
      <right style="thin">
        <color auto="1"/>
      </right>
      <top style="thin">
        <color auto="1"/>
      </top>
      <bottom style="thin">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
      <left style="thick">
        <color auto="1"/>
      </left>
      <right style="thin">
        <color auto="1"/>
      </right>
      <top style="medium">
        <color auto="1"/>
      </top>
      <bottom style="thin">
        <color auto="1"/>
      </bottom>
      <diagonal/>
    </border>
    <border>
      <left style="thin">
        <color auto="1"/>
      </left>
      <right/>
      <top style="medium">
        <color auto="1"/>
      </top>
      <bottom style="medium">
        <color auto="1"/>
      </bottom>
      <diagonal/>
    </border>
    <border>
      <left style="thick">
        <color auto="1"/>
      </left>
      <right style="thin">
        <color auto="1"/>
      </right>
      <top style="medium">
        <color auto="1"/>
      </top>
      <bottom style="medium">
        <color auto="1"/>
      </bottom>
      <diagonal/>
    </border>
    <border>
      <left/>
      <right style="double">
        <color auto="1"/>
      </right>
      <top/>
      <bottom/>
      <diagonal/>
    </border>
    <border>
      <left/>
      <right style="double">
        <color auto="1"/>
      </right>
      <top style="medium">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diagonal/>
    </border>
    <border>
      <left style="double">
        <color auto="1"/>
      </left>
      <right style="double">
        <color auto="1"/>
      </right>
      <top style="double">
        <color auto="1"/>
      </top>
      <bottom style="thin">
        <color auto="1"/>
      </bottom>
      <diagonal/>
    </border>
    <border>
      <left/>
      <right style="thin">
        <color auto="1"/>
      </right>
      <top/>
      <bottom style="thin">
        <color auto="1"/>
      </bottom>
      <diagonal/>
    </border>
    <border>
      <left style="thin">
        <color auto="1"/>
      </left>
      <right style="double">
        <color auto="1"/>
      </right>
      <top style="double">
        <color auto="1"/>
      </top>
      <bottom style="thin">
        <color auto="1"/>
      </bottom>
      <diagonal/>
    </border>
    <border>
      <left style="double">
        <color auto="1"/>
      </left>
      <right/>
      <top style="double">
        <color auto="1"/>
      </top>
      <bottom style="thin">
        <color auto="1"/>
      </bottom>
      <diagonal/>
    </border>
    <border>
      <left style="thin">
        <color auto="1"/>
      </left>
      <right style="thin">
        <color auto="1"/>
      </right>
      <top style="double">
        <color auto="1"/>
      </top>
      <bottom style="thin">
        <color auto="1"/>
      </bottom>
      <diagonal/>
    </border>
    <border>
      <left style="double">
        <color auto="1"/>
      </left>
      <right style="double">
        <color auto="1"/>
      </right>
      <top style="thin">
        <color auto="1"/>
      </top>
      <bottom style="double">
        <color auto="1"/>
      </bottom>
      <diagonal/>
    </border>
    <border>
      <left/>
      <right style="thin">
        <color auto="1"/>
      </right>
      <top style="thin">
        <color auto="1"/>
      </top>
      <bottom style="double">
        <color auto="1"/>
      </bottom>
      <diagonal/>
    </border>
    <border>
      <left style="thin">
        <color auto="1"/>
      </left>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double">
        <color auto="1"/>
      </right>
      <top/>
      <bottom style="thin">
        <color auto="1"/>
      </bottom>
      <diagonal/>
    </border>
    <border>
      <left style="double">
        <color auto="1"/>
      </left>
      <right style="thin">
        <color auto="1"/>
      </right>
      <top style="double">
        <color auto="1"/>
      </top>
      <bottom style="thin">
        <color auto="1"/>
      </bottom>
      <diagonal/>
    </border>
    <border>
      <left style="thin">
        <color auto="1"/>
      </left>
      <right style="double">
        <color auto="1"/>
      </right>
      <top/>
      <bottom style="thin">
        <color auto="1"/>
      </bottom>
      <diagonal/>
    </border>
    <border>
      <left/>
      <right style="thin">
        <color auto="1"/>
      </right>
      <top style="double">
        <color auto="1"/>
      </top>
      <bottom style="thin">
        <color auto="1"/>
      </bottom>
      <diagonal/>
    </border>
    <border>
      <left/>
      <right style="double">
        <color auto="1"/>
      </right>
      <top style="thin">
        <color auto="1"/>
      </top>
      <bottom/>
      <diagonal/>
    </border>
    <border>
      <left style="double">
        <color auto="1"/>
      </left>
      <right style="thin">
        <color auto="1"/>
      </right>
      <top style="thin">
        <color auto="1"/>
      </top>
      <bottom style="double">
        <color auto="1"/>
      </bottom>
      <diagonal/>
    </border>
    <border>
      <left style="thin">
        <color auto="1"/>
      </left>
      <right/>
      <top style="double">
        <color auto="1"/>
      </top>
      <bottom/>
      <diagonal/>
    </border>
    <border>
      <left/>
      <right style="double">
        <color auto="1"/>
      </right>
      <top style="double">
        <color auto="1"/>
      </top>
      <bottom style="thin">
        <color auto="1"/>
      </bottom>
      <diagonal/>
    </border>
    <border>
      <left/>
      <right style="double">
        <color auto="1"/>
      </right>
      <top style="thin">
        <color auto="1"/>
      </top>
      <bottom style="thin">
        <color auto="1"/>
      </bottom>
      <diagonal/>
    </border>
    <border>
      <left/>
      <right style="double">
        <color auto="1"/>
      </right>
      <top style="thin">
        <color auto="1"/>
      </top>
      <bottom style="double">
        <color auto="1"/>
      </bottom>
      <diagonal/>
    </border>
    <border>
      <left style="double">
        <color auto="1"/>
      </left>
      <right/>
      <top style="medium">
        <color auto="1"/>
      </top>
      <bottom style="thin">
        <color auto="1"/>
      </bottom>
      <diagonal/>
    </border>
    <border>
      <left/>
      <right style="double">
        <color auto="1"/>
      </right>
      <top/>
      <bottom style="thin">
        <color auto="1"/>
      </bottom>
      <diagonal/>
    </border>
    <border>
      <left/>
      <right style="double">
        <color auto="1"/>
      </right>
      <top style="thin">
        <color auto="1"/>
      </top>
      <bottom style="medium">
        <color auto="1"/>
      </bottom>
      <diagonal/>
    </border>
    <border>
      <left style="thin">
        <color auto="1"/>
      </left>
      <right/>
      <top style="double">
        <color auto="1"/>
      </top>
      <bottom style="thin">
        <color auto="1"/>
      </bottom>
      <diagonal/>
    </border>
    <border>
      <left style="medium">
        <color auto="1"/>
      </left>
      <right style="medium">
        <color auto="1"/>
      </right>
      <top style="double">
        <color auto="1"/>
      </top>
      <bottom style="thin">
        <color auto="1"/>
      </bottom>
      <diagonal/>
    </border>
    <border>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right/>
      <top style="medium">
        <color auto="1"/>
      </top>
      <bottom style="double">
        <color auto="1"/>
      </bottom>
      <diagonal/>
    </border>
    <border>
      <left/>
      <right/>
      <top style="double">
        <color auto="1"/>
      </top>
      <bottom/>
      <diagonal/>
    </border>
    <border>
      <left style="medium">
        <color auto="1"/>
      </left>
      <right style="medium">
        <color auto="1"/>
      </right>
      <top style="double">
        <color auto="1"/>
      </top>
      <bottom/>
      <diagonal/>
    </border>
    <border>
      <left/>
      <right/>
      <top style="thin">
        <color auto="1"/>
      </top>
      <bottom style="double">
        <color auto="1"/>
      </bottom>
      <diagonal/>
    </border>
    <border>
      <left style="medium">
        <color auto="1"/>
      </left>
      <right style="medium">
        <color auto="1"/>
      </right>
      <top style="medium">
        <color auto="1"/>
      </top>
      <bottom style="double">
        <color auto="1"/>
      </bottom>
      <diagonal/>
    </border>
    <border>
      <left/>
      <right style="thin">
        <color auto="1"/>
      </right>
      <top style="double">
        <color auto="1"/>
      </top>
      <bottom/>
      <diagonal/>
    </border>
    <border>
      <left style="thin">
        <color auto="1"/>
      </left>
      <right style="double">
        <color auto="1"/>
      </right>
      <top style="double">
        <color auto="1"/>
      </top>
      <bottom/>
      <diagonal/>
    </border>
    <border>
      <left style="double">
        <color auto="1"/>
      </left>
      <right/>
      <top style="thin">
        <color auto="1"/>
      </top>
      <bottom style="double">
        <color auto="1"/>
      </bottom>
      <diagonal/>
    </border>
    <border>
      <left/>
      <right style="medium">
        <color auto="1"/>
      </right>
      <top/>
      <bottom style="thin">
        <color auto="1"/>
      </bottom>
      <diagonal/>
    </border>
    <border>
      <left style="double">
        <color auto="1"/>
      </left>
      <right style="thin">
        <color auto="1"/>
      </right>
      <top style="thin">
        <color auto="1"/>
      </top>
      <bottom/>
      <diagonal/>
    </border>
    <border>
      <left style="thick">
        <color auto="1"/>
      </left>
      <right/>
      <top/>
      <bottom style="thin">
        <color auto="1"/>
      </bottom>
      <diagonal/>
    </border>
    <border>
      <left/>
      <right style="thick">
        <color auto="1"/>
      </right>
      <top/>
      <bottom style="thin">
        <color auto="1"/>
      </bottom>
      <diagonal/>
    </border>
    <border>
      <left style="thick">
        <color auto="1"/>
      </left>
      <right/>
      <top style="double">
        <color auto="1"/>
      </top>
      <bottom style="thin">
        <color auto="1"/>
      </bottom>
      <diagonal/>
    </border>
    <border>
      <left style="thin">
        <color auto="1"/>
      </left>
      <right style="thick">
        <color auto="1"/>
      </right>
      <top style="double">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double">
        <color auto="1"/>
      </bottom>
      <diagonal/>
    </border>
    <border>
      <left style="thin">
        <color auto="1"/>
      </left>
      <right style="thick">
        <color auto="1"/>
      </right>
      <top style="thin">
        <color auto="1"/>
      </top>
      <bottom style="double">
        <color auto="1"/>
      </bottom>
      <diagonal/>
    </border>
    <border>
      <left style="thick">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thick">
        <color auto="1"/>
      </right>
      <top style="double">
        <color auto="1"/>
      </top>
      <bottom/>
      <diagonal/>
    </border>
    <border>
      <left style="thin">
        <color auto="1"/>
      </left>
      <right style="thin">
        <color auto="1"/>
      </right>
      <top/>
      <bottom style="double">
        <color auto="1"/>
      </bottom>
      <diagonal/>
    </border>
    <border>
      <left style="thick">
        <color auto="1"/>
      </left>
      <right style="thin">
        <color auto="1"/>
      </right>
      <top style="double">
        <color auto="1"/>
      </top>
      <bottom style="thin">
        <color auto="1"/>
      </bottom>
      <diagonal/>
    </border>
    <border>
      <left style="thick">
        <color auto="1"/>
      </left>
      <right/>
      <top style="thin">
        <color auto="1"/>
      </top>
      <bottom style="thin">
        <color auto="1"/>
      </bottom>
      <diagonal/>
    </border>
    <border>
      <left style="thick">
        <color auto="1"/>
      </left>
      <right/>
      <top style="thin">
        <color auto="1"/>
      </top>
      <bottom style="double">
        <color auto="1"/>
      </bottom>
      <diagonal/>
    </border>
    <border>
      <left style="thick">
        <color auto="1"/>
      </left>
      <right/>
      <top/>
      <bottom style="double">
        <color auto="1"/>
      </bottom>
      <diagonal/>
    </border>
    <border>
      <left style="thick">
        <color auto="1"/>
      </left>
      <right style="thick">
        <color auto="1"/>
      </right>
      <top style="thin">
        <color auto="1"/>
      </top>
      <bottom/>
      <diagonal/>
    </border>
    <border>
      <left style="thick">
        <color auto="1"/>
      </left>
      <right/>
      <top style="thin">
        <color auto="1"/>
      </top>
      <bottom/>
      <diagonal/>
    </border>
    <border>
      <left/>
      <right style="thick">
        <color auto="1"/>
      </right>
      <top style="double">
        <color auto="1"/>
      </top>
      <bottom style="thin">
        <color auto="1"/>
      </bottom>
      <diagonal/>
    </border>
    <border>
      <left style="thick">
        <color auto="1"/>
      </left>
      <right style="thick">
        <color auto="1"/>
      </right>
      <top style="double">
        <color auto="1"/>
      </top>
      <bottom style="thin">
        <color auto="1"/>
      </bottom>
      <diagonal/>
    </border>
    <border>
      <left/>
      <right style="thick">
        <color auto="1"/>
      </right>
      <top style="thin">
        <color auto="1"/>
      </top>
      <bottom style="thin">
        <color auto="1"/>
      </bottom>
      <diagonal/>
    </border>
    <border>
      <left style="thick">
        <color auto="1"/>
      </left>
      <right style="thick">
        <color auto="1"/>
      </right>
      <top style="thin">
        <color auto="1"/>
      </top>
      <bottom style="thin">
        <color auto="1"/>
      </bottom>
      <diagonal/>
    </border>
    <border>
      <left/>
      <right style="thick">
        <color auto="1"/>
      </right>
      <top style="thin">
        <color auto="1"/>
      </top>
      <bottom/>
      <diagonal/>
    </border>
    <border>
      <left/>
      <right style="thick">
        <color auto="1"/>
      </right>
      <top style="thin">
        <color auto="1"/>
      </top>
      <bottom style="double">
        <color auto="1"/>
      </bottom>
      <diagonal/>
    </border>
    <border>
      <left style="thick">
        <color auto="1"/>
      </left>
      <right style="thick">
        <color auto="1"/>
      </right>
      <top style="thin">
        <color auto="1"/>
      </top>
      <bottom style="double">
        <color auto="1"/>
      </bottom>
      <diagonal/>
    </border>
    <border>
      <left style="thick">
        <color auto="1"/>
      </left>
      <right style="thick">
        <color auto="1"/>
      </right>
      <top/>
      <bottom style="thin">
        <color auto="1"/>
      </bottom>
      <diagonal/>
    </border>
    <border>
      <left style="thick">
        <color auto="1"/>
      </left>
      <right style="thick">
        <color auto="1"/>
      </right>
      <top style="double">
        <color auto="1"/>
      </top>
      <bottom/>
      <diagonal/>
    </border>
    <border>
      <left style="thick">
        <color auto="1"/>
      </left>
      <right/>
      <top/>
      <bottom/>
      <diagonal/>
    </border>
    <border>
      <left/>
      <right style="thick">
        <color auto="1"/>
      </right>
      <top/>
      <bottom/>
      <diagonal/>
    </border>
    <border>
      <left style="medium">
        <color auto="1"/>
      </left>
      <right style="thick">
        <color auto="1"/>
      </right>
      <top style="medium">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thin">
        <color auto="1"/>
      </right>
      <top style="medium">
        <color auto="1"/>
      </top>
      <bottom/>
      <diagonal/>
    </border>
    <border>
      <left style="thick">
        <color auto="1"/>
      </left>
      <right/>
      <top style="medium">
        <color auto="1"/>
      </top>
      <bottom style="thick">
        <color auto="1"/>
      </bottom>
      <diagonal/>
    </border>
    <border>
      <left/>
      <right/>
      <top style="medium">
        <color auto="1"/>
      </top>
      <bottom style="thick">
        <color auto="1"/>
      </bottom>
      <diagonal/>
    </border>
    <border>
      <left/>
      <right style="thick">
        <color auto="1"/>
      </right>
      <top style="medium">
        <color auto="1"/>
      </top>
      <bottom style="thick">
        <color auto="1"/>
      </bottom>
      <diagonal/>
    </border>
    <border>
      <left style="thick">
        <color auto="1"/>
      </left>
      <right style="thick">
        <color auto="1"/>
      </right>
      <top style="thick">
        <color auto="1"/>
      </top>
      <bottom/>
      <diagonal/>
    </border>
    <border>
      <left style="thick">
        <color auto="1"/>
      </left>
      <right style="thin">
        <color auto="1"/>
      </right>
      <top/>
      <bottom/>
      <diagonal/>
    </border>
    <border>
      <left style="medium">
        <color auto="1"/>
      </left>
      <right style="thick">
        <color auto="1"/>
      </right>
      <top style="medium">
        <color auto="1"/>
      </top>
      <bottom style="thin">
        <color auto="1"/>
      </bottom>
      <diagonal/>
    </border>
    <border>
      <left style="thick">
        <color auto="1"/>
      </left>
      <right/>
      <top style="medium">
        <color auto="1"/>
      </top>
      <bottom style="thin">
        <color auto="1"/>
      </bottom>
      <diagonal/>
    </border>
    <border>
      <left style="medium">
        <color auto="1"/>
      </left>
      <right style="thick">
        <color auto="1"/>
      </right>
      <top style="thin">
        <color auto="1"/>
      </top>
      <bottom style="thin">
        <color auto="1"/>
      </bottom>
      <diagonal/>
    </border>
    <border>
      <left style="thick">
        <color auto="1"/>
      </left>
      <right/>
      <top style="thin">
        <color auto="1"/>
      </top>
      <bottom style="medium">
        <color auto="1"/>
      </bottom>
      <diagonal/>
    </border>
    <border>
      <left style="thick">
        <color auto="1"/>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thick">
        <color auto="1"/>
      </top>
      <bottom/>
      <diagonal/>
    </border>
    <border>
      <left style="thin">
        <color auto="1"/>
      </left>
      <right style="thick">
        <color auto="1"/>
      </right>
      <top style="thick">
        <color auto="1"/>
      </top>
      <bottom/>
      <diagonal/>
    </border>
    <border>
      <left style="thin">
        <color auto="1"/>
      </left>
      <right/>
      <top style="thick">
        <color auto="1"/>
      </top>
      <bottom/>
      <diagonal/>
    </border>
    <border>
      <left style="thin">
        <color auto="1"/>
      </left>
      <right style="thick">
        <color auto="1"/>
      </right>
      <top style="medium">
        <color auto="1"/>
      </top>
      <bottom style="thin">
        <color auto="1"/>
      </bottom>
      <diagonal/>
    </border>
    <border>
      <left style="thick">
        <color auto="1"/>
      </left>
      <right style="medium">
        <color auto="1"/>
      </right>
      <top style="medium">
        <color auto="1"/>
      </top>
      <bottom style="thin">
        <color auto="1"/>
      </bottom>
      <diagonal/>
    </border>
    <border>
      <left style="thick">
        <color auto="1"/>
      </left>
      <right style="medium">
        <color auto="1"/>
      </right>
      <top/>
      <bottom style="thin">
        <color auto="1"/>
      </bottom>
      <diagonal/>
    </border>
    <border>
      <left style="thin">
        <color auto="1"/>
      </left>
      <right style="thick">
        <color auto="1"/>
      </right>
      <top style="thin">
        <color auto="1"/>
      </top>
      <bottom style="medium">
        <color auto="1"/>
      </bottom>
      <diagonal/>
    </border>
    <border>
      <left style="thick">
        <color auto="1"/>
      </left>
      <right style="medium">
        <color auto="1"/>
      </right>
      <top/>
      <bottom style="medium">
        <color auto="1"/>
      </bottom>
      <diagonal/>
    </border>
    <border>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43" fillId="0" borderId="0" applyFont="0" applyFill="0" applyBorder="0" applyAlignment="0" applyProtection="0">
      <alignment vertical="center"/>
    </xf>
    <xf numFmtId="177" fontId="43" fillId="0" borderId="0" applyFont="0" applyFill="0" applyBorder="0" applyAlignment="0" applyProtection="0">
      <alignment vertical="center"/>
    </xf>
    <xf numFmtId="9" fontId="43" fillId="0" borderId="0" applyFont="0" applyFill="0" applyBorder="0" applyAlignment="0" applyProtection="0">
      <alignment vertical="center"/>
    </xf>
    <xf numFmtId="178" fontId="43" fillId="0" borderId="0" applyFont="0" applyFill="0" applyBorder="0" applyAlignment="0" applyProtection="0">
      <alignment vertical="center"/>
    </xf>
    <xf numFmtId="179" fontId="43" fillId="0" borderId="0" applyFon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3" fillId="48" borderId="188"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189" applyNumberFormat="0" applyFill="0" applyAlignment="0" applyProtection="0">
      <alignment vertical="center"/>
    </xf>
    <xf numFmtId="0" fontId="50" fillId="0" borderId="189" applyNumberFormat="0" applyFill="0" applyAlignment="0" applyProtection="0">
      <alignment vertical="center"/>
    </xf>
    <xf numFmtId="0" fontId="51" fillId="0" borderId="190" applyNumberFormat="0" applyFill="0" applyAlignment="0" applyProtection="0">
      <alignment vertical="center"/>
    </xf>
    <xf numFmtId="0" fontId="51" fillId="0" borderId="0" applyNumberFormat="0" applyFill="0" applyBorder="0" applyAlignment="0" applyProtection="0">
      <alignment vertical="center"/>
    </xf>
    <xf numFmtId="0" fontId="52" fillId="49" borderId="191" applyNumberFormat="0" applyAlignment="0" applyProtection="0">
      <alignment vertical="center"/>
    </xf>
    <xf numFmtId="0" fontId="53" fillId="50" borderId="192" applyNumberFormat="0" applyAlignment="0" applyProtection="0">
      <alignment vertical="center"/>
    </xf>
    <xf numFmtId="0" fontId="54" fillId="50" borderId="191" applyNumberFormat="0" applyAlignment="0" applyProtection="0">
      <alignment vertical="center"/>
    </xf>
    <xf numFmtId="0" fontId="55" fillId="51" borderId="193" applyNumberFormat="0" applyAlignment="0" applyProtection="0">
      <alignment vertical="center"/>
    </xf>
    <xf numFmtId="0" fontId="56" fillId="0" borderId="194" applyNumberFormat="0" applyFill="0" applyAlignment="0" applyProtection="0">
      <alignment vertical="center"/>
    </xf>
    <xf numFmtId="0" fontId="57" fillId="0" borderId="195" applyNumberFormat="0" applyFill="0" applyAlignment="0" applyProtection="0">
      <alignment vertical="center"/>
    </xf>
    <xf numFmtId="0" fontId="58" fillId="52" borderId="0" applyNumberFormat="0" applyBorder="0" applyAlignment="0" applyProtection="0">
      <alignment vertical="center"/>
    </xf>
    <xf numFmtId="0" fontId="59" fillId="53" borderId="0" applyNumberFormat="0" applyBorder="0" applyAlignment="0" applyProtection="0">
      <alignment vertical="center"/>
    </xf>
    <xf numFmtId="0" fontId="60" fillId="54" borderId="0" applyNumberFormat="0" applyBorder="0" applyAlignment="0" applyProtection="0">
      <alignment vertical="center"/>
    </xf>
    <xf numFmtId="0" fontId="61" fillId="55" borderId="0" applyNumberFormat="0" applyBorder="0" applyAlignment="0" applyProtection="0">
      <alignment vertical="center"/>
    </xf>
    <xf numFmtId="0" fontId="62" fillId="56" borderId="0" applyNumberFormat="0" applyBorder="0" applyAlignment="0" applyProtection="0">
      <alignment vertical="center"/>
    </xf>
    <xf numFmtId="0" fontId="62" fillId="57" borderId="0" applyNumberFormat="0" applyBorder="0" applyAlignment="0" applyProtection="0">
      <alignment vertical="center"/>
    </xf>
    <xf numFmtId="0" fontId="61" fillId="58" borderId="0" applyNumberFormat="0" applyBorder="0" applyAlignment="0" applyProtection="0">
      <alignment vertical="center"/>
    </xf>
    <xf numFmtId="0" fontId="61" fillId="59" borderId="0" applyNumberFormat="0" applyBorder="0" applyAlignment="0" applyProtection="0">
      <alignment vertical="center"/>
    </xf>
    <xf numFmtId="0" fontId="62" fillId="60" borderId="0" applyNumberFormat="0" applyBorder="0" applyAlignment="0" applyProtection="0">
      <alignment vertical="center"/>
    </xf>
    <xf numFmtId="0" fontId="62" fillId="61" borderId="0" applyNumberFormat="0" applyBorder="0" applyAlignment="0" applyProtection="0">
      <alignment vertical="center"/>
    </xf>
    <xf numFmtId="0" fontId="61" fillId="62" borderId="0" applyNumberFormat="0" applyBorder="0" applyAlignment="0" applyProtection="0">
      <alignment vertical="center"/>
    </xf>
    <xf numFmtId="0" fontId="61" fillId="63" borderId="0" applyNumberFormat="0" applyBorder="0" applyAlignment="0" applyProtection="0">
      <alignment vertical="center"/>
    </xf>
    <xf numFmtId="0" fontId="62" fillId="64" borderId="0" applyNumberFormat="0" applyBorder="0" applyAlignment="0" applyProtection="0">
      <alignment vertical="center"/>
    </xf>
    <xf numFmtId="0" fontId="62" fillId="65" borderId="0" applyNumberFormat="0" applyBorder="0" applyAlignment="0" applyProtection="0">
      <alignment vertical="center"/>
    </xf>
    <xf numFmtId="0" fontId="61" fillId="66" borderId="0" applyNumberFormat="0" applyBorder="0" applyAlignment="0" applyProtection="0">
      <alignment vertical="center"/>
    </xf>
    <xf numFmtId="0" fontId="61" fillId="67" borderId="0" applyNumberFormat="0" applyBorder="0" applyAlignment="0" applyProtection="0">
      <alignment vertical="center"/>
    </xf>
    <xf numFmtId="0" fontId="62" fillId="68" borderId="0" applyNumberFormat="0" applyBorder="0" applyAlignment="0" applyProtection="0">
      <alignment vertical="center"/>
    </xf>
    <xf numFmtId="0" fontId="62" fillId="69" borderId="0" applyNumberFormat="0" applyBorder="0" applyAlignment="0" applyProtection="0">
      <alignment vertical="center"/>
    </xf>
    <xf numFmtId="0" fontId="61" fillId="70" borderId="0" applyNumberFormat="0" applyBorder="0" applyAlignment="0" applyProtection="0">
      <alignment vertical="center"/>
    </xf>
    <xf numFmtId="0" fontId="61" fillId="71" borderId="0" applyNumberFormat="0" applyBorder="0" applyAlignment="0" applyProtection="0">
      <alignment vertical="center"/>
    </xf>
    <xf numFmtId="0" fontId="62" fillId="72" borderId="0" applyNumberFormat="0" applyBorder="0" applyAlignment="0" applyProtection="0">
      <alignment vertical="center"/>
    </xf>
    <xf numFmtId="0" fontId="62" fillId="73" borderId="0" applyNumberFormat="0" applyBorder="0" applyAlignment="0" applyProtection="0">
      <alignment vertical="center"/>
    </xf>
    <xf numFmtId="0" fontId="61" fillId="74" borderId="0" applyNumberFormat="0" applyBorder="0" applyAlignment="0" applyProtection="0">
      <alignment vertical="center"/>
    </xf>
    <xf numFmtId="0" fontId="61" fillId="75" borderId="0" applyNumberFormat="0" applyBorder="0" applyAlignment="0" applyProtection="0">
      <alignment vertical="center"/>
    </xf>
    <xf numFmtId="0" fontId="62" fillId="76" borderId="0" applyNumberFormat="0" applyBorder="0" applyAlignment="0" applyProtection="0">
      <alignment vertical="center"/>
    </xf>
    <xf numFmtId="0" fontId="62" fillId="77" borderId="0" applyNumberFormat="0" applyBorder="0" applyAlignment="0" applyProtection="0">
      <alignment vertical="center"/>
    </xf>
    <xf numFmtId="0" fontId="61" fillId="78" borderId="0" applyNumberFormat="0" applyBorder="0" applyAlignment="0" applyProtection="0">
      <alignment vertical="center"/>
    </xf>
    <xf numFmtId="0" fontId="0" fillId="0" borderId="0"/>
  </cellStyleXfs>
  <cellXfs count="1334">
    <xf numFmtId="0" fontId="0" fillId="0" borderId="0" xfId="0"/>
    <xf numFmtId="180" fontId="0" fillId="0" borderId="0" xfId="0" applyNumberFormat="1"/>
    <xf numFmtId="0" fontId="1" fillId="2" borderId="1" xfId="0" applyFont="1" applyFill="1" applyBorder="1" applyAlignment="1">
      <alignment horizontal="center"/>
    </xf>
    <xf numFmtId="0" fontId="1" fillId="3" borderId="1" xfId="0" applyFont="1" applyFill="1" applyBorder="1" applyAlignment="1">
      <alignment horizontal="center"/>
    </xf>
    <xf numFmtId="0" fontId="1" fillId="4" borderId="1" xfId="0" applyFont="1" applyFill="1" applyBorder="1" applyAlignment="1">
      <alignment horizontal="center"/>
    </xf>
    <xf numFmtId="0" fontId="0" fillId="0" borderId="2" xfId="0" applyBorder="1"/>
    <xf numFmtId="0" fontId="1" fillId="2" borderId="3" xfId="0" applyFont="1" applyFill="1" applyBorder="1" applyAlignment="1">
      <alignment wrapText="1"/>
    </xf>
    <xf numFmtId="0" fontId="1" fillId="2" borderId="4" xfId="0" applyFont="1" applyFill="1" applyBorder="1" applyAlignment="1">
      <alignment wrapText="1"/>
    </xf>
    <xf numFmtId="0" fontId="1" fillId="2" borderId="5" xfId="0" applyFont="1" applyFill="1" applyBorder="1" applyAlignment="1">
      <alignment wrapText="1"/>
    </xf>
    <xf numFmtId="0" fontId="1" fillId="3" borderId="4" xfId="0" applyFont="1" applyFill="1" applyBorder="1" applyAlignment="1">
      <alignment wrapText="1"/>
    </xf>
    <xf numFmtId="0" fontId="1" fillId="3" borderId="5" xfId="0" applyFont="1" applyFill="1" applyBorder="1" applyAlignment="1">
      <alignment wrapText="1"/>
    </xf>
    <xf numFmtId="0" fontId="1" fillId="4" borderId="4" xfId="0" applyFont="1" applyFill="1" applyBorder="1" applyAlignment="1">
      <alignment wrapText="1"/>
    </xf>
    <xf numFmtId="0" fontId="0" fillId="5" borderId="6" xfId="0" applyFill="1" applyBorder="1"/>
    <xf numFmtId="0" fontId="0" fillId="2" borderId="7" xfId="0" applyFill="1" applyBorder="1"/>
    <xf numFmtId="0" fontId="0" fillId="2" borderId="0" xfId="0" applyFill="1"/>
    <xf numFmtId="2" fontId="0" fillId="2" borderId="8" xfId="0" applyNumberFormat="1" applyFill="1" applyBorder="1"/>
    <xf numFmtId="0" fontId="0" fillId="3" borderId="0" xfId="0" applyFill="1"/>
    <xf numFmtId="2" fontId="0" fillId="3" borderId="8" xfId="0" applyNumberFormat="1" applyFill="1" applyBorder="1"/>
    <xf numFmtId="0" fontId="0" fillId="4" borderId="0" xfId="0" applyFill="1"/>
    <xf numFmtId="0" fontId="0" fillId="5" borderId="0" xfId="0" applyFill="1"/>
    <xf numFmtId="0" fontId="0" fillId="5" borderId="9" xfId="0" applyFill="1" applyBorder="1"/>
    <xf numFmtId="0" fontId="1" fillId="6" borderId="1" xfId="0" applyFont="1" applyFill="1" applyBorder="1" applyAlignment="1">
      <alignment horizontal="center"/>
    </xf>
    <xf numFmtId="0" fontId="2" fillId="7" borderId="1" xfId="0" applyFont="1" applyFill="1" applyBorder="1" applyAlignment="1">
      <alignment horizontal="center"/>
    </xf>
    <xf numFmtId="0" fontId="1" fillId="4" borderId="5" xfId="0" applyFont="1" applyFill="1" applyBorder="1" applyAlignment="1">
      <alignment wrapText="1"/>
    </xf>
    <xf numFmtId="0" fontId="1" fillId="6" borderId="4" xfId="0" applyFont="1" applyFill="1" applyBorder="1" applyAlignment="1">
      <alignment wrapText="1"/>
    </xf>
    <xf numFmtId="0" fontId="1" fillId="6" borderId="5" xfId="0" applyFont="1" applyFill="1" applyBorder="1" applyAlignment="1">
      <alignment wrapText="1"/>
    </xf>
    <xf numFmtId="0" fontId="1" fillId="7" borderId="4" xfId="0" applyFont="1" applyFill="1" applyBorder="1" applyAlignment="1">
      <alignment wrapText="1"/>
    </xf>
    <xf numFmtId="0" fontId="1" fillId="7" borderId="5" xfId="0" applyFont="1" applyFill="1" applyBorder="1" applyAlignment="1">
      <alignment wrapText="1"/>
    </xf>
    <xf numFmtId="2" fontId="0" fillId="4" borderId="8" xfId="0" applyNumberFormat="1" applyFill="1" applyBorder="1"/>
    <xf numFmtId="0" fontId="0" fillId="6" borderId="0" xfId="0" applyFill="1"/>
    <xf numFmtId="2" fontId="0" fillId="6" borderId="8" xfId="0" applyNumberFormat="1" applyFill="1" applyBorder="1"/>
    <xf numFmtId="0" fontId="0" fillId="7" borderId="0" xfId="0" applyFill="1"/>
    <xf numFmtId="2" fontId="0" fillId="7" borderId="8" xfId="0" applyNumberFormat="1" applyFill="1" applyBorder="1"/>
    <xf numFmtId="0" fontId="2" fillId="8" borderId="1" xfId="0" applyFont="1" applyFill="1" applyBorder="1" applyAlignment="1">
      <alignment horizontal="center"/>
    </xf>
    <xf numFmtId="0" fontId="2" fillId="9" borderId="1" xfId="0" applyFont="1" applyFill="1" applyBorder="1" applyAlignment="1">
      <alignment horizontal="center"/>
    </xf>
    <xf numFmtId="0" fontId="1" fillId="8" borderId="4" xfId="0" applyFont="1" applyFill="1" applyBorder="1" applyAlignment="1">
      <alignment wrapText="1"/>
    </xf>
    <xf numFmtId="0" fontId="1" fillId="8" borderId="5" xfId="0" applyFont="1" applyFill="1" applyBorder="1" applyAlignment="1">
      <alignment wrapText="1"/>
    </xf>
    <xf numFmtId="0" fontId="1" fillId="9" borderId="4" xfId="0" applyFont="1" applyFill="1" applyBorder="1" applyAlignment="1">
      <alignment wrapText="1"/>
    </xf>
    <xf numFmtId="0" fontId="1" fillId="9" borderId="5" xfId="0" applyFont="1" applyFill="1" applyBorder="1" applyAlignment="1">
      <alignment wrapText="1"/>
    </xf>
    <xf numFmtId="0" fontId="0" fillId="8" borderId="0" xfId="0" applyFill="1"/>
    <xf numFmtId="2" fontId="0" fillId="8" borderId="8" xfId="0" applyNumberFormat="1" applyFill="1" applyBorder="1"/>
    <xf numFmtId="0" fontId="0" fillId="9" borderId="0" xfId="0" applyFill="1"/>
    <xf numFmtId="2" fontId="0" fillId="9" borderId="8" xfId="0" applyNumberFormat="1" applyFill="1" applyBorder="1"/>
    <xf numFmtId="0" fontId="3" fillId="0" borderId="0" xfId="0" applyFont="1"/>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4" fillId="5" borderId="14" xfId="0" applyFont="1" applyFill="1" applyBorder="1" applyAlignment="1" applyProtection="1">
      <alignment horizontal="left"/>
      <protection locked="0"/>
    </xf>
    <xf numFmtId="0" fontId="4" fillId="5" borderId="15" xfId="0" applyFont="1" applyFill="1" applyBorder="1" applyAlignment="1" applyProtection="1">
      <alignment horizontal="left"/>
      <protection locked="0"/>
    </xf>
    <xf numFmtId="0" fontId="0" fillId="10" borderId="14" xfId="0" applyFill="1" applyBorder="1" applyAlignment="1">
      <alignment horizontal="center" vertical="center"/>
    </xf>
    <xf numFmtId="0" fontId="0" fillId="10" borderId="16" xfId="0" applyFill="1" applyBorder="1" applyAlignment="1">
      <alignment horizontal="center" vertical="center"/>
    </xf>
    <xf numFmtId="0" fontId="0" fillId="10" borderId="15" xfId="0" applyFill="1" applyBorder="1" applyAlignment="1">
      <alignment horizontal="center" vertical="center"/>
    </xf>
    <xf numFmtId="0" fontId="0" fillId="0" borderId="17" xfId="0" applyBorder="1" applyAlignment="1">
      <alignment horizontal="center" vertical="center"/>
    </xf>
    <xf numFmtId="0" fontId="4" fillId="5" borderId="18" xfId="0" applyFont="1" applyFill="1" applyBorder="1" applyAlignment="1" applyProtection="1">
      <alignment horizontal="left"/>
      <protection locked="0"/>
    </xf>
    <xf numFmtId="0" fontId="4" fillId="5" borderId="3" xfId="0" applyFont="1" applyFill="1" applyBorder="1" applyAlignment="1" applyProtection="1">
      <alignment horizontal="left"/>
      <protection locked="0"/>
    </xf>
    <xf numFmtId="0" fontId="0" fillId="10" borderId="18" xfId="0" applyFill="1" applyBorder="1" applyAlignment="1">
      <alignment horizontal="center" vertical="center"/>
    </xf>
    <xf numFmtId="0" fontId="0" fillId="10" borderId="1" xfId="0" applyFill="1" applyBorder="1" applyAlignment="1">
      <alignment horizontal="center" vertical="center"/>
    </xf>
    <xf numFmtId="0" fontId="0" fillId="10" borderId="3" xfId="0" applyFill="1" applyBorder="1" applyAlignment="1">
      <alignment horizontal="center" vertical="center"/>
    </xf>
    <xf numFmtId="0" fontId="0" fillId="0" borderId="19" xfId="0" applyBorder="1" applyAlignment="1">
      <alignment horizontal="center" vertical="center"/>
    </xf>
    <xf numFmtId="0" fontId="5" fillId="5" borderId="18" xfId="0" applyFont="1" applyFill="1" applyBorder="1" applyAlignment="1" applyProtection="1">
      <alignment horizontal="left"/>
      <protection locked="0"/>
    </xf>
    <xf numFmtId="0" fontId="5" fillId="5" borderId="3" xfId="0" applyFont="1" applyFill="1" applyBorder="1" applyAlignment="1" applyProtection="1">
      <alignment horizontal="left"/>
      <protection locked="0"/>
    </xf>
    <xf numFmtId="0" fontId="0" fillId="0" borderId="18" xfId="0" applyBorder="1" applyAlignment="1">
      <alignment horizontal="center" vertical="center"/>
    </xf>
    <xf numFmtId="0" fontId="0" fillId="0" borderId="1" xfId="0" applyBorder="1" applyAlignment="1">
      <alignment horizontal="center" vertical="center"/>
    </xf>
    <xf numFmtId="0" fontId="6" fillId="0" borderId="3" xfId="0" applyFont="1" applyBorder="1" applyAlignment="1">
      <alignment horizontal="center" vertical="center"/>
    </xf>
    <xf numFmtId="0" fontId="0" fillId="0" borderId="3" xfId="0" applyBorder="1" applyAlignment="1">
      <alignment horizontal="center" vertical="center"/>
    </xf>
    <xf numFmtId="0" fontId="5" fillId="5" borderId="20" xfId="0" applyFont="1" applyFill="1" applyBorder="1" applyAlignment="1" applyProtection="1">
      <alignment horizontal="left"/>
      <protection locked="0"/>
    </xf>
    <xf numFmtId="0" fontId="5" fillId="5" borderId="21" xfId="0" applyFont="1" applyFill="1" applyBorder="1" applyAlignment="1" applyProtection="1">
      <alignment horizontal="left"/>
      <protection locked="0"/>
    </xf>
    <xf numFmtId="0" fontId="5" fillId="5" borderId="22" xfId="0" applyFont="1" applyFill="1" applyBorder="1" applyAlignment="1" applyProtection="1">
      <alignment horizontal="left"/>
      <protection locked="0"/>
    </xf>
    <xf numFmtId="0" fontId="5" fillId="5" borderId="23" xfId="0" applyFont="1" applyFill="1" applyBorder="1" applyAlignment="1" applyProtection="1">
      <alignment horizontal="left"/>
      <protection locked="0"/>
    </xf>
    <xf numFmtId="0" fontId="0" fillId="0" borderId="24" xfId="0" applyBorder="1" applyAlignment="1">
      <alignment horizontal="center" vertical="center"/>
    </xf>
    <xf numFmtId="0" fontId="0" fillId="0" borderId="2"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5" fillId="5" borderId="14" xfId="0" applyFont="1" applyFill="1" applyBorder="1" applyAlignment="1" applyProtection="1">
      <alignment horizontal="left"/>
      <protection locked="0"/>
    </xf>
    <xf numFmtId="0" fontId="5" fillId="5" borderId="27" xfId="0" applyFont="1" applyFill="1" applyBorder="1" applyAlignment="1" applyProtection="1">
      <alignment horizontal="left"/>
      <protection locked="0"/>
    </xf>
    <xf numFmtId="0" fontId="0" fillId="0" borderId="14" xfId="0" applyBorder="1" applyAlignment="1">
      <alignment horizontal="center" vertical="center"/>
    </xf>
    <xf numFmtId="0" fontId="0" fillId="0" borderId="16" xfId="0" applyBorder="1" applyAlignment="1">
      <alignment horizontal="center" vertical="center"/>
    </xf>
    <xf numFmtId="0" fontId="0" fillId="10" borderId="27" xfId="0" applyFill="1" applyBorder="1" applyAlignment="1">
      <alignment horizontal="center" vertical="center"/>
    </xf>
    <xf numFmtId="0" fontId="0" fillId="0" borderId="28" xfId="0" applyBorder="1" applyAlignment="1">
      <alignment horizontal="center" vertical="center"/>
    </xf>
    <xf numFmtId="0" fontId="5" fillId="5" borderId="29" xfId="0" applyFont="1" applyFill="1" applyBorder="1" applyAlignment="1" applyProtection="1">
      <alignment horizontal="left"/>
      <protection locked="0"/>
    </xf>
    <xf numFmtId="0" fontId="0" fillId="0" borderId="29" xfId="0" applyBorder="1" applyAlignment="1">
      <alignment horizontal="center" vertical="center"/>
    </xf>
    <xf numFmtId="0" fontId="0" fillId="0" borderId="21" xfId="0" applyBorder="1" applyAlignment="1">
      <alignment horizontal="center" vertical="center"/>
    </xf>
    <xf numFmtId="0" fontId="0" fillId="11" borderId="18" xfId="0" applyFill="1" applyBorder="1" applyAlignment="1">
      <alignment horizontal="center" vertical="center"/>
    </xf>
    <xf numFmtId="0" fontId="0" fillId="11" borderId="29" xfId="0" applyFill="1" applyBorder="1" applyAlignment="1">
      <alignment horizontal="center" vertical="center"/>
    </xf>
    <xf numFmtId="0" fontId="6" fillId="10" borderId="30" xfId="0" applyFont="1" applyFill="1" applyBorder="1" applyAlignment="1">
      <alignment horizontal="center" vertical="center"/>
    </xf>
    <xf numFmtId="0" fontId="6" fillId="10" borderId="31" xfId="0" applyFont="1" applyFill="1" applyBorder="1" applyAlignment="1">
      <alignment horizontal="center" vertical="center"/>
    </xf>
    <xf numFmtId="0" fontId="0" fillId="0" borderId="32" xfId="0" applyBorder="1" applyAlignment="1">
      <alignment horizontal="center" vertical="center"/>
    </xf>
    <xf numFmtId="0" fontId="0" fillId="10" borderId="33" xfId="0" applyFill="1" applyBorder="1"/>
    <xf numFmtId="0" fontId="0" fillId="10" borderId="0" xfId="0" applyFill="1"/>
    <xf numFmtId="0" fontId="0" fillId="0" borderId="6" xfId="0" applyBorder="1" applyAlignment="1">
      <alignment horizontal="center" vertical="center"/>
    </xf>
    <xf numFmtId="0" fontId="0" fillId="0" borderId="34" xfId="0" applyBorder="1" applyAlignment="1">
      <alignment horizontal="center" vertical="center"/>
    </xf>
    <xf numFmtId="0" fontId="5" fillId="5" borderId="30" xfId="0" applyFont="1" applyFill="1" applyBorder="1" applyAlignment="1" applyProtection="1">
      <alignment horizontal="left"/>
      <protection locked="0"/>
    </xf>
    <xf numFmtId="0" fontId="5" fillId="5" borderId="35" xfId="0" applyFont="1" applyFill="1" applyBorder="1" applyAlignment="1" applyProtection="1">
      <alignment horizontal="left"/>
      <protection locked="0"/>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5" xfId="0" applyBorder="1" applyAlignment="1">
      <alignment horizontal="center" vertical="center"/>
    </xf>
    <xf numFmtId="0" fontId="0" fillId="0" borderId="36" xfId="0" applyBorder="1" applyAlignment="1">
      <alignment horizontal="center" vertical="center"/>
    </xf>
    <xf numFmtId="0" fontId="4" fillId="5" borderId="37" xfId="0" applyFont="1" applyFill="1" applyBorder="1" applyAlignment="1" applyProtection="1">
      <alignment horizontal="left"/>
      <protection locked="0"/>
    </xf>
    <xf numFmtId="0" fontId="4" fillId="5" borderId="28" xfId="0" applyFont="1" applyFill="1" applyBorder="1" applyAlignment="1" applyProtection="1">
      <alignment horizontal="left"/>
      <protection locked="0"/>
    </xf>
    <xf numFmtId="0" fontId="4" fillId="5" borderId="20" xfId="0" applyFont="1" applyFill="1" applyBorder="1" applyAlignment="1" applyProtection="1">
      <alignment horizontal="left"/>
      <protection locked="0"/>
    </xf>
    <xf numFmtId="0" fontId="4" fillId="5" borderId="21" xfId="0" applyFont="1" applyFill="1" applyBorder="1" applyAlignment="1" applyProtection="1">
      <alignment horizontal="left"/>
      <protection locked="0"/>
    </xf>
    <xf numFmtId="0" fontId="0" fillId="12" borderId="38" xfId="0" applyFill="1" applyBorder="1" applyAlignment="1">
      <alignment horizontal="center"/>
    </xf>
    <xf numFmtId="0" fontId="0" fillId="4" borderId="39" xfId="0" applyFill="1" applyBorder="1"/>
    <xf numFmtId="0" fontId="0" fillId="13" borderId="13" xfId="0" applyFill="1" applyBorder="1"/>
    <xf numFmtId="0" fontId="0" fillId="14" borderId="40" xfId="0" applyFill="1" applyBorder="1"/>
    <xf numFmtId="0" fontId="0" fillId="15" borderId="38" xfId="0" applyFill="1" applyBorder="1"/>
    <xf numFmtId="0" fontId="0" fillId="9" borderId="38" xfId="0" applyFill="1" applyBorder="1"/>
    <xf numFmtId="0" fontId="0" fillId="0" borderId="41" xfId="0" applyBorder="1" applyAlignment="1">
      <alignment horizontal="left"/>
    </xf>
    <xf numFmtId="0" fontId="0" fillId="4" borderId="37" xfId="0" applyFill="1" applyBorder="1"/>
    <xf numFmtId="0" fontId="0" fillId="13" borderId="17" xfId="0" applyFill="1" applyBorder="1"/>
    <xf numFmtId="0" fontId="0" fillId="14" borderId="42" xfId="0" applyFill="1" applyBorder="1"/>
    <xf numFmtId="0" fontId="0" fillId="15" borderId="43" xfId="0" applyFill="1" applyBorder="1"/>
    <xf numFmtId="0" fontId="0" fillId="9" borderId="43" xfId="0" applyFill="1" applyBorder="1"/>
    <xf numFmtId="0" fontId="0" fillId="0" borderId="20" xfId="0" applyBorder="1" applyAlignment="1">
      <alignment horizontal="left"/>
    </xf>
    <xf numFmtId="0" fontId="0" fillId="4" borderId="20" xfId="0" applyFill="1" applyBorder="1"/>
    <xf numFmtId="0" fontId="0" fillId="13" borderId="19" xfId="0" applyFill="1" applyBorder="1"/>
    <xf numFmtId="0" fontId="0" fillId="14" borderId="4" xfId="0" applyFill="1" applyBorder="1"/>
    <xf numFmtId="0" fontId="0" fillId="15" borderId="19" xfId="0" applyFill="1" applyBorder="1"/>
    <xf numFmtId="0" fontId="0" fillId="9" borderId="19" xfId="0" applyFill="1" applyBorder="1"/>
    <xf numFmtId="0" fontId="0" fillId="0" borderId="44" xfId="0" applyBorder="1" applyAlignment="1">
      <alignment horizontal="left"/>
    </xf>
    <xf numFmtId="0" fontId="0" fillId="4" borderId="44" xfId="0" applyFill="1" applyBorder="1"/>
    <xf numFmtId="0" fontId="0" fillId="13" borderId="45" xfId="0" applyFill="1" applyBorder="1"/>
    <xf numFmtId="0" fontId="0" fillId="14" borderId="46" xfId="0" applyFill="1" applyBorder="1"/>
    <xf numFmtId="0" fontId="0" fillId="15" borderId="45" xfId="0" applyFill="1" applyBorder="1"/>
    <xf numFmtId="0" fontId="0" fillId="9" borderId="45" xfId="0" applyFill="1" applyBorder="1"/>
    <xf numFmtId="0" fontId="0" fillId="0" borderId="0" xfId="0" applyAlignment="1">
      <alignment horizontal="left"/>
    </xf>
    <xf numFmtId="0" fontId="0" fillId="12" borderId="47" xfId="0" applyFill="1" applyBorder="1" applyAlignment="1">
      <alignment horizontal="center"/>
    </xf>
    <xf numFmtId="0" fontId="0" fillId="4" borderId="38" xfId="0" applyFill="1" applyBorder="1"/>
    <xf numFmtId="0" fontId="0" fillId="13" borderId="38" xfId="0" applyFill="1" applyBorder="1"/>
    <xf numFmtId="0" fontId="0" fillId="14" borderId="47" xfId="0" applyFill="1" applyBorder="1"/>
    <xf numFmtId="0" fontId="0" fillId="15" borderId="48" xfId="0" applyFill="1" applyBorder="1"/>
    <xf numFmtId="0" fontId="0" fillId="9" borderId="49" xfId="0" applyFill="1" applyBorder="1"/>
    <xf numFmtId="0" fontId="0" fillId="4" borderId="43" xfId="0" applyFill="1" applyBorder="1"/>
    <xf numFmtId="0" fontId="0" fillId="13" borderId="43" xfId="0" applyFill="1" applyBorder="1"/>
    <xf numFmtId="0" fontId="0" fillId="14" borderId="41" xfId="0" applyFill="1" applyBorder="1"/>
    <xf numFmtId="0" fontId="0" fillId="15" borderId="50" xfId="0" applyFill="1" applyBorder="1"/>
    <xf numFmtId="0" fontId="0" fillId="9" borderId="32" xfId="0" applyFill="1" applyBorder="1"/>
    <xf numFmtId="0" fontId="0" fillId="4" borderId="19" xfId="0" applyFill="1" applyBorder="1"/>
    <xf numFmtId="0" fontId="0" fillId="14" borderId="20" xfId="0" applyFill="1" applyBorder="1"/>
    <xf numFmtId="0" fontId="0" fillId="15" borderId="18" xfId="0" applyFill="1" applyBorder="1"/>
    <xf numFmtId="0" fontId="0" fillId="9" borderId="29" xfId="0" applyFill="1" applyBorder="1"/>
    <xf numFmtId="0" fontId="0" fillId="4" borderId="45" xfId="0" applyFill="1" applyBorder="1"/>
    <xf numFmtId="0" fontId="0" fillId="14" borderId="44" xfId="0" applyFill="1" applyBorder="1"/>
    <xf numFmtId="0" fontId="0" fillId="15" borderId="30" xfId="0" applyFill="1" applyBorder="1"/>
    <xf numFmtId="0" fontId="0" fillId="9" borderId="35" xfId="0" applyFill="1" applyBorder="1"/>
    <xf numFmtId="0" fontId="0" fillId="0" borderId="43" xfId="0" applyBorder="1" applyAlignment="1">
      <alignment horizontal="left"/>
    </xf>
    <xf numFmtId="0" fontId="0" fillId="0" borderId="19" xfId="0" applyBorder="1" applyAlignment="1">
      <alignment horizontal="left"/>
    </xf>
    <xf numFmtId="0" fontId="0" fillId="0" borderId="45" xfId="0" applyBorder="1" applyAlignment="1">
      <alignment horizontal="left"/>
    </xf>
    <xf numFmtId="0" fontId="0" fillId="0" borderId="51" xfId="0" applyBorder="1" applyAlignment="1">
      <alignment horizontal="center" vertical="center"/>
    </xf>
    <xf numFmtId="0" fontId="5" fillId="5" borderId="44" xfId="0" applyFont="1" applyFill="1" applyBorder="1" applyAlignment="1" applyProtection="1">
      <alignment horizontal="left"/>
      <protection locked="0"/>
    </xf>
    <xf numFmtId="0" fontId="5" fillId="5" borderId="36" xfId="0" applyFont="1" applyFill="1" applyBorder="1" applyAlignment="1" applyProtection="1">
      <alignment horizontal="left"/>
      <protection locked="0"/>
    </xf>
    <xf numFmtId="0" fontId="0" fillId="0" borderId="45" xfId="0" applyBorder="1" applyAlignment="1">
      <alignment horizontal="center" vertical="center"/>
    </xf>
    <xf numFmtId="0" fontId="0" fillId="0" borderId="48" xfId="0" applyBorder="1" applyAlignment="1">
      <alignment horizontal="center"/>
    </xf>
    <xf numFmtId="0" fontId="0" fillId="0" borderId="52" xfId="0" applyBorder="1" applyAlignment="1">
      <alignment horizontal="center"/>
    </xf>
    <xf numFmtId="0" fontId="0" fillId="0" borderId="49" xfId="0" applyBorder="1" applyAlignment="1">
      <alignment horizontal="center"/>
    </xf>
    <xf numFmtId="0" fontId="0" fillId="0" borderId="38" xfId="0" applyBorder="1" applyAlignment="1">
      <alignment horizontal="center"/>
    </xf>
    <xf numFmtId="0" fontId="5" fillId="5" borderId="37" xfId="0" applyFont="1" applyFill="1" applyBorder="1" applyAlignment="1" applyProtection="1">
      <alignment horizontal="left"/>
      <protection locked="0"/>
    </xf>
    <xf numFmtId="0" fontId="5" fillId="5" borderId="28" xfId="0" applyFont="1" applyFill="1" applyBorder="1" applyAlignment="1" applyProtection="1">
      <alignment horizontal="left"/>
      <protection locked="0"/>
    </xf>
    <xf numFmtId="0" fontId="0" fillId="0" borderId="27" xfId="0" applyBorder="1" applyAlignment="1">
      <alignment horizontal="center" vertical="center"/>
    </xf>
    <xf numFmtId="0" fontId="5" fillId="5" borderId="15" xfId="0" applyFont="1" applyFill="1" applyBorder="1" applyAlignment="1" applyProtection="1">
      <alignment horizontal="left"/>
      <protection locked="0"/>
    </xf>
    <xf numFmtId="0" fontId="0" fillId="0" borderId="15" xfId="0" applyBorder="1" applyAlignment="1">
      <alignment horizontal="center" vertical="center"/>
    </xf>
    <xf numFmtId="0" fontId="5" fillId="5" borderId="53" xfId="0" applyFont="1" applyFill="1" applyBorder="1" applyAlignment="1" applyProtection="1">
      <alignment horizontal="left"/>
      <protection locked="0"/>
    </xf>
    <xf numFmtId="0" fontId="0" fillId="0" borderId="53" xfId="0" applyBorder="1" applyAlignment="1">
      <alignment horizontal="center" vertical="center"/>
    </xf>
    <xf numFmtId="0" fontId="0" fillId="0" borderId="54" xfId="0" applyBorder="1"/>
    <xf numFmtId="0" fontId="7" fillId="12" borderId="39" xfId="0" applyFont="1" applyFill="1" applyBorder="1" applyAlignment="1">
      <alignment horizontal="center" vertical="center"/>
    </xf>
    <xf numFmtId="0" fontId="7" fillId="12" borderId="40" xfId="0" applyFont="1" applyFill="1" applyBorder="1" applyAlignment="1">
      <alignment horizontal="center" vertical="center"/>
    </xf>
    <xf numFmtId="0" fontId="7" fillId="12" borderId="33" xfId="0" applyFont="1" applyFill="1" applyBorder="1" applyAlignment="1">
      <alignment horizontal="center" vertical="center"/>
    </xf>
    <xf numFmtId="0" fontId="7" fillId="12" borderId="0" xfId="0" applyFont="1" applyFill="1" applyAlignment="1">
      <alignment horizontal="center" vertical="center"/>
    </xf>
    <xf numFmtId="0" fontId="7" fillId="12" borderId="55" xfId="0" applyFont="1" applyFill="1" applyBorder="1" applyAlignment="1">
      <alignment horizontal="center" vertical="center"/>
    </xf>
    <xf numFmtId="0" fontId="7" fillId="12" borderId="56" xfId="0" applyFont="1" applyFill="1" applyBorder="1" applyAlignment="1">
      <alignment horizontal="center" vertical="center"/>
    </xf>
    <xf numFmtId="0" fontId="8" fillId="0" borderId="38" xfId="0" applyFont="1" applyBorder="1"/>
    <xf numFmtId="0" fontId="9" fillId="16" borderId="38" xfId="0" applyFont="1" applyFill="1" applyBorder="1" applyAlignment="1">
      <alignment horizontal="center" vertical="center"/>
    </xf>
    <xf numFmtId="0" fontId="9" fillId="16" borderId="47" xfId="0" applyFont="1" applyFill="1" applyBorder="1" applyAlignment="1">
      <alignment horizontal="center" vertical="center"/>
    </xf>
    <xf numFmtId="0" fontId="9" fillId="16" borderId="57" xfId="0" applyFont="1" applyFill="1" applyBorder="1" applyAlignment="1">
      <alignment horizontal="center" vertical="center"/>
    </xf>
    <xf numFmtId="0" fontId="9" fillId="16" borderId="0" xfId="0" applyFont="1" applyFill="1" applyAlignment="1">
      <alignment horizontal="center" vertical="center"/>
    </xf>
    <xf numFmtId="0" fontId="9" fillId="0" borderId="38" xfId="0" applyFont="1" applyBorder="1"/>
    <xf numFmtId="0" fontId="3" fillId="0" borderId="38" xfId="0" applyFont="1" applyBorder="1" applyAlignment="1">
      <alignment horizontal="center" vertical="center"/>
    </xf>
    <xf numFmtId="0" fontId="3" fillId="0" borderId="47" xfId="0" applyFont="1" applyBorder="1" applyAlignment="1">
      <alignment horizontal="center" vertical="center"/>
    </xf>
    <xf numFmtId="0" fontId="3" fillId="0" borderId="57" xfId="0" applyFont="1" applyBorder="1" applyAlignment="1">
      <alignment horizontal="center" vertical="center"/>
    </xf>
    <xf numFmtId="0" fontId="3" fillId="0" borderId="0" xfId="0" applyFont="1" applyAlignment="1">
      <alignment horizontal="center" vertical="center"/>
    </xf>
    <xf numFmtId="2" fontId="3" fillId="0" borderId="38" xfId="0" applyNumberFormat="1" applyFont="1" applyBorder="1" applyAlignment="1">
      <alignment horizontal="center" vertical="center"/>
    </xf>
    <xf numFmtId="2" fontId="3" fillId="0" borderId="47" xfId="0" applyNumberFormat="1" applyFont="1" applyBorder="1" applyAlignment="1">
      <alignment horizontal="center" vertical="center"/>
    </xf>
    <xf numFmtId="2" fontId="3" fillId="0" borderId="57" xfId="0" applyNumberFormat="1" applyFont="1" applyBorder="1" applyAlignment="1">
      <alignment horizontal="center" vertical="center"/>
    </xf>
    <xf numFmtId="2" fontId="3" fillId="0" borderId="0" xfId="0" applyNumberFormat="1" applyFont="1" applyAlignment="1">
      <alignment horizontal="center" vertical="center"/>
    </xf>
    <xf numFmtId="0" fontId="10" fillId="0" borderId="0" xfId="0" applyFont="1"/>
    <xf numFmtId="0" fontId="8" fillId="0" borderId="0" xfId="0" applyFont="1"/>
    <xf numFmtId="0" fontId="11" fillId="0" borderId="0" xfId="0" applyFont="1"/>
    <xf numFmtId="0" fontId="3" fillId="0" borderId="17" xfId="0" applyFont="1" applyBorder="1"/>
    <xf numFmtId="0" fontId="12" fillId="17" borderId="58" xfId="0" applyFont="1" applyFill="1" applyBorder="1" applyAlignment="1">
      <alignment horizontal="center"/>
    </xf>
    <xf numFmtId="0" fontId="13" fillId="0" borderId="19" xfId="0" applyFont="1" applyBorder="1"/>
    <xf numFmtId="0" fontId="13" fillId="16" borderId="5" xfId="0" applyFont="1" applyFill="1" applyBorder="1" applyAlignment="1">
      <alignment horizontal="center" vertical="center"/>
    </xf>
    <xf numFmtId="0" fontId="13" fillId="16" borderId="1" xfId="0" applyFont="1" applyFill="1" applyBorder="1" applyAlignment="1">
      <alignment horizontal="center" vertical="center"/>
    </xf>
    <xf numFmtId="0" fontId="13" fillId="16" borderId="3" xfId="0" applyFont="1" applyFill="1" applyBorder="1" applyAlignment="1">
      <alignment horizontal="center" vertical="center"/>
    </xf>
    <xf numFmtId="0" fontId="13" fillId="18" borderId="19" xfId="0" applyFont="1" applyFill="1" applyBorder="1"/>
    <xf numFmtId="0" fontId="13" fillId="19" borderId="5" xfId="0" applyFont="1" applyFill="1" applyBorder="1" applyAlignment="1" applyProtection="1">
      <alignment horizontal="center" vertical="center"/>
      <protection locked="0"/>
    </xf>
    <xf numFmtId="0" fontId="13" fillId="19" borderId="2" xfId="0" applyFont="1" applyFill="1" applyBorder="1" applyAlignment="1" applyProtection="1">
      <alignment horizontal="center" vertical="center"/>
      <protection locked="0"/>
    </xf>
    <xf numFmtId="1" fontId="13" fillId="20" borderId="2" xfId="0" applyNumberFormat="1" applyFont="1" applyFill="1" applyBorder="1" applyAlignment="1">
      <alignment horizontal="center" vertical="center"/>
    </xf>
    <xf numFmtId="2" fontId="13" fillId="20" borderId="25" xfId="0" applyNumberFormat="1" applyFont="1" applyFill="1" applyBorder="1" applyAlignment="1">
      <alignment horizontal="center" vertical="center"/>
    </xf>
    <xf numFmtId="1" fontId="13" fillId="21" borderId="3" xfId="0" applyNumberFormat="1" applyFont="1" applyFill="1" applyBorder="1" applyAlignment="1" applyProtection="1">
      <alignment horizontal="center" vertical="center"/>
      <protection locked="0"/>
    </xf>
    <xf numFmtId="0" fontId="13" fillId="19" borderId="1" xfId="0" applyFont="1" applyFill="1" applyBorder="1" applyAlignment="1" applyProtection="1">
      <alignment horizontal="center" vertical="center"/>
      <protection locked="0"/>
    </xf>
    <xf numFmtId="1" fontId="13" fillId="20" borderId="1" xfId="0" applyNumberFormat="1" applyFont="1" applyFill="1" applyBorder="1" applyAlignment="1">
      <alignment horizontal="center" vertical="center"/>
    </xf>
    <xf numFmtId="2" fontId="13" fillId="20" borderId="3" xfId="0" applyNumberFormat="1" applyFont="1" applyFill="1" applyBorder="1" applyAlignment="1">
      <alignment horizontal="center" vertical="center"/>
    </xf>
    <xf numFmtId="0" fontId="13" fillId="19" borderId="59" xfId="0" applyFont="1" applyFill="1" applyBorder="1" applyAlignment="1" applyProtection="1">
      <alignment horizontal="center" vertical="center"/>
      <protection locked="0"/>
    </xf>
    <xf numFmtId="1" fontId="13" fillId="21" borderId="25" xfId="0" applyNumberFormat="1" applyFont="1" applyFill="1" applyBorder="1" applyAlignment="1" applyProtection="1">
      <alignment horizontal="center" vertical="center"/>
      <protection locked="0"/>
    </xf>
    <xf numFmtId="0" fontId="13" fillId="18" borderId="26" xfId="0" applyFont="1" applyFill="1" applyBorder="1"/>
    <xf numFmtId="0" fontId="13" fillId="18" borderId="45" xfId="0" applyFont="1" applyFill="1" applyBorder="1"/>
    <xf numFmtId="0" fontId="13" fillId="19" borderId="60" xfId="0" applyFont="1" applyFill="1" applyBorder="1" applyAlignment="1" applyProtection="1">
      <alignment horizontal="center" vertical="center"/>
      <protection locked="0"/>
    </xf>
    <xf numFmtId="1" fontId="13" fillId="20" borderId="61" xfId="0" applyNumberFormat="1" applyFont="1" applyFill="1" applyBorder="1" applyAlignment="1">
      <alignment horizontal="center" vertical="center"/>
    </xf>
    <xf numFmtId="2" fontId="13" fillId="20" borderId="62" xfId="0" applyNumberFormat="1" applyFont="1" applyFill="1" applyBorder="1" applyAlignment="1">
      <alignment horizontal="center" vertical="center"/>
    </xf>
    <xf numFmtId="1" fontId="13" fillId="21" borderId="62" xfId="0" applyNumberFormat="1" applyFont="1" applyFill="1" applyBorder="1" applyAlignment="1" applyProtection="1">
      <alignment horizontal="center" vertical="center"/>
      <protection locked="0"/>
    </xf>
    <xf numFmtId="0" fontId="13" fillId="18" borderId="17" xfId="0" applyFont="1" applyFill="1" applyBorder="1"/>
    <xf numFmtId="0" fontId="14" fillId="22" borderId="9" xfId="0" applyFont="1" applyFill="1" applyBorder="1"/>
    <xf numFmtId="0" fontId="14" fillId="22" borderId="1" xfId="0" applyFont="1" applyFill="1" applyBorder="1" applyAlignment="1">
      <alignment horizontal="center" vertical="center"/>
    </xf>
    <xf numFmtId="1" fontId="14" fillId="22" borderId="1" xfId="0" applyNumberFormat="1" applyFont="1" applyFill="1" applyBorder="1" applyAlignment="1">
      <alignment horizontal="center" vertical="center"/>
    </xf>
    <xf numFmtId="2" fontId="14" fillId="22" borderId="1" xfId="0" applyNumberFormat="1" applyFont="1" applyFill="1" applyBorder="1" applyAlignment="1">
      <alignment horizontal="center" vertical="center"/>
    </xf>
    <xf numFmtId="0" fontId="8" fillId="23" borderId="7" xfId="0" applyFont="1" applyFill="1" applyBorder="1" applyAlignment="1">
      <alignment horizontal="center"/>
    </xf>
    <xf numFmtId="0" fontId="8" fillId="23" borderId="0" xfId="0" applyFont="1" applyFill="1" applyAlignment="1">
      <alignment horizontal="center"/>
    </xf>
    <xf numFmtId="0" fontId="3" fillId="0" borderId="1" xfId="0" applyFont="1" applyBorder="1"/>
    <xf numFmtId="0" fontId="15" fillId="0" borderId="2" xfId="0" applyFont="1" applyBorder="1" applyAlignment="1">
      <alignment horizontal="center"/>
    </xf>
    <xf numFmtId="1" fontId="15" fillId="13" borderId="1" xfId="0" applyNumberFormat="1" applyFont="1" applyFill="1" applyBorder="1" applyAlignment="1">
      <alignment horizontal="center"/>
    </xf>
    <xf numFmtId="0" fontId="15" fillId="13" borderId="2" xfId="0" applyFont="1" applyFill="1" applyBorder="1" applyAlignment="1">
      <alignment horizontal="center"/>
    </xf>
    <xf numFmtId="0" fontId="15" fillId="0" borderId="1" xfId="0" applyFont="1" applyBorder="1" applyAlignment="1">
      <alignment horizontal="center"/>
    </xf>
    <xf numFmtId="0" fontId="12" fillId="17" borderId="63" xfId="0" applyFont="1" applyFill="1" applyBorder="1" applyAlignment="1">
      <alignment horizontal="center"/>
    </xf>
    <xf numFmtId="1" fontId="14" fillId="22" borderId="3" xfId="0" applyNumberFormat="1" applyFont="1" applyFill="1" applyBorder="1" applyAlignment="1">
      <alignment horizontal="center" vertical="center"/>
    </xf>
    <xf numFmtId="0" fontId="7" fillId="12" borderId="64" xfId="0" applyFont="1" applyFill="1" applyBorder="1" applyAlignment="1">
      <alignment horizontal="center" vertical="center"/>
    </xf>
    <xf numFmtId="0" fontId="7" fillId="12" borderId="65" xfId="0" applyFont="1" applyFill="1" applyBorder="1" applyAlignment="1">
      <alignment horizontal="center" vertical="center"/>
    </xf>
    <xf numFmtId="0" fontId="7" fillId="12" borderId="66" xfId="0" applyFont="1" applyFill="1" applyBorder="1" applyAlignment="1">
      <alignment horizontal="center" vertical="center"/>
    </xf>
    <xf numFmtId="0" fontId="8" fillId="0" borderId="38" xfId="0" applyFont="1" applyBorder="1" applyAlignment="1">
      <alignment horizontal="center" vertical="center"/>
    </xf>
    <xf numFmtId="0" fontId="9" fillId="0" borderId="38" xfId="0" applyFont="1" applyBorder="1" applyAlignment="1">
      <alignment horizontal="center" vertical="center"/>
    </xf>
    <xf numFmtId="0" fontId="3" fillId="0" borderId="67" xfId="0" applyFont="1" applyBorder="1" applyAlignment="1">
      <alignment horizontal="center" vertical="center"/>
    </xf>
    <xf numFmtId="1" fontId="3" fillId="0" borderId="38" xfId="0" applyNumberFormat="1" applyFont="1" applyBorder="1" applyAlignment="1">
      <alignment horizontal="center" vertical="center"/>
    </xf>
    <xf numFmtId="1" fontId="3" fillId="0" borderId="47" xfId="0" applyNumberFormat="1" applyFont="1" applyBorder="1" applyAlignment="1">
      <alignment horizontal="center" vertical="center"/>
    </xf>
    <xf numFmtId="1" fontId="3" fillId="0" borderId="57" xfId="0" applyNumberFormat="1" applyFont="1" applyBorder="1" applyAlignment="1">
      <alignment horizontal="center" vertical="center"/>
    </xf>
    <xf numFmtId="1" fontId="3" fillId="0" borderId="67" xfId="0" applyNumberFormat="1" applyFont="1" applyBorder="1" applyAlignment="1">
      <alignment horizontal="center" vertical="center"/>
    </xf>
    <xf numFmtId="2" fontId="3" fillId="0" borderId="67" xfId="0" applyNumberFormat="1" applyFont="1" applyBorder="1" applyAlignment="1">
      <alignment horizontal="center" vertical="center"/>
    </xf>
    <xf numFmtId="0" fontId="12" fillId="17" borderId="37" xfId="0" applyFont="1" applyFill="1" applyBorder="1" applyAlignment="1">
      <alignment horizontal="center"/>
    </xf>
    <xf numFmtId="0" fontId="12" fillId="17" borderId="42" xfId="0" applyFont="1" applyFill="1" applyBorder="1" applyAlignment="1">
      <alignment horizontal="center"/>
    </xf>
    <xf numFmtId="0" fontId="13" fillId="16" borderId="68" xfId="0" applyFont="1" applyFill="1" applyBorder="1" applyAlignment="1">
      <alignment horizontal="center" vertical="center"/>
    </xf>
    <xf numFmtId="1" fontId="13" fillId="21" borderId="68" xfId="0" applyNumberFormat="1" applyFont="1" applyFill="1" applyBorder="1" applyAlignment="1" applyProtection="1">
      <alignment horizontal="center" vertical="center"/>
      <protection locked="0"/>
    </xf>
    <xf numFmtId="1" fontId="13" fillId="21" borderId="59" xfId="0" applyNumberFormat="1" applyFont="1" applyFill="1" applyBorder="1" applyAlignment="1" applyProtection="1">
      <alignment horizontal="center" vertical="center"/>
      <protection locked="0"/>
    </xf>
    <xf numFmtId="1" fontId="13" fillId="21" borderId="5" xfId="0" applyNumberFormat="1" applyFont="1" applyFill="1" applyBorder="1" applyAlignment="1" applyProtection="1">
      <alignment horizontal="center" vertical="center"/>
      <protection locked="0"/>
    </xf>
    <xf numFmtId="1" fontId="13" fillId="21" borderId="69" xfId="0" applyNumberFormat="1" applyFont="1" applyFill="1" applyBorder="1" applyAlignment="1" applyProtection="1">
      <alignment horizontal="center" vertical="center"/>
      <protection locked="0"/>
    </xf>
    <xf numFmtId="0" fontId="13" fillId="24" borderId="69" xfId="0" applyFont="1" applyFill="1" applyBorder="1" applyAlignment="1" applyProtection="1">
      <alignment horizontal="center" vertical="center"/>
      <protection locked="0"/>
    </xf>
    <xf numFmtId="0" fontId="13" fillId="24" borderId="59" xfId="0" applyFont="1" applyFill="1" applyBorder="1" applyAlignment="1" applyProtection="1">
      <alignment horizontal="center" vertical="center"/>
      <protection locked="0"/>
    </xf>
    <xf numFmtId="0" fontId="13" fillId="24" borderId="70" xfId="0" applyFont="1" applyFill="1" applyBorder="1" applyAlignment="1" applyProtection="1">
      <alignment horizontal="center" vertical="center"/>
      <protection locked="0"/>
    </xf>
    <xf numFmtId="0" fontId="13" fillId="24" borderId="60" xfId="0" applyFont="1" applyFill="1" applyBorder="1" applyAlignment="1" applyProtection="1">
      <alignment horizontal="center" vertical="center"/>
      <protection locked="0"/>
    </xf>
    <xf numFmtId="1" fontId="14" fillId="22" borderId="68" xfId="0" applyNumberFormat="1" applyFont="1" applyFill="1" applyBorder="1" applyAlignment="1">
      <alignment horizontal="center" vertical="center"/>
    </xf>
    <xf numFmtId="1" fontId="14" fillId="22" borderId="5" xfId="0" applyNumberFormat="1" applyFont="1" applyFill="1" applyBorder="1" applyAlignment="1">
      <alignment horizontal="center" vertical="center"/>
    </xf>
    <xf numFmtId="0" fontId="9" fillId="0" borderId="0" xfId="0" applyFont="1" applyAlignment="1">
      <alignment horizontal="center" vertical="center"/>
    </xf>
    <xf numFmtId="0" fontId="13" fillId="16" borderId="18" xfId="0" applyFont="1" applyFill="1" applyBorder="1"/>
    <xf numFmtId="1" fontId="13" fillId="21" borderId="18" xfId="0" applyNumberFormat="1" applyFont="1" applyFill="1" applyBorder="1" applyProtection="1">
      <protection locked="0"/>
    </xf>
    <xf numFmtId="1" fontId="13" fillId="21" borderId="30" xfId="0" applyNumberFormat="1" applyFont="1" applyFill="1" applyBorder="1" applyProtection="1">
      <protection locked="0"/>
    </xf>
    <xf numFmtId="1" fontId="13" fillId="21" borderId="71" xfId="0" applyNumberFormat="1" applyFont="1" applyFill="1" applyBorder="1" applyProtection="1">
      <protection locked="0"/>
    </xf>
    <xf numFmtId="1" fontId="13" fillId="21" borderId="68" xfId="0" applyNumberFormat="1" applyFont="1" applyFill="1" applyBorder="1" applyProtection="1">
      <protection locked="0"/>
    </xf>
    <xf numFmtId="1" fontId="14" fillId="22" borderId="68" xfId="0" applyNumberFormat="1" applyFont="1" applyFill="1" applyBorder="1"/>
    <xf numFmtId="0" fontId="9" fillId="16" borderId="38" xfId="0" applyFont="1" applyFill="1" applyBorder="1" applyAlignment="1">
      <alignment vertical="center"/>
    </xf>
    <xf numFmtId="0" fontId="9" fillId="16" borderId="47" xfId="0" applyFont="1" applyFill="1" applyBorder="1" applyAlignment="1">
      <alignment vertical="center"/>
    </xf>
    <xf numFmtId="0" fontId="9" fillId="16" borderId="57" xfId="0" applyFont="1" applyFill="1" applyBorder="1" applyAlignment="1">
      <alignment vertical="center"/>
    </xf>
    <xf numFmtId="0" fontId="9" fillId="16" borderId="67" xfId="0" applyFont="1" applyFill="1" applyBorder="1" applyAlignment="1">
      <alignment horizontal="center" vertical="center"/>
    </xf>
    <xf numFmtId="0" fontId="3" fillId="0" borderId="7" xfId="0" applyFont="1" applyBorder="1"/>
    <xf numFmtId="0" fontId="13" fillId="16" borderId="5" xfId="0" applyFont="1" applyFill="1" applyBorder="1"/>
    <xf numFmtId="0" fontId="13" fillId="16" borderId="1" xfId="0" applyFont="1" applyFill="1" applyBorder="1"/>
    <xf numFmtId="0" fontId="13" fillId="16" borderId="3" xfId="0" applyFont="1" applyFill="1" applyBorder="1"/>
    <xf numFmtId="0" fontId="13" fillId="19" borderId="59" xfId="0" applyFont="1" applyFill="1" applyBorder="1" applyProtection="1">
      <protection locked="0"/>
    </xf>
    <xf numFmtId="1" fontId="13" fillId="20" borderId="2" xfId="0" applyNumberFormat="1" applyFont="1" applyFill="1" applyBorder="1"/>
    <xf numFmtId="2" fontId="13" fillId="20" borderId="25" xfId="0" applyNumberFormat="1" applyFont="1" applyFill="1" applyBorder="1"/>
    <xf numFmtId="1" fontId="13" fillId="21" borderId="3" xfId="0" applyNumberFormat="1" applyFont="1" applyFill="1" applyBorder="1" applyProtection="1">
      <protection locked="0"/>
    </xf>
    <xf numFmtId="0" fontId="13" fillId="19" borderId="5" xfId="0" applyFont="1" applyFill="1" applyBorder="1" applyProtection="1">
      <protection locked="0"/>
    </xf>
    <xf numFmtId="1" fontId="13" fillId="20" borderId="1" xfId="0" applyNumberFormat="1" applyFont="1" applyFill="1" applyBorder="1"/>
    <xf numFmtId="2" fontId="13" fillId="20" borderId="3" xfId="0" applyNumberFormat="1" applyFont="1" applyFill="1" applyBorder="1"/>
    <xf numFmtId="1" fontId="13" fillId="21" borderId="25" xfId="0" applyNumberFormat="1" applyFont="1" applyFill="1" applyBorder="1" applyProtection="1">
      <protection locked="0"/>
    </xf>
    <xf numFmtId="0" fontId="13" fillId="19" borderId="72" xfId="0" applyFont="1" applyFill="1" applyBorder="1" applyProtection="1">
      <protection locked="0"/>
    </xf>
    <xf numFmtId="1" fontId="13" fillId="20" borderId="31" xfId="0" applyNumberFormat="1" applyFont="1" applyFill="1" applyBorder="1"/>
    <xf numFmtId="2" fontId="13" fillId="20" borderId="53" xfId="0" applyNumberFormat="1" applyFont="1" applyFill="1" applyBorder="1"/>
    <xf numFmtId="1" fontId="13" fillId="21" borderId="53" xfId="0" applyNumberFormat="1" applyFont="1" applyFill="1" applyBorder="1" applyProtection="1">
      <protection locked="0"/>
    </xf>
    <xf numFmtId="0" fontId="13" fillId="19" borderId="8" xfId="0" applyFont="1" applyFill="1" applyBorder="1" applyProtection="1">
      <protection locked="0"/>
    </xf>
    <xf numFmtId="1" fontId="13" fillId="20" borderId="6" xfId="0" applyNumberFormat="1" applyFont="1" applyFill="1" applyBorder="1"/>
    <xf numFmtId="2" fontId="13" fillId="20" borderId="7" xfId="0" applyNumberFormat="1" applyFont="1" applyFill="1" applyBorder="1"/>
    <xf numFmtId="1" fontId="13" fillId="21" borderId="73" xfId="0" applyNumberFormat="1" applyFont="1" applyFill="1" applyBorder="1" applyProtection="1">
      <protection locked="0"/>
    </xf>
    <xf numFmtId="1" fontId="14" fillId="22" borderId="5" xfId="0" applyNumberFormat="1" applyFont="1" applyFill="1" applyBorder="1"/>
    <xf numFmtId="1" fontId="14" fillId="22" borderId="1" xfId="0" applyNumberFormat="1" applyFont="1" applyFill="1" applyBorder="1"/>
    <xf numFmtId="2" fontId="14" fillId="22" borderId="1" xfId="0" applyNumberFormat="1" applyFont="1" applyFill="1" applyBorder="1"/>
    <xf numFmtId="0" fontId="3" fillId="0" borderId="54" xfId="0" applyFont="1" applyBorder="1"/>
    <xf numFmtId="0" fontId="3" fillId="0" borderId="59" xfId="0" applyFont="1" applyBorder="1"/>
    <xf numFmtId="0" fontId="3" fillId="0" borderId="8" xfId="0" applyFont="1" applyBorder="1"/>
    <xf numFmtId="0" fontId="12" fillId="17" borderId="28" xfId="0" applyFont="1" applyFill="1" applyBorder="1" applyAlignment="1">
      <alignment horizontal="center"/>
    </xf>
    <xf numFmtId="0" fontId="13" fillId="16" borderId="29" xfId="0" applyFont="1" applyFill="1" applyBorder="1"/>
    <xf numFmtId="1" fontId="13" fillId="21" borderId="29" xfId="0" applyNumberFormat="1" applyFont="1" applyFill="1" applyBorder="1" applyProtection="1">
      <protection locked="0"/>
    </xf>
    <xf numFmtId="1" fontId="13" fillId="21" borderId="5" xfId="0" applyNumberFormat="1" applyFont="1" applyFill="1" applyBorder="1" applyProtection="1">
      <protection locked="0"/>
    </xf>
    <xf numFmtId="1" fontId="13" fillId="21" borderId="51" xfId="0" applyNumberFormat="1" applyFont="1" applyFill="1" applyBorder="1" applyProtection="1">
      <protection locked="0"/>
    </xf>
    <xf numFmtId="1" fontId="13" fillId="21" borderId="59" xfId="0" applyNumberFormat="1" applyFont="1" applyFill="1" applyBorder="1" applyProtection="1">
      <protection locked="0"/>
    </xf>
    <xf numFmtId="1" fontId="13" fillId="21" borderId="35" xfId="0" applyNumberFormat="1" applyFont="1" applyFill="1" applyBorder="1" applyProtection="1">
      <protection locked="0"/>
    </xf>
    <xf numFmtId="1" fontId="13" fillId="21" borderId="60" xfId="0" applyNumberFormat="1" applyFont="1" applyFill="1" applyBorder="1" applyProtection="1">
      <protection locked="0"/>
    </xf>
    <xf numFmtId="0" fontId="13" fillId="19" borderId="60" xfId="0" applyFont="1" applyFill="1" applyBorder="1" applyProtection="1">
      <protection locked="0"/>
    </xf>
    <xf numFmtId="1" fontId="14" fillId="22" borderId="3" xfId="0" applyNumberFormat="1" applyFont="1" applyFill="1" applyBorder="1"/>
    <xf numFmtId="0" fontId="13" fillId="16" borderId="9" xfId="0" applyFont="1" applyFill="1" applyBorder="1"/>
    <xf numFmtId="0" fontId="13" fillId="16" borderId="73" xfId="0" applyFont="1" applyFill="1" applyBorder="1"/>
    <xf numFmtId="1" fontId="13" fillId="20" borderId="61" xfId="0" applyNumberFormat="1" applyFont="1" applyFill="1" applyBorder="1"/>
    <xf numFmtId="2" fontId="13" fillId="20" borderId="62" xfId="0" applyNumberFormat="1" applyFont="1" applyFill="1" applyBorder="1"/>
    <xf numFmtId="1" fontId="13" fillId="21" borderId="62" xfId="0" applyNumberFormat="1" applyFont="1" applyFill="1" applyBorder="1" applyProtection="1">
      <protection locked="0"/>
    </xf>
    <xf numFmtId="2" fontId="14" fillId="22" borderId="3" xfId="0" applyNumberFormat="1" applyFont="1" applyFill="1" applyBorder="1"/>
    <xf numFmtId="0" fontId="16" fillId="25" borderId="74" xfId="0" applyFont="1" applyFill="1" applyBorder="1" applyAlignment="1">
      <alignment horizontal="center"/>
    </xf>
    <xf numFmtId="0" fontId="16" fillId="25" borderId="75" xfId="0" applyFont="1" applyFill="1" applyBorder="1" applyAlignment="1">
      <alignment horizontal="center"/>
    </xf>
    <xf numFmtId="0" fontId="13" fillId="16" borderId="71" xfId="0" applyFont="1" applyFill="1" applyBorder="1"/>
    <xf numFmtId="0" fontId="3" fillId="20" borderId="68" xfId="0" applyFont="1" applyFill="1" applyBorder="1"/>
    <xf numFmtId="0" fontId="3" fillId="20" borderId="2" xfId="0" applyFont="1" applyFill="1" applyBorder="1"/>
    <xf numFmtId="0" fontId="3" fillId="20" borderId="69" xfId="0" applyFont="1" applyFill="1" applyBorder="1"/>
    <xf numFmtId="0" fontId="3" fillId="20" borderId="76" xfId="0" applyFont="1" applyFill="1" applyBorder="1"/>
    <xf numFmtId="0" fontId="3" fillId="20" borderId="77" xfId="0" applyFont="1" applyFill="1" applyBorder="1"/>
    <xf numFmtId="0" fontId="3" fillId="20" borderId="78" xfId="0" applyFont="1" applyFill="1" applyBorder="1"/>
    <xf numFmtId="0" fontId="3" fillId="20" borderId="79" xfId="0" applyFont="1" applyFill="1" applyBorder="1"/>
    <xf numFmtId="0" fontId="16" fillId="25" borderId="80" xfId="0" applyFont="1" applyFill="1" applyBorder="1" applyAlignment="1">
      <alignment horizontal="center"/>
    </xf>
    <xf numFmtId="0" fontId="13" fillId="16" borderId="81" xfId="0" applyFont="1" applyFill="1" applyBorder="1"/>
    <xf numFmtId="2" fontId="13" fillId="20" borderId="82" xfId="0" applyNumberFormat="1" applyFont="1" applyFill="1" applyBorder="1"/>
    <xf numFmtId="0" fontId="0" fillId="26" borderId="0" xfId="0" applyFill="1"/>
    <xf numFmtId="2" fontId="13" fillId="20" borderId="83" xfId="0" applyNumberFormat="1" applyFont="1" applyFill="1" applyBorder="1"/>
    <xf numFmtId="0" fontId="3" fillId="20" borderId="84" xfId="0" applyFont="1" applyFill="1" applyBorder="1"/>
    <xf numFmtId="0" fontId="3" fillId="23" borderId="1" xfId="0" applyFont="1" applyFill="1" applyBorder="1"/>
    <xf numFmtId="0" fontId="3" fillId="0" borderId="1" xfId="0" applyFont="1" applyBorder="1" applyAlignment="1">
      <alignment horizontal="center"/>
    </xf>
    <xf numFmtId="1" fontId="3" fillId="13" borderId="1" xfId="0" applyNumberFormat="1" applyFont="1" applyFill="1" applyBorder="1" applyAlignment="1">
      <alignment horizontal="center"/>
    </xf>
    <xf numFmtId="0" fontId="3" fillId="13" borderId="1" xfId="0" applyFont="1" applyFill="1" applyBorder="1" applyAlignment="1">
      <alignment horizontal="center"/>
    </xf>
    <xf numFmtId="1" fontId="3" fillId="0" borderId="1" xfId="0" applyNumberFormat="1" applyFont="1" applyBorder="1" applyAlignment="1">
      <alignment horizontal="center"/>
    </xf>
    <xf numFmtId="2" fontId="3" fillId="0" borderId="1" xfId="0" applyNumberFormat="1" applyFont="1" applyBorder="1" applyAlignment="1">
      <alignment horizontal="center"/>
    </xf>
    <xf numFmtId="2" fontId="3" fillId="13" borderId="1" xfId="0" applyNumberFormat="1" applyFont="1" applyFill="1" applyBorder="1" applyAlignment="1">
      <alignment horizontal="center"/>
    </xf>
    <xf numFmtId="0" fontId="8" fillId="23" borderId="73" xfId="0" applyFont="1" applyFill="1" applyBorder="1" applyAlignment="1">
      <alignment horizontal="center"/>
    </xf>
    <xf numFmtId="0" fontId="8" fillId="23" borderId="85" xfId="0" applyFont="1" applyFill="1" applyBorder="1" applyAlignment="1">
      <alignment horizontal="center"/>
    </xf>
    <xf numFmtId="0" fontId="15" fillId="0" borderId="2" xfId="0" applyFont="1" applyBorder="1" applyAlignment="1">
      <alignment horizontal="center" vertical="center"/>
    </xf>
    <xf numFmtId="0" fontId="15" fillId="13" borderId="2" xfId="0" applyFont="1" applyFill="1" applyBorder="1" applyAlignment="1">
      <alignment horizontal="center" vertical="center"/>
    </xf>
    <xf numFmtId="0" fontId="3" fillId="13" borderId="2" xfId="0" applyFont="1" applyFill="1" applyBorder="1" applyAlignment="1">
      <alignment horizontal="center"/>
    </xf>
    <xf numFmtId="1" fontId="3" fillId="13" borderId="2" xfId="0" applyNumberFormat="1" applyFont="1" applyFill="1" applyBorder="1" applyAlignment="1">
      <alignment horizontal="center"/>
    </xf>
    <xf numFmtId="2" fontId="3" fillId="13" borderId="2" xfId="0" applyNumberFormat="1" applyFont="1" applyFill="1" applyBorder="1" applyAlignment="1">
      <alignment horizontal="center"/>
    </xf>
    <xf numFmtId="0" fontId="3" fillId="0" borderId="39" xfId="0" applyFont="1" applyBorder="1"/>
    <xf numFmtId="0" fontId="3" fillId="0" borderId="37" xfId="0" applyFont="1" applyBorder="1"/>
    <xf numFmtId="0" fontId="3" fillId="0" borderId="15" xfId="0" applyFont="1" applyBorder="1"/>
    <xf numFmtId="0" fontId="3" fillId="0" borderId="27" xfId="0" applyFont="1" applyBorder="1"/>
    <xf numFmtId="0" fontId="3" fillId="0" borderId="33" xfId="0" applyFont="1" applyBorder="1" applyAlignment="1">
      <alignment horizontal="center"/>
    </xf>
    <xf numFmtId="0" fontId="3" fillId="0" borderId="0" xfId="0" applyFont="1" applyAlignment="1">
      <alignment horizontal="center"/>
    </xf>
    <xf numFmtId="0" fontId="3" fillId="0" borderId="33" xfId="0" applyFont="1" applyBorder="1"/>
    <xf numFmtId="1" fontId="3" fillId="0" borderId="33" xfId="0" applyNumberFormat="1" applyFont="1" applyBorder="1"/>
    <xf numFmtId="1" fontId="3" fillId="0" borderId="7" xfId="0" applyNumberFormat="1" applyFont="1" applyBorder="1"/>
    <xf numFmtId="1" fontId="3" fillId="27" borderId="7" xfId="0" applyNumberFormat="1" applyFont="1" applyFill="1" applyBorder="1" applyAlignment="1">
      <alignment horizontal="center"/>
    </xf>
    <xf numFmtId="0" fontId="3" fillId="27" borderId="0" xfId="0" applyFont="1" applyFill="1" applyAlignment="1">
      <alignment horizontal="center"/>
    </xf>
    <xf numFmtId="0" fontId="3" fillId="0" borderId="41" xfId="0" applyFont="1" applyBorder="1"/>
    <xf numFmtId="0" fontId="3" fillId="0" borderId="73" xfId="0" applyFont="1" applyBorder="1"/>
    <xf numFmtId="0" fontId="3" fillId="0" borderId="55" xfId="0" applyFont="1" applyBorder="1"/>
    <xf numFmtId="1" fontId="3" fillId="27" borderId="31" xfId="0" applyNumberFormat="1" applyFont="1" applyFill="1" applyBorder="1"/>
    <xf numFmtId="0" fontId="3" fillId="27" borderId="7" xfId="0" applyFont="1" applyFill="1" applyBorder="1" applyAlignment="1">
      <alignment horizontal="center"/>
    </xf>
    <xf numFmtId="1" fontId="3" fillId="0" borderId="41" xfId="0" applyNumberFormat="1" applyFont="1" applyBorder="1"/>
    <xf numFmtId="1" fontId="3" fillId="0" borderId="73" xfId="0" applyNumberFormat="1" applyFont="1" applyBorder="1"/>
    <xf numFmtId="2" fontId="3" fillId="0" borderId="0" xfId="0" applyNumberFormat="1" applyFont="1"/>
    <xf numFmtId="0" fontId="9" fillId="16" borderId="38" xfId="0" applyFont="1" applyFill="1" applyBorder="1" applyAlignment="1">
      <alignment horizontal="center"/>
    </xf>
    <xf numFmtId="0" fontId="9" fillId="16" borderId="47" xfId="0" applyFont="1" applyFill="1" applyBorder="1" applyAlignment="1">
      <alignment horizontal="center"/>
    </xf>
    <xf numFmtId="0" fontId="9" fillId="16" borderId="57" xfId="0" applyFont="1" applyFill="1" applyBorder="1" applyAlignment="1">
      <alignment horizontal="center"/>
    </xf>
    <xf numFmtId="0" fontId="9" fillId="16" borderId="0" xfId="0" applyFont="1" applyFill="1" applyAlignment="1">
      <alignment horizontal="center"/>
    </xf>
    <xf numFmtId="0" fontId="3" fillId="0" borderId="38" xfId="0" applyFont="1" applyBorder="1" applyAlignment="1">
      <alignment horizontal="center"/>
    </xf>
    <xf numFmtId="0" fontId="3" fillId="0" borderId="47" xfId="0" applyFont="1" applyBorder="1" applyAlignment="1">
      <alignment horizontal="center"/>
    </xf>
    <xf numFmtId="0" fontId="3" fillId="0" borderId="57" xfId="0" applyFont="1" applyBorder="1" applyAlignment="1">
      <alignment horizontal="center"/>
    </xf>
    <xf numFmtId="1" fontId="3" fillId="0" borderId="38" xfId="0" applyNumberFormat="1" applyFont="1" applyBorder="1" applyAlignment="1">
      <alignment horizontal="center"/>
    </xf>
    <xf numFmtId="2" fontId="3" fillId="0" borderId="38" xfId="0" applyNumberFormat="1" applyFont="1" applyBorder="1" applyAlignment="1">
      <alignment horizontal="center"/>
    </xf>
    <xf numFmtId="2" fontId="3" fillId="0" borderId="47" xfId="0" applyNumberFormat="1" applyFont="1" applyBorder="1" applyAlignment="1">
      <alignment horizontal="center"/>
    </xf>
    <xf numFmtId="2" fontId="3" fillId="0" borderId="57" xfId="0" applyNumberFormat="1" applyFont="1" applyBorder="1" applyAlignment="1">
      <alignment horizontal="center"/>
    </xf>
    <xf numFmtId="2" fontId="3" fillId="0" borderId="0" xfId="0" applyNumberFormat="1" applyFont="1" applyAlignment="1">
      <alignment horizontal="center"/>
    </xf>
    <xf numFmtId="0" fontId="8" fillId="0" borderId="0" xfId="0" applyFont="1" applyAlignment="1">
      <alignment horizontal="center"/>
    </xf>
    <xf numFmtId="0" fontId="11" fillId="0" borderId="0" xfId="0" applyFont="1" applyAlignment="1">
      <alignment horizontal="center"/>
    </xf>
    <xf numFmtId="0" fontId="13" fillId="0" borderId="20" xfId="0" applyFont="1" applyBorder="1"/>
    <xf numFmtId="0" fontId="13" fillId="16" borderId="18" xfId="0" applyFont="1" applyFill="1" applyBorder="1" applyAlignment="1">
      <alignment horizontal="center"/>
    </xf>
    <xf numFmtId="0" fontId="13" fillId="16" borderId="1" xfId="0" applyFont="1" applyFill="1" applyBorder="1" applyAlignment="1">
      <alignment horizontal="center"/>
    </xf>
    <xf numFmtId="0" fontId="13" fillId="16" borderId="3" xfId="0" applyFont="1" applyFill="1" applyBorder="1" applyAlignment="1">
      <alignment horizontal="center"/>
    </xf>
    <xf numFmtId="0" fontId="17" fillId="28" borderId="20" xfId="0" applyFont="1" applyFill="1" applyBorder="1"/>
    <xf numFmtId="0" fontId="13" fillId="19" borderId="18" xfId="0" applyFont="1" applyFill="1" applyBorder="1" applyAlignment="1" applyProtection="1">
      <alignment horizontal="center"/>
      <protection locked="0"/>
    </xf>
    <xf numFmtId="0" fontId="13" fillId="19" borderId="2" xfId="0" applyFont="1" applyFill="1" applyBorder="1" applyAlignment="1" applyProtection="1">
      <alignment horizontal="center"/>
      <protection locked="0"/>
    </xf>
    <xf numFmtId="1" fontId="13" fillId="20" borderId="2" xfId="0" applyNumberFormat="1" applyFont="1" applyFill="1" applyBorder="1" applyAlignment="1">
      <alignment horizontal="center"/>
    </xf>
    <xf numFmtId="2" fontId="13" fillId="20" borderId="25" xfId="0" applyNumberFormat="1" applyFont="1" applyFill="1" applyBorder="1" applyAlignment="1">
      <alignment horizontal="center"/>
    </xf>
    <xf numFmtId="1" fontId="13" fillId="21" borderId="3" xfId="0" applyNumberFormat="1" applyFont="1" applyFill="1" applyBorder="1" applyAlignment="1" applyProtection="1">
      <alignment horizontal="center"/>
      <protection locked="0"/>
    </xf>
    <xf numFmtId="0" fontId="13" fillId="28" borderId="20" xfId="0" applyFont="1" applyFill="1" applyBorder="1"/>
    <xf numFmtId="0" fontId="13" fillId="19" borderId="1" xfId="0" applyFont="1" applyFill="1" applyBorder="1" applyAlignment="1" applyProtection="1">
      <alignment horizontal="center"/>
      <protection locked="0"/>
    </xf>
    <xf numFmtId="1" fontId="13" fillId="20" borderId="1" xfId="0" applyNumberFormat="1" applyFont="1" applyFill="1" applyBorder="1" applyAlignment="1">
      <alignment horizontal="center"/>
    </xf>
    <xf numFmtId="2" fontId="13" fillId="20" borderId="3" xfId="0" applyNumberFormat="1" applyFont="1" applyFill="1" applyBorder="1" applyAlignment="1">
      <alignment horizontal="center"/>
    </xf>
    <xf numFmtId="0" fontId="13" fillId="19" borderId="5" xfId="0" applyFont="1" applyFill="1" applyBorder="1" applyAlignment="1" applyProtection="1">
      <alignment horizontal="center"/>
      <protection locked="0"/>
    </xf>
    <xf numFmtId="1" fontId="13" fillId="21" borderId="1" xfId="0" applyNumberFormat="1" applyFont="1" applyFill="1" applyBorder="1" applyAlignment="1" applyProtection="1">
      <alignment horizontal="center"/>
      <protection locked="0"/>
    </xf>
    <xf numFmtId="0" fontId="17" fillId="28" borderId="3" xfId="0" applyFont="1" applyFill="1" applyBorder="1"/>
    <xf numFmtId="2" fontId="13" fillId="20" borderId="1" xfId="0" applyNumberFormat="1" applyFont="1" applyFill="1" applyBorder="1" applyAlignment="1">
      <alignment horizontal="center"/>
    </xf>
    <xf numFmtId="0" fontId="13" fillId="28" borderId="3" xfId="0" applyFont="1" applyFill="1" applyBorder="1"/>
    <xf numFmtId="0" fontId="13" fillId="28" borderId="54" xfId="0" applyFont="1" applyFill="1" applyBorder="1"/>
    <xf numFmtId="0" fontId="13" fillId="19" borderId="24" xfId="0" applyFont="1" applyFill="1" applyBorder="1" applyAlignment="1" applyProtection="1">
      <alignment horizontal="center"/>
      <protection locked="0"/>
    </xf>
    <xf numFmtId="0" fontId="13" fillId="19" borderId="59" xfId="0" applyFont="1" applyFill="1" applyBorder="1" applyAlignment="1" applyProtection="1">
      <alignment horizontal="center"/>
      <protection locked="0"/>
    </xf>
    <xf numFmtId="1" fontId="13" fillId="21" borderId="25" xfId="0" applyNumberFormat="1" applyFont="1" applyFill="1" applyBorder="1" applyAlignment="1" applyProtection="1">
      <alignment horizontal="center"/>
      <protection locked="0"/>
    </xf>
    <xf numFmtId="0" fontId="13" fillId="28" borderId="44" xfId="0" applyFont="1" applyFill="1" applyBorder="1"/>
    <xf numFmtId="0" fontId="13" fillId="19" borderId="30" xfId="0" applyFont="1" applyFill="1" applyBorder="1" applyAlignment="1" applyProtection="1">
      <alignment horizontal="center"/>
      <protection locked="0"/>
    </xf>
    <xf numFmtId="0" fontId="13" fillId="19" borderId="72" xfId="0" applyFont="1" applyFill="1" applyBorder="1" applyAlignment="1" applyProtection="1">
      <alignment horizontal="center"/>
      <protection locked="0"/>
    </xf>
    <xf numFmtId="1" fontId="13" fillId="20" borderId="31" xfId="0" applyNumberFormat="1" applyFont="1" applyFill="1" applyBorder="1" applyAlignment="1">
      <alignment horizontal="center"/>
    </xf>
    <xf numFmtId="2" fontId="13" fillId="20" borderId="53" xfId="0" applyNumberFormat="1" applyFont="1" applyFill="1" applyBorder="1" applyAlignment="1">
      <alignment horizontal="center"/>
    </xf>
    <xf numFmtId="1" fontId="13" fillId="21" borderId="53" xfId="0" applyNumberFormat="1" applyFont="1" applyFill="1" applyBorder="1" applyAlignment="1" applyProtection="1">
      <alignment horizontal="center"/>
      <protection locked="0"/>
    </xf>
    <xf numFmtId="0" fontId="17" fillId="18" borderId="17" xfId="0" applyFont="1" applyFill="1" applyBorder="1"/>
    <xf numFmtId="0" fontId="13" fillId="19" borderId="14" xfId="0" applyFont="1" applyFill="1" applyBorder="1" applyAlignment="1" applyProtection="1">
      <alignment horizontal="center"/>
      <protection locked="0"/>
    </xf>
    <xf numFmtId="0" fontId="13" fillId="19" borderId="11" xfId="0" applyFont="1" applyFill="1" applyBorder="1" applyAlignment="1" applyProtection="1">
      <alignment horizontal="center"/>
      <protection locked="0"/>
    </xf>
    <xf numFmtId="1" fontId="13" fillId="20" borderId="11" xfId="0" applyNumberFormat="1" applyFont="1" applyFill="1" applyBorder="1" applyAlignment="1">
      <alignment horizontal="center"/>
    </xf>
    <xf numFmtId="2" fontId="13" fillId="20" borderId="86" xfId="0" applyNumberFormat="1" applyFont="1" applyFill="1" applyBorder="1" applyAlignment="1">
      <alignment horizontal="center"/>
    </xf>
    <xf numFmtId="1" fontId="13" fillId="21" borderId="15" xfId="0" applyNumberFormat="1" applyFont="1" applyFill="1" applyBorder="1" applyAlignment="1" applyProtection="1">
      <alignment horizontal="center"/>
      <protection locked="0"/>
    </xf>
    <xf numFmtId="0" fontId="13" fillId="18" borderId="43" xfId="0" applyFont="1" applyFill="1" applyBorder="1"/>
    <xf numFmtId="0" fontId="13" fillId="19" borderId="50" xfId="0" applyFont="1" applyFill="1" applyBorder="1" applyAlignment="1" applyProtection="1">
      <alignment horizontal="center"/>
      <protection locked="0"/>
    </xf>
    <xf numFmtId="0" fontId="13" fillId="28" borderId="43" xfId="0" applyFont="1" applyFill="1" applyBorder="1"/>
    <xf numFmtId="0" fontId="13" fillId="18" borderId="87" xfId="0" applyFont="1" applyFill="1" applyBorder="1"/>
    <xf numFmtId="0" fontId="18" fillId="22" borderId="38" xfId="0" applyFont="1" applyFill="1" applyBorder="1"/>
    <xf numFmtId="0" fontId="14" fillId="22" borderId="48" xfId="0" applyFont="1" applyFill="1" applyBorder="1" applyAlignment="1">
      <alignment horizontal="center"/>
    </xf>
    <xf numFmtId="0" fontId="14" fillId="22" borderId="52" xfId="0" applyFont="1" applyFill="1" applyBorder="1" applyAlignment="1">
      <alignment horizontal="center"/>
    </xf>
    <xf numFmtId="1" fontId="14" fillId="22" borderId="52" xfId="0" applyNumberFormat="1" applyFont="1" applyFill="1" applyBorder="1" applyAlignment="1">
      <alignment horizontal="center"/>
    </xf>
    <xf numFmtId="2" fontId="14" fillId="22" borderId="52" xfId="0" applyNumberFormat="1" applyFont="1" applyFill="1" applyBorder="1" applyAlignment="1">
      <alignment horizontal="center"/>
    </xf>
    <xf numFmtId="0" fontId="8" fillId="23" borderId="88" xfId="0" applyFont="1" applyFill="1" applyBorder="1" applyAlignment="1">
      <alignment horizontal="center"/>
    </xf>
    <xf numFmtId="0" fontId="8" fillId="23" borderId="89" xfId="0" applyFont="1" applyFill="1" applyBorder="1" applyAlignment="1">
      <alignment horizontal="center"/>
    </xf>
    <xf numFmtId="0" fontId="8" fillId="23" borderId="90" xfId="0" applyFont="1" applyFill="1" applyBorder="1" applyAlignment="1">
      <alignment horizontal="center"/>
    </xf>
    <xf numFmtId="0" fontId="3" fillId="0" borderId="9" xfId="0" applyFont="1" applyBorder="1"/>
    <xf numFmtId="0" fontId="15" fillId="0" borderId="6" xfId="0" applyFont="1" applyBorder="1" applyAlignment="1">
      <alignment horizontal="center"/>
    </xf>
    <xf numFmtId="0" fontId="15" fillId="13" borderId="6" xfId="0" applyFont="1" applyFill="1" applyBorder="1" applyAlignment="1">
      <alignment horizontal="center"/>
    </xf>
    <xf numFmtId="0" fontId="13" fillId="16" borderId="29" xfId="0" applyFont="1" applyFill="1" applyBorder="1" applyAlignment="1">
      <alignment horizontal="center"/>
    </xf>
    <xf numFmtId="1" fontId="13" fillId="21" borderId="29" xfId="0" applyNumberFormat="1" applyFont="1" applyFill="1" applyBorder="1" applyAlignment="1" applyProtection="1">
      <alignment horizontal="center"/>
      <protection locked="0"/>
    </xf>
    <xf numFmtId="1" fontId="13" fillId="21" borderId="51" xfId="0" applyNumberFormat="1" applyFont="1" applyFill="1" applyBorder="1" applyAlignment="1" applyProtection="1">
      <alignment horizontal="center"/>
      <protection locked="0"/>
    </xf>
    <xf numFmtId="1" fontId="13" fillId="21" borderId="35" xfId="0" applyNumberFormat="1" applyFont="1" applyFill="1" applyBorder="1" applyAlignment="1" applyProtection="1">
      <alignment horizontal="center"/>
      <protection locked="0"/>
    </xf>
    <xf numFmtId="1" fontId="13" fillId="21" borderId="27" xfId="0" applyNumberFormat="1" applyFont="1" applyFill="1" applyBorder="1" applyAlignment="1" applyProtection="1">
      <alignment horizontal="center"/>
      <protection locked="0"/>
    </xf>
    <xf numFmtId="1" fontId="14" fillId="22" borderId="49" xfId="0" applyNumberFormat="1" applyFont="1" applyFill="1" applyBorder="1" applyAlignment="1">
      <alignment horizontal="center"/>
    </xf>
    <xf numFmtId="0" fontId="8" fillId="0" borderId="38" xfId="0" applyFont="1" applyBorder="1" applyAlignment="1">
      <alignment horizontal="center"/>
    </xf>
    <xf numFmtId="0" fontId="9" fillId="16" borderId="67" xfId="0" applyFont="1" applyFill="1" applyBorder="1" applyAlignment="1">
      <alignment horizontal="center"/>
    </xf>
    <xf numFmtId="0" fontId="9" fillId="0" borderId="38" xfId="0" applyFont="1" applyBorder="1" applyAlignment="1">
      <alignment horizontal="center"/>
    </xf>
    <xf numFmtId="0" fontId="3" fillId="0" borderId="67" xfId="0" applyFont="1" applyBorder="1" applyAlignment="1">
      <alignment horizontal="center"/>
    </xf>
    <xf numFmtId="1" fontId="3" fillId="0" borderId="47" xfId="0" applyNumberFormat="1" applyFont="1" applyBorder="1" applyAlignment="1">
      <alignment horizontal="center"/>
    </xf>
    <xf numFmtId="1" fontId="3" fillId="0" borderId="67" xfId="0" applyNumberFormat="1" applyFont="1" applyBorder="1" applyAlignment="1">
      <alignment horizontal="center"/>
    </xf>
    <xf numFmtId="2" fontId="3" fillId="0" borderId="67" xfId="0" applyNumberFormat="1" applyFont="1" applyBorder="1" applyAlignment="1">
      <alignment horizontal="center"/>
    </xf>
    <xf numFmtId="0" fontId="13" fillId="16" borderId="5" xfId="0" applyFont="1" applyFill="1" applyBorder="1" applyAlignment="1">
      <alignment horizontal="center"/>
    </xf>
    <xf numFmtId="1" fontId="13" fillId="21" borderId="18" xfId="0" applyNumberFormat="1" applyFont="1" applyFill="1" applyBorder="1" applyAlignment="1" applyProtection="1">
      <alignment horizontal="center"/>
      <protection locked="0"/>
    </xf>
    <xf numFmtId="1" fontId="13" fillId="21" borderId="24" xfId="0" applyNumberFormat="1" applyFont="1" applyFill="1" applyBorder="1" applyAlignment="1" applyProtection="1">
      <alignment horizontal="center"/>
      <protection locked="0"/>
    </xf>
    <xf numFmtId="1" fontId="13" fillId="21" borderId="30" xfId="0" applyNumberFormat="1" applyFont="1" applyFill="1" applyBorder="1" applyAlignment="1" applyProtection="1">
      <alignment horizontal="center"/>
      <protection locked="0"/>
    </xf>
    <xf numFmtId="1" fontId="13" fillId="21" borderId="14" xfId="0" applyNumberFormat="1" applyFont="1" applyFill="1" applyBorder="1" applyAlignment="1" applyProtection="1">
      <alignment horizontal="center"/>
      <protection locked="0"/>
    </xf>
    <xf numFmtId="0" fontId="13" fillId="19" borderId="91" xfId="0" applyFont="1" applyFill="1" applyBorder="1" applyAlignment="1" applyProtection="1">
      <alignment horizontal="center"/>
      <protection locked="0"/>
    </xf>
    <xf numFmtId="1" fontId="14" fillId="22" borderId="48" xfId="0" applyNumberFormat="1" applyFont="1" applyFill="1" applyBorder="1" applyAlignment="1">
      <alignment horizontal="center"/>
    </xf>
    <xf numFmtId="1" fontId="14" fillId="22" borderId="92" xfId="0" applyNumberFormat="1" applyFont="1" applyFill="1" applyBorder="1" applyAlignment="1">
      <alignment horizontal="center"/>
    </xf>
    <xf numFmtId="0" fontId="9" fillId="21" borderId="0" xfId="0" applyFont="1" applyFill="1" applyAlignment="1">
      <alignment horizontal="center"/>
    </xf>
    <xf numFmtId="0" fontId="9" fillId="0" borderId="0" xfId="0" applyFont="1" applyAlignment="1">
      <alignment horizontal="center"/>
    </xf>
    <xf numFmtId="1" fontId="13" fillId="21" borderId="24" xfId="0" applyNumberFormat="1" applyFont="1" applyFill="1" applyBorder="1" applyProtection="1">
      <protection locked="0"/>
    </xf>
    <xf numFmtId="1" fontId="13" fillId="21" borderId="93" xfId="0" applyNumberFormat="1" applyFont="1" applyFill="1" applyBorder="1" applyProtection="1">
      <protection locked="0"/>
    </xf>
    <xf numFmtId="1" fontId="14" fillId="22" borderId="48" xfId="0" applyNumberFormat="1" applyFont="1" applyFill="1" applyBorder="1"/>
    <xf numFmtId="0" fontId="9" fillId="16" borderId="38" xfId="0" applyFont="1" applyFill="1" applyBorder="1"/>
    <xf numFmtId="0" fontId="3" fillId="0" borderId="38" xfId="0" applyFont="1" applyBorder="1"/>
    <xf numFmtId="1" fontId="3" fillId="0" borderId="38" xfId="0" applyNumberFormat="1" applyFont="1" applyBorder="1"/>
    <xf numFmtId="2" fontId="3" fillId="0" borderId="38" xfId="0" applyNumberFormat="1" applyFont="1" applyBorder="1"/>
    <xf numFmtId="1" fontId="13" fillId="21" borderId="1" xfId="0" applyNumberFormat="1" applyFont="1" applyFill="1" applyBorder="1" applyProtection="1">
      <protection locked="0"/>
    </xf>
    <xf numFmtId="0" fontId="3" fillId="0" borderId="1" xfId="0" applyFont="1" applyBorder="1" applyProtection="1">
      <protection locked="0"/>
    </xf>
    <xf numFmtId="0" fontId="3" fillId="0" borderId="3" xfId="0" applyFont="1" applyBorder="1" applyProtection="1">
      <protection locked="0"/>
    </xf>
    <xf numFmtId="0" fontId="13" fillId="19" borderId="1" xfId="0" applyFont="1" applyFill="1" applyBorder="1" applyProtection="1">
      <protection locked="0"/>
    </xf>
    <xf numFmtId="2" fontId="13" fillId="20" borderId="1" xfId="0" applyNumberFormat="1" applyFont="1" applyFill="1" applyBorder="1"/>
    <xf numFmtId="0" fontId="13" fillId="19" borderId="91" xfId="0" applyFont="1" applyFill="1" applyBorder="1" applyProtection="1">
      <protection locked="0"/>
    </xf>
    <xf numFmtId="1" fontId="13" fillId="20" borderId="11" xfId="0" applyNumberFormat="1" applyFont="1" applyFill="1" applyBorder="1"/>
    <xf numFmtId="2" fontId="13" fillId="20" borderId="86" xfId="0" applyNumberFormat="1" applyFont="1" applyFill="1" applyBorder="1"/>
    <xf numFmtId="1" fontId="13" fillId="21" borderId="15" xfId="0" applyNumberFormat="1" applyFont="1" applyFill="1" applyBorder="1" applyProtection="1">
      <protection locked="0"/>
    </xf>
    <xf numFmtId="1" fontId="14" fillId="22" borderId="92" xfId="0" applyNumberFormat="1" applyFont="1" applyFill="1" applyBorder="1"/>
    <xf numFmtId="1" fontId="14" fillId="22" borderId="52" xfId="0" applyNumberFormat="1" applyFont="1" applyFill="1" applyBorder="1"/>
    <xf numFmtId="2" fontId="14" fillId="22" borderId="52" xfId="0" applyNumberFormat="1" applyFont="1" applyFill="1" applyBorder="1"/>
    <xf numFmtId="1" fontId="13" fillId="21" borderId="94" xfId="0" applyNumberFormat="1" applyFont="1" applyFill="1" applyBorder="1" applyProtection="1">
      <protection locked="0"/>
    </xf>
    <xf numFmtId="1" fontId="13" fillId="21" borderId="69" xfId="0" applyNumberFormat="1" applyFont="1" applyFill="1" applyBorder="1" applyProtection="1">
      <protection locked="0"/>
    </xf>
    <xf numFmtId="1" fontId="14" fillId="22" borderId="95" xfId="0" applyNumberFormat="1" applyFont="1" applyFill="1" applyBorder="1"/>
    <xf numFmtId="1" fontId="14" fillId="22" borderId="96" xfId="0" applyNumberFormat="1" applyFont="1" applyFill="1" applyBorder="1"/>
    <xf numFmtId="2" fontId="14" fillId="22" borderId="95" xfId="0" applyNumberFormat="1" applyFont="1" applyFill="1" applyBorder="1"/>
    <xf numFmtId="0" fontId="16" fillId="25" borderId="39" xfId="0" applyFont="1" applyFill="1" applyBorder="1" applyAlignment="1">
      <alignment horizontal="center"/>
    </xf>
    <xf numFmtId="0" fontId="16" fillId="25" borderId="40" xfId="0" applyFont="1" applyFill="1" applyBorder="1" applyAlignment="1">
      <alignment horizontal="center"/>
    </xf>
    <xf numFmtId="0" fontId="13" fillId="16" borderId="32" xfId="0" applyFont="1" applyFill="1" applyBorder="1"/>
    <xf numFmtId="0" fontId="13" fillId="16" borderId="14" xfId="0" applyFont="1" applyFill="1" applyBorder="1"/>
    <xf numFmtId="0" fontId="13" fillId="16" borderId="16" xfId="0" applyFont="1" applyFill="1" applyBorder="1"/>
    <xf numFmtId="0" fontId="3" fillId="20" borderId="18" xfId="0" applyFont="1" applyFill="1" applyBorder="1"/>
    <xf numFmtId="0" fontId="3" fillId="20" borderId="1" xfId="0" applyFont="1" applyFill="1" applyBorder="1"/>
    <xf numFmtId="1" fontId="3" fillId="20" borderId="18" xfId="0" applyNumberFormat="1" applyFont="1" applyFill="1" applyBorder="1"/>
    <xf numFmtId="1" fontId="3" fillId="20" borderId="30" xfId="0" applyNumberFormat="1" applyFont="1" applyFill="1" applyBorder="1"/>
    <xf numFmtId="0" fontId="3" fillId="20" borderId="31" xfId="0" applyFont="1" applyFill="1" applyBorder="1"/>
    <xf numFmtId="0" fontId="3" fillId="20" borderId="94" xfId="0" applyFont="1" applyFill="1" applyBorder="1"/>
    <xf numFmtId="0" fontId="3" fillId="20" borderId="16" xfId="0" applyFont="1" applyFill="1" applyBorder="1"/>
    <xf numFmtId="0" fontId="3" fillId="20" borderId="96" xfId="0" applyFont="1" applyFill="1" applyBorder="1"/>
    <xf numFmtId="0" fontId="3" fillId="20" borderId="52" xfId="0" applyFont="1" applyFill="1" applyBorder="1"/>
    <xf numFmtId="0" fontId="16" fillId="25" borderId="64" xfId="0" applyFont="1" applyFill="1" applyBorder="1" applyAlignment="1">
      <alignment horizontal="center"/>
    </xf>
    <xf numFmtId="0" fontId="13" fillId="16" borderId="27" xfId="0" applyFont="1" applyFill="1" applyBorder="1"/>
    <xf numFmtId="2" fontId="13" fillId="20" borderId="51" xfId="0" applyNumberFormat="1" applyFont="1" applyFill="1" applyBorder="1"/>
    <xf numFmtId="2" fontId="13" fillId="20" borderId="29" xfId="0" applyNumberFormat="1" applyFont="1" applyFill="1" applyBorder="1"/>
    <xf numFmtId="2" fontId="13" fillId="20" borderId="35" xfId="0" applyNumberFormat="1" applyFont="1" applyFill="1" applyBorder="1"/>
    <xf numFmtId="2" fontId="13" fillId="20" borderId="27" xfId="0" applyNumberFormat="1" applyFont="1" applyFill="1" applyBorder="1"/>
    <xf numFmtId="2" fontId="3" fillId="20" borderId="49" xfId="0" applyNumberFormat="1" applyFont="1" applyFill="1" applyBorder="1"/>
    <xf numFmtId="0" fontId="3" fillId="0" borderId="0" xfId="0" applyFont="1" applyAlignment="1">
      <alignment horizontal="left"/>
    </xf>
    <xf numFmtId="0" fontId="8" fillId="23" borderId="3" xfId="0" applyFont="1" applyFill="1" applyBorder="1" applyAlignment="1">
      <alignment horizontal="center"/>
    </xf>
    <xf numFmtId="0" fontId="8" fillId="23" borderId="4" xfId="0" applyFont="1" applyFill="1" applyBorder="1" applyAlignment="1">
      <alignment horizontal="center"/>
    </xf>
    <xf numFmtId="0" fontId="8" fillId="23" borderId="5" xfId="0" applyFont="1" applyFill="1" applyBorder="1" applyAlignment="1">
      <alignment horizontal="center"/>
    </xf>
    <xf numFmtId="0" fontId="3" fillId="0" borderId="2" xfId="0" applyFont="1" applyBorder="1" applyAlignment="1">
      <alignment horizontal="center"/>
    </xf>
    <xf numFmtId="0" fontId="3" fillId="23" borderId="9" xfId="0" applyFont="1" applyFill="1" applyBorder="1"/>
    <xf numFmtId="0" fontId="3" fillId="0" borderId="37" xfId="0" applyFont="1" applyBorder="1" applyAlignment="1">
      <alignment horizontal="center"/>
    </xf>
    <xf numFmtId="0" fontId="3" fillId="0" borderId="15" xfId="0" applyFont="1" applyBorder="1" applyAlignment="1">
      <alignment horizontal="center"/>
    </xf>
    <xf numFmtId="0" fontId="3" fillId="0" borderId="27" xfId="0" applyFont="1" applyBorder="1" applyAlignment="1">
      <alignment horizontal="center"/>
    </xf>
    <xf numFmtId="0" fontId="15" fillId="0" borderId="33" xfId="0" applyFont="1" applyBorder="1" applyAlignment="1">
      <alignment horizontal="center"/>
    </xf>
    <xf numFmtId="0" fontId="15" fillId="0" borderId="0" xfId="0" applyFont="1" applyAlignment="1">
      <alignment horizontal="center"/>
    </xf>
    <xf numFmtId="1" fontId="3" fillId="0" borderId="33" xfId="0" applyNumberFormat="1" applyFont="1" applyBorder="1" applyAlignment="1">
      <alignment horizontal="center"/>
    </xf>
    <xf numFmtId="0" fontId="3" fillId="0" borderId="7" xfId="0" applyFont="1" applyBorder="1" applyAlignment="1">
      <alignment horizontal="center"/>
    </xf>
    <xf numFmtId="0" fontId="3" fillId="0" borderId="41" xfId="0" applyFont="1" applyBorder="1" applyAlignment="1">
      <alignment horizontal="center"/>
    </xf>
    <xf numFmtId="0" fontId="3" fillId="0" borderId="73" xfId="0" applyFont="1" applyBorder="1" applyAlignment="1">
      <alignment horizontal="center"/>
    </xf>
    <xf numFmtId="1" fontId="3" fillId="27" borderId="31" xfId="0" applyNumberFormat="1" applyFont="1" applyFill="1" applyBorder="1" applyAlignment="1">
      <alignment horizontal="center"/>
    </xf>
    <xf numFmtId="1" fontId="3" fillId="0" borderId="7" xfId="0" applyNumberFormat="1" applyFont="1" applyBorder="1" applyAlignment="1">
      <alignment horizontal="center"/>
    </xf>
    <xf numFmtId="1" fontId="3" fillId="0" borderId="41" xfId="0" applyNumberFormat="1" applyFont="1" applyBorder="1" applyAlignment="1">
      <alignment horizontal="center"/>
    </xf>
    <xf numFmtId="1" fontId="3" fillId="0" borderId="73" xfId="0" applyNumberFormat="1" applyFont="1" applyBorder="1" applyAlignment="1">
      <alignment horizontal="center"/>
    </xf>
    <xf numFmtId="0" fontId="0" fillId="0" borderId="0" xfId="0" applyAlignment="1">
      <alignment horizontal="center"/>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180" fontId="0" fillId="0" borderId="0" xfId="0" applyNumberFormat="1" applyAlignment="1" applyProtection="1">
      <alignment vertical="center"/>
      <protection locked="0"/>
    </xf>
    <xf numFmtId="0" fontId="19" fillId="29" borderId="0" xfId="0" applyFont="1" applyFill="1" applyAlignment="1">
      <alignment horizontal="center" vertical="center"/>
    </xf>
    <xf numFmtId="0" fontId="0" fillId="29" borderId="0" xfId="0" applyFill="1" applyAlignment="1">
      <alignment vertical="center"/>
    </xf>
    <xf numFmtId="0" fontId="0" fillId="29" borderId="97" xfId="0" applyFill="1" applyBorder="1" applyAlignment="1">
      <alignment vertical="center"/>
    </xf>
    <xf numFmtId="0" fontId="19" fillId="30" borderId="42" xfId="0" applyFont="1" applyFill="1" applyBorder="1" applyAlignment="1">
      <alignment horizontal="center" vertical="center"/>
    </xf>
    <xf numFmtId="0" fontId="19" fillId="30" borderId="98" xfId="0" applyFont="1" applyFill="1" applyBorder="1" applyAlignment="1">
      <alignment horizontal="center" vertical="center"/>
    </xf>
    <xf numFmtId="0" fontId="1" fillId="31" borderId="99" xfId="0" applyFont="1" applyFill="1" applyBorder="1" applyAlignment="1">
      <alignment horizontal="center" vertical="center"/>
    </xf>
    <xf numFmtId="0" fontId="1" fillId="31" borderId="100" xfId="0" applyFont="1" applyFill="1" applyBorder="1" applyAlignment="1">
      <alignment horizontal="center" vertical="center" wrapText="1"/>
    </xf>
    <xf numFmtId="0" fontId="1" fillId="2" borderId="59" xfId="0" applyFont="1" applyFill="1" applyBorder="1" applyAlignment="1">
      <alignment horizontal="center" vertical="center" wrapText="1"/>
    </xf>
    <xf numFmtId="0" fontId="1" fillId="2" borderId="99"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100" xfId="0" applyFont="1" applyFill="1" applyBorder="1" applyAlignment="1">
      <alignment horizontal="center" vertical="center" wrapText="1"/>
    </xf>
    <xf numFmtId="0" fontId="20" fillId="5" borderId="101" xfId="0" applyFont="1" applyFill="1" applyBorder="1" applyAlignment="1">
      <alignment horizontal="center" vertical="center"/>
    </xf>
    <xf numFmtId="0" fontId="0" fillId="0" borderId="102" xfId="0" applyBorder="1" applyAlignment="1" applyProtection="1">
      <alignment horizontal="center" vertical="center" wrapText="1"/>
      <protection locked="0"/>
    </xf>
    <xf numFmtId="0" fontId="0" fillId="0" borderId="103" xfId="0" applyBorder="1" applyAlignment="1" applyProtection="1">
      <alignment vertical="center" wrapText="1"/>
      <protection locked="0"/>
    </xf>
    <xf numFmtId="181" fontId="0" fillId="0" borderId="104" xfId="0" applyNumberFormat="1" applyBorder="1" applyAlignment="1" applyProtection="1">
      <alignment horizontal="center" vertical="center" wrapText="1"/>
      <protection locked="0"/>
    </xf>
    <xf numFmtId="181" fontId="0" fillId="0" borderId="105" xfId="0" applyNumberFormat="1" applyBorder="1" applyAlignment="1" applyProtection="1">
      <alignment horizontal="center" vertical="center" wrapText="1"/>
      <protection locked="0"/>
    </xf>
    <xf numFmtId="0" fontId="0" fillId="2" borderId="73" xfId="0" applyFill="1" applyBorder="1" applyAlignment="1">
      <alignment horizontal="center" vertical="center" wrapText="1"/>
    </xf>
    <xf numFmtId="0" fontId="0" fillId="0" borderId="105" xfId="0" applyBorder="1" applyAlignment="1" applyProtection="1">
      <alignment horizontal="center" vertical="center" wrapText="1"/>
      <protection locked="0"/>
    </xf>
    <xf numFmtId="0" fontId="0" fillId="0" borderId="103" xfId="0" applyBorder="1" applyAlignment="1" applyProtection="1">
      <alignment horizontal="center" vertical="center" wrapText="1"/>
      <protection locked="0"/>
    </xf>
    <xf numFmtId="0" fontId="20" fillId="5" borderId="89" xfId="0" applyFont="1" applyFill="1" applyBorder="1" applyAlignment="1">
      <alignment horizontal="center" vertical="center"/>
    </xf>
    <xf numFmtId="0" fontId="0" fillId="0" borderId="5" xfId="0" applyBorder="1" applyAlignment="1" applyProtection="1">
      <alignment horizontal="center" vertical="center" wrapText="1"/>
      <protection locked="0"/>
    </xf>
    <xf numFmtId="0" fontId="0" fillId="0" borderId="88" xfId="0" applyBorder="1" applyAlignment="1" applyProtection="1">
      <alignment vertical="center" wrapText="1"/>
      <protection locked="0"/>
    </xf>
    <xf numFmtId="181" fontId="0" fillId="0" borderId="4" xfId="0" applyNumberFormat="1" applyBorder="1" applyAlignment="1" applyProtection="1">
      <alignment horizontal="center" vertical="center" wrapText="1"/>
      <protection locked="0"/>
    </xf>
    <xf numFmtId="181" fontId="0" fillId="0" borderId="1" xfId="0" applyNumberFormat="1" applyBorder="1" applyAlignment="1" applyProtection="1">
      <alignment horizontal="center" vertical="center" wrapText="1"/>
      <protection locked="0"/>
    </xf>
    <xf numFmtId="0" fontId="0" fillId="2" borderId="3" xfId="0" applyFill="1" applyBorder="1" applyAlignment="1">
      <alignment horizontal="center" vertical="center" wrapText="1"/>
    </xf>
    <xf numFmtId="0" fontId="0" fillId="0" borderId="1" xfId="0" applyBorder="1" applyAlignment="1" applyProtection="1">
      <alignment horizontal="center" vertical="center" wrapText="1"/>
      <protection locked="0"/>
    </xf>
    <xf numFmtId="0" fontId="0" fillId="0" borderId="88" xfId="0" applyBorder="1" applyAlignment="1" applyProtection="1">
      <alignment horizontal="center" vertical="center" wrapText="1"/>
      <protection locked="0"/>
    </xf>
    <xf numFmtId="0" fontId="20" fillId="5" borderId="106" xfId="0" applyFont="1" applyFill="1" applyBorder="1" applyAlignment="1">
      <alignment horizontal="center" vertical="center"/>
    </xf>
    <xf numFmtId="0" fontId="0" fillId="0" borderId="107" xfId="0" applyBorder="1" applyAlignment="1" applyProtection="1">
      <alignment horizontal="center" vertical="center" wrapText="1"/>
      <protection locked="0"/>
    </xf>
    <xf numFmtId="0" fontId="0" fillId="0" borderId="100" xfId="0" applyBorder="1" applyAlignment="1" applyProtection="1">
      <alignment vertical="center" wrapText="1"/>
      <protection locked="0"/>
    </xf>
    <xf numFmtId="0" fontId="0" fillId="2" borderId="108" xfId="0" applyFill="1" applyBorder="1" applyAlignment="1">
      <alignment horizontal="center" vertical="center" wrapText="1"/>
    </xf>
    <xf numFmtId="0" fontId="0" fillId="0" borderId="99" xfId="0" applyBorder="1" applyAlignment="1" applyProtection="1">
      <alignment horizontal="center" vertical="center" wrapText="1"/>
      <protection locked="0"/>
    </xf>
    <xf numFmtId="0" fontId="0" fillId="0" borderId="109" xfId="0" applyBorder="1" applyAlignment="1" applyProtection="1">
      <alignment horizontal="center" vertical="center" wrapText="1"/>
      <protection locked="0"/>
    </xf>
    <xf numFmtId="0" fontId="20" fillId="5" borderId="110" xfId="0" applyFont="1" applyFill="1" applyBorder="1" applyAlignment="1">
      <alignment horizontal="center" vertical="center"/>
    </xf>
    <xf numFmtId="0" fontId="0" fillId="0" borderId="111" xfId="0" applyBorder="1" applyAlignment="1" applyProtection="1">
      <alignment horizontal="center" vertical="center" wrapText="1"/>
      <protection locked="0"/>
    </xf>
    <xf numFmtId="0" fontId="0" fillId="0" borderId="112" xfId="0" applyBorder="1" applyAlignment="1" applyProtection="1">
      <alignment vertical="center" wrapText="1"/>
      <protection locked="0"/>
    </xf>
    <xf numFmtId="0" fontId="0" fillId="0" borderId="109" xfId="0" applyBorder="1" applyAlignment="1" applyProtection="1">
      <alignment vertical="center" wrapText="1"/>
      <protection locked="0"/>
    </xf>
    <xf numFmtId="0" fontId="5" fillId="0" borderId="110" xfId="0" applyFont="1" applyBorder="1" applyAlignment="1">
      <alignment horizontal="center" vertical="center"/>
    </xf>
    <xf numFmtId="0" fontId="0" fillId="0" borderId="113" xfId="0" applyBorder="1" applyAlignment="1" applyProtection="1">
      <alignment horizontal="center" vertical="center" wrapText="1"/>
      <protection locked="0"/>
    </xf>
    <xf numFmtId="0" fontId="20" fillId="0" borderId="89" xfId="0" applyFont="1" applyBorder="1" applyAlignment="1">
      <alignment horizontal="center" vertical="center"/>
    </xf>
    <xf numFmtId="0" fontId="20" fillId="0" borderId="106" xfId="0" applyFont="1" applyBorder="1" applyAlignment="1">
      <alignment horizontal="center" vertical="center"/>
    </xf>
    <xf numFmtId="0" fontId="5" fillId="0" borderId="101" xfId="0" applyFont="1" applyBorder="1" applyAlignment="1">
      <alignment horizontal="center" vertical="center"/>
    </xf>
    <xf numFmtId="181" fontId="0" fillId="0" borderId="54" xfId="0" applyNumberFormat="1" applyBorder="1" applyAlignment="1" applyProtection="1">
      <alignment horizontal="center" vertical="center" wrapText="1"/>
      <protection locked="0"/>
    </xf>
    <xf numFmtId="181" fontId="0" fillId="0" borderId="2" xfId="0" applyNumberFormat="1" applyBorder="1" applyAlignment="1" applyProtection="1">
      <alignment horizontal="center" vertical="center" wrapText="1"/>
      <protection locked="0"/>
    </xf>
    <xf numFmtId="0" fontId="5" fillId="5" borderId="101" xfId="0" applyFont="1" applyFill="1" applyBorder="1" applyAlignment="1">
      <alignment horizontal="center" vertical="center"/>
    </xf>
    <xf numFmtId="0" fontId="0" fillId="2" borderId="105" xfId="0" applyFill="1" applyBorder="1" applyAlignment="1">
      <alignment horizontal="center" vertical="center" wrapText="1"/>
    </xf>
    <xf numFmtId="181" fontId="0" fillId="0" borderId="111" xfId="0" applyNumberFormat="1" applyBorder="1" applyAlignment="1" applyProtection="1">
      <alignment horizontal="center" vertical="center" wrapText="1"/>
      <protection locked="0"/>
    </xf>
    <xf numFmtId="0" fontId="0" fillId="0" borderId="59" xfId="0" applyBorder="1" applyAlignment="1" applyProtection="1">
      <alignment horizontal="center" vertical="center" wrapText="1"/>
      <protection locked="0"/>
    </xf>
    <xf numFmtId="0" fontId="5" fillId="5" borderId="110" xfId="0" applyFont="1" applyFill="1" applyBorder="1" applyAlignment="1">
      <alignment horizontal="center" vertical="center"/>
    </xf>
    <xf numFmtId="0" fontId="1" fillId="0" borderId="107" xfId="0" applyFont="1" applyBorder="1" applyAlignment="1" applyProtection="1">
      <alignment horizontal="center" vertical="center" wrapText="1"/>
      <protection locked="0"/>
    </xf>
    <xf numFmtId="0" fontId="19" fillId="32" borderId="42" xfId="0" applyFont="1" applyFill="1" applyBorder="1" applyAlignment="1">
      <alignment horizontal="center" vertical="center"/>
    </xf>
    <xf numFmtId="0" fontId="19" fillId="32" borderId="98" xfId="0" applyFont="1" applyFill="1" applyBorder="1" applyAlignment="1">
      <alignment horizontal="center" vertical="center"/>
    </xf>
    <xf numFmtId="0" fontId="19" fillId="33" borderId="42" xfId="0" applyFont="1" applyFill="1" applyBorder="1" applyAlignment="1">
      <alignment horizontal="center" vertical="center"/>
    </xf>
    <xf numFmtId="0" fontId="1" fillId="3" borderId="59"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25" xfId="0" applyFont="1" applyFill="1" applyBorder="1" applyAlignment="1">
      <alignment horizontal="center" vertical="center" wrapText="1"/>
    </xf>
    <xf numFmtId="0" fontId="1" fillId="3" borderId="114" xfId="0" applyFont="1" applyFill="1" applyBorder="1" applyAlignment="1">
      <alignment horizontal="center" vertical="center" wrapText="1"/>
    </xf>
    <xf numFmtId="0" fontId="1" fillId="4" borderId="115" xfId="0" applyFont="1" applyFill="1" applyBorder="1" applyAlignment="1">
      <alignment horizontal="center" vertical="center" wrapText="1"/>
    </xf>
    <xf numFmtId="0" fontId="1" fillId="4" borderId="99" xfId="0" applyFont="1" applyFill="1" applyBorder="1" applyAlignment="1">
      <alignment horizontal="center" vertical="center" wrapText="1"/>
    </xf>
    <xf numFmtId="0" fontId="1" fillId="4" borderId="108" xfId="0" applyFont="1" applyFill="1" applyBorder="1" applyAlignment="1">
      <alignment horizontal="center" vertical="center" wrapText="1"/>
    </xf>
    <xf numFmtId="0" fontId="0" fillId="3" borderId="116" xfId="0" applyFill="1" applyBorder="1" applyAlignment="1" applyProtection="1">
      <alignment horizontal="center" vertical="center" wrapText="1"/>
      <protection locked="0"/>
    </xf>
    <xf numFmtId="0" fontId="0" fillId="0" borderId="117" xfId="0" applyBorder="1" applyAlignment="1" applyProtection="1">
      <alignment horizontal="center" vertical="center" wrapText="1"/>
      <protection locked="0"/>
    </xf>
    <xf numFmtId="0" fontId="0" fillId="4" borderId="73" xfId="0" applyFill="1" applyBorder="1" applyAlignment="1" applyProtection="1">
      <alignment horizontal="center" vertical="center" wrapText="1"/>
      <protection locked="0"/>
    </xf>
    <xf numFmtId="0" fontId="0" fillId="3" borderId="1" xfId="0" applyFill="1" applyBorder="1" applyAlignment="1" applyProtection="1">
      <alignment horizontal="center" vertical="center" wrapText="1"/>
      <protection locked="0"/>
    </xf>
    <xf numFmtId="0" fontId="0" fillId="0" borderId="118" xfId="0" applyBorder="1" applyAlignment="1" applyProtection="1">
      <alignment horizontal="center" vertical="center" wrapText="1"/>
      <protection locked="0"/>
    </xf>
    <xf numFmtId="0" fontId="0" fillId="4" borderId="3" xfId="0" applyFill="1" applyBorder="1" applyAlignment="1" applyProtection="1">
      <alignment horizontal="center" vertical="center" wrapText="1"/>
      <protection locked="0"/>
    </xf>
    <xf numFmtId="0" fontId="0" fillId="3" borderId="73" xfId="0" applyFill="1" applyBorder="1" applyAlignment="1" applyProtection="1">
      <alignment horizontal="center" vertical="center" wrapText="1"/>
      <protection locked="0"/>
    </xf>
    <xf numFmtId="0" fontId="0" fillId="3" borderId="108" xfId="0" applyFill="1" applyBorder="1" applyAlignment="1" applyProtection="1">
      <alignment horizontal="center" vertical="center" wrapText="1"/>
      <protection locked="0"/>
    </xf>
    <xf numFmtId="0" fontId="0" fillId="0" borderId="119" xfId="0" applyBorder="1" applyAlignment="1" applyProtection="1">
      <alignment horizontal="center" vertical="center" wrapText="1"/>
      <protection locked="0"/>
    </xf>
    <xf numFmtId="0" fontId="0" fillId="4" borderId="108" xfId="0" applyFill="1" applyBorder="1" applyAlignment="1" applyProtection="1">
      <alignment horizontal="center" vertical="center" wrapText="1"/>
      <protection locked="0"/>
    </xf>
    <xf numFmtId="0" fontId="19" fillId="33" borderId="98" xfId="0" applyFont="1" applyFill="1" applyBorder="1" applyAlignment="1">
      <alignment horizontal="center" vertical="center"/>
    </xf>
    <xf numFmtId="0" fontId="19" fillId="34" borderId="120" xfId="0" applyFont="1" applyFill="1" applyBorder="1" applyAlignment="1">
      <alignment horizontal="center" vertical="center"/>
    </xf>
    <xf numFmtId="0" fontId="19" fillId="34" borderId="42" xfId="0" applyFont="1" applyFill="1" applyBorder="1" applyAlignment="1">
      <alignment horizontal="center" vertical="center"/>
    </xf>
    <xf numFmtId="0" fontId="19" fillId="34" borderId="98" xfId="0" applyFont="1" applyFill="1" applyBorder="1" applyAlignment="1">
      <alignment horizontal="center" vertical="center"/>
    </xf>
    <xf numFmtId="0" fontId="19" fillId="7" borderId="42" xfId="0" applyFont="1" applyFill="1" applyBorder="1" applyAlignment="1">
      <alignment horizontal="right" vertical="center"/>
    </xf>
    <xf numFmtId="0" fontId="1" fillId="4" borderId="109" xfId="0" applyFont="1" applyFill="1" applyBorder="1" applyAlignment="1">
      <alignment horizontal="center" vertical="center" wrapText="1"/>
    </xf>
    <xf numFmtId="0" fontId="1" fillId="6" borderId="59"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6" borderId="99" xfId="0" applyFont="1" applyFill="1" applyBorder="1" applyAlignment="1">
      <alignment horizontal="center" vertical="center" wrapText="1"/>
    </xf>
    <xf numFmtId="0" fontId="1" fillId="6" borderId="100" xfId="0" applyFont="1" applyFill="1" applyBorder="1" applyAlignment="1">
      <alignment horizontal="center" vertical="center" wrapText="1"/>
    </xf>
    <xf numFmtId="0" fontId="1" fillId="35" borderId="59" xfId="0" applyFont="1" applyFill="1" applyBorder="1" applyAlignment="1">
      <alignment horizontal="center" vertical="center" wrapText="1"/>
    </xf>
    <xf numFmtId="0" fontId="0" fillId="0" borderId="9" xfId="0" applyBorder="1" applyAlignment="1" applyProtection="1">
      <alignment horizontal="center" vertical="center" wrapText="1"/>
      <protection locked="0"/>
    </xf>
    <xf numFmtId="0" fontId="0" fillId="0" borderId="121" xfId="0" applyBorder="1" applyAlignment="1" applyProtection="1">
      <alignment horizontal="center" vertical="center" wrapText="1"/>
      <protection locked="0"/>
    </xf>
    <xf numFmtId="0" fontId="0" fillId="6" borderId="73" xfId="0" applyFill="1" applyBorder="1" applyAlignment="1" applyProtection="1">
      <alignment horizontal="center" vertical="center" wrapText="1"/>
      <protection locked="0"/>
    </xf>
    <xf numFmtId="181" fontId="0" fillId="0" borderId="42" xfId="0" applyNumberFormat="1" applyBorder="1" applyAlignment="1" applyProtection="1">
      <alignment horizontal="center" vertical="center" wrapText="1"/>
      <protection locked="0"/>
    </xf>
    <xf numFmtId="0" fontId="0" fillId="6" borderId="3" xfId="0" applyFill="1" applyBorder="1" applyAlignment="1" applyProtection="1">
      <alignment horizontal="center" vertical="center" wrapText="1"/>
      <protection locked="0"/>
    </xf>
    <xf numFmtId="0" fontId="0" fillId="6" borderId="108" xfId="0" applyFill="1" applyBorder="1" applyAlignment="1" applyProtection="1">
      <alignment horizontal="center" vertical="center" wrapText="1"/>
      <protection locked="0"/>
    </xf>
    <xf numFmtId="181" fontId="0" fillId="0" borderId="58" xfId="0" applyNumberFormat="1" applyBorder="1" applyAlignment="1" applyProtection="1">
      <alignment horizontal="center" vertical="center" wrapText="1"/>
      <protection locked="0"/>
    </xf>
    <xf numFmtId="0" fontId="0" fillId="6" borderId="109" xfId="0" applyFill="1" applyBorder="1" applyAlignment="1" applyProtection="1">
      <alignment horizontal="center" vertical="center" wrapText="1"/>
      <protection locked="0"/>
    </xf>
    <xf numFmtId="181" fontId="0" fillId="0" borderId="113" xfId="0" applyNumberFormat="1" applyBorder="1" applyAlignment="1" applyProtection="1">
      <alignment horizontal="center" vertical="center" wrapText="1"/>
      <protection locked="0"/>
    </xf>
    <xf numFmtId="0" fontId="19" fillId="7" borderId="98" xfId="0" applyFont="1" applyFill="1" applyBorder="1" applyAlignment="1">
      <alignment horizontal="center" vertical="center"/>
    </xf>
    <xf numFmtId="0" fontId="19" fillId="36" borderId="42" xfId="0" applyFont="1" applyFill="1" applyBorder="1" applyAlignment="1">
      <alignment horizontal="center" vertical="center"/>
    </xf>
    <xf numFmtId="0" fontId="1" fillId="35" borderId="2" xfId="0" applyFont="1" applyFill="1" applyBorder="1" applyAlignment="1">
      <alignment horizontal="center" vertical="center" wrapText="1"/>
    </xf>
    <xf numFmtId="0" fontId="1" fillId="35" borderId="122" xfId="0" applyFont="1" applyFill="1" applyBorder="1" applyAlignment="1">
      <alignment horizontal="center" vertical="center" wrapText="1"/>
    </xf>
    <xf numFmtId="0" fontId="1" fillId="8" borderId="59" xfId="0" applyFont="1" applyFill="1" applyBorder="1" applyAlignment="1">
      <alignment vertical="center" wrapText="1"/>
    </xf>
    <xf numFmtId="0" fontId="1" fillId="8" borderId="2" xfId="0" applyFont="1" applyFill="1" applyBorder="1" applyAlignment="1">
      <alignment vertical="center" wrapText="1"/>
    </xf>
    <xf numFmtId="0" fontId="1" fillId="8" borderId="99" xfId="0" applyFont="1" applyFill="1" applyBorder="1" applyAlignment="1">
      <alignment vertical="center" wrapText="1"/>
    </xf>
    <xf numFmtId="181" fontId="0" fillId="0" borderId="16" xfId="0" applyNumberFormat="1" applyBorder="1" applyAlignment="1" applyProtection="1">
      <alignment horizontal="center" vertical="center" wrapText="1"/>
      <protection locked="0"/>
    </xf>
    <xf numFmtId="0" fontId="0" fillId="35" borderId="15" xfId="0" applyFill="1" applyBorder="1" applyAlignment="1" applyProtection="1">
      <alignment horizontal="center" vertical="center" wrapText="1"/>
      <protection locked="0"/>
    </xf>
    <xf numFmtId="0" fontId="0" fillId="0" borderId="16" xfId="0" applyBorder="1" applyAlignment="1" applyProtection="1">
      <alignment horizontal="center" vertical="center" wrapText="1"/>
      <protection locked="0"/>
    </xf>
    <xf numFmtId="0" fontId="0" fillId="0" borderId="98" xfId="0" applyBorder="1" applyAlignment="1" applyProtection="1">
      <alignment horizontal="center" vertical="center" wrapText="1"/>
      <protection locked="0"/>
    </xf>
    <xf numFmtId="0" fontId="0" fillId="8" borderId="123" xfId="0" applyFill="1" applyBorder="1" applyAlignment="1" applyProtection="1">
      <alignment horizontal="center" vertical="center" wrapText="1"/>
      <protection locked="0"/>
    </xf>
    <xf numFmtId="0" fontId="0" fillId="35" borderId="3" xfId="0" applyFill="1" applyBorder="1" applyAlignment="1" applyProtection="1">
      <alignment horizontal="center" vertical="center" wrapText="1"/>
      <protection locked="0"/>
    </xf>
    <xf numFmtId="0" fontId="0" fillId="8" borderId="3" xfId="0" applyFill="1" applyBorder="1" applyAlignment="1" applyProtection="1">
      <alignment horizontal="center" vertical="center" wrapText="1"/>
      <protection locked="0"/>
    </xf>
    <xf numFmtId="0" fontId="0" fillId="35" borderId="108" xfId="0" applyFill="1" applyBorder="1" applyAlignment="1" applyProtection="1">
      <alignment horizontal="center" vertical="center" wrapText="1"/>
      <protection locked="0"/>
    </xf>
    <xf numFmtId="0" fontId="0" fillId="8" borderId="108" xfId="0" applyFill="1" applyBorder="1" applyAlignment="1" applyProtection="1">
      <alignment horizontal="center" vertical="center" wrapText="1"/>
      <protection locked="0"/>
    </xf>
    <xf numFmtId="0" fontId="0" fillId="35" borderId="73" xfId="0" applyFill="1" applyBorder="1" applyAlignment="1" applyProtection="1">
      <alignment horizontal="center" vertical="center" wrapText="1"/>
      <protection locked="0"/>
    </xf>
    <xf numFmtId="0" fontId="19" fillId="36" borderId="98" xfId="0" applyFont="1" applyFill="1" applyBorder="1" applyAlignment="1">
      <alignment horizontal="center" vertical="center"/>
    </xf>
    <xf numFmtId="0" fontId="19" fillId="37" borderId="42" xfId="0" applyFont="1" applyFill="1" applyBorder="1" applyAlignment="1">
      <alignment horizontal="center" vertical="center"/>
    </xf>
    <xf numFmtId="0" fontId="19" fillId="37" borderId="98" xfId="0" applyFont="1" applyFill="1" applyBorder="1" applyAlignment="1">
      <alignment horizontal="center" vertical="center"/>
    </xf>
    <xf numFmtId="0" fontId="0" fillId="0" borderId="0" xfId="0" applyAlignment="1">
      <alignment vertical="center"/>
    </xf>
    <xf numFmtId="0" fontId="1" fillId="8" borderId="114" xfId="0" applyFont="1" applyFill="1" applyBorder="1" applyAlignment="1">
      <alignment vertical="center" wrapText="1"/>
    </xf>
    <xf numFmtId="0" fontId="1" fillId="38" borderId="59" xfId="0" applyFont="1" applyFill="1" applyBorder="1" applyAlignment="1">
      <alignment horizontal="center" vertical="center" wrapText="1"/>
    </xf>
    <xf numFmtId="0" fontId="1" fillId="38" borderId="2" xfId="0" applyFont="1" applyFill="1" applyBorder="1" applyAlignment="1">
      <alignment horizontal="center" vertical="center" wrapText="1"/>
    </xf>
    <xf numFmtId="0" fontId="1" fillId="38" borderId="25" xfId="0" applyFont="1" applyFill="1" applyBorder="1" applyAlignment="1">
      <alignment horizontal="center" vertical="center" wrapText="1"/>
    </xf>
    <xf numFmtId="0" fontId="1" fillId="38" borderId="114" xfId="0" applyFont="1" applyFill="1" applyBorder="1" applyAlignment="1">
      <alignment horizontal="center" vertical="center" wrapText="1"/>
    </xf>
    <xf numFmtId="0" fontId="1" fillId="39" borderId="64" xfId="0" applyFont="1" applyFill="1" applyBorder="1" applyAlignment="1">
      <alignment horizontal="center" vertical="center"/>
    </xf>
    <xf numFmtId="0" fontId="1" fillId="33" borderId="39" xfId="0" applyFont="1" applyFill="1" applyBorder="1" applyAlignment="1">
      <alignment horizontal="center" vertical="center" wrapText="1"/>
    </xf>
    <xf numFmtId="0" fontId="0" fillId="38" borderId="123" xfId="0" applyFill="1" applyBorder="1" applyAlignment="1" applyProtection="1">
      <alignment horizontal="center" vertical="center" wrapText="1"/>
      <protection locked="0"/>
    </xf>
    <xf numFmtId="181" fontId="0" fillId="0" borderId="63" xfId="0" applyNumberFormat="1" applyBorder="1" applyAlignment="1" applyProtection="1">
      <alignment horizontal="center" vertical="center" wrapText="1"/>
      <protection locked="0"/>
    </xf>
    <xf numFmtId="180" fontId="0" fillId="0" borderId="124" xfId="0" applyNumberFormat="1" applyBorder="1" applyAlignment="1" applyProtection="1">
      <alignment horizontal="center" vertical="center" wrapText="1"/>
      <protection locked="0"/>
    </xf>
    <xf numFmtId="0" fontId="0" fillId="38" borderId="3" xfId="0" applyFill="1" applyBorder="1" applyAlignment="1" applyProtection="1">
      <alignment horizontal="center" vertical="center" wrapText="1"/>
      <protection locked="0"/>
    </xf>
    <xf numFmtId="180" fontId="0" fillId="0" borderId="21" xfId="0" applyNumberFormat="1" applyBorder="1" applyAlignment="1" applyProtection="1">
      <alignment horizontal="center" vertical="center" wrapText="1"/>
      <protection locked="0"/>
    </xf>
    <xf numFmtId="180" fontId="0" fillId="0" borderId="19" xfId="0" applyNumberFormat="1" applyBorder="1" applyAlignment="1" applyProtection="1">
      <alignment horizontal="center" vertical="center" wrapText="1"/>
      <protection locked="0"/>
    </xf>
    <xf numFmtId="0" fontId="0" fillId="38" borderId="108" xfId="0" applyFill="1" applyBorder="1" applyAlignment="1" applyProtection="1">
      <alignment horizontal="center" vertical="center" wrapText="1"/>
      <protection locked="0"/>
    </xf>
    <xf numFmtId="180" fontId="0" fillId="0" borderId="125" xfId="0" applyNumberFormat="1" applyBorder="1" applyAlignment="1" applyProtection="1">
      <alignment horizontal="center" vertical="center" wrapText="1"/>
      <protection locked="0"/>
    </xf>
    <xf numFmtId="180" fontId="0" fillId="0" borderId="126" xfId="0" applyNumberFormat="1" applyBorder="1" applyAlignment="1" applyProtection="1">
      <alignment horizontal="center" vertical="center" wrapText="1"/>
      <protection locked="0"/>
    </xf>
    <xf numFmtId="180" fontId="0" fillId="0" borderId="0" xfId="0" applyNumberFormat="1" applyAlignment="1">
      <alignment horizontal="center" vertical="center"/>
    </xf>
    <xf numFmtId="0" fontId="1" fillId="33" borderId="127" xfId="0" applyFont="1" applyFill="1" applyBorder="1" applyAlignment="1">
      <alignment horizontal="center" vertical="center" wrapText="1"/>
    </xf>
    <xf numFmtId="0" fontId="21" fillId="40" borderId="13" xfId="0" applyFont="1" applyFill="1" applyBorder="1" applyAlignment="1">
      <alignment horizontal="center" vertical="center" wrapText="1"/>
    </xf>
    <xf numFmtId="180" fontId="1" fillId="41" borderId="40" xfId="0" applyNumberFormat="1" applyFont="1" applyFill="1" applyBorder="1" applyAlignment="1">
      <alignment horizontal="center" vertical="center"/>
    </xf>
    <xf numFmtId="180" fontId="1" fillId="41" borderId="13" xfId="0" applyNumberFormat="1" applyFont="1" applyFill="1" applyBorder="1" applyAlignment="1">
      <alignment horizontal="center" vertical="center"/>
    </xf>
    <xf numFmtId="0" fontId="1" fillId="41" borderId="13" xfId="0" applyFont="1" applyFill="1" applyBorder="1" applyAlignment="1">
      <alignment horizontal="center" vertical="center"/>
    </xf>
    <xf numFmtId="180" fontId="0" fillId="0" borderId="58" xfId="0" applyNumberFormat="1" applyBorder="1" applyAlignment="1" applyProtection="1">
      <alignment horizontal="center" vertical="center" wrapText="1"/>
      <protection locked="0"/>
    </xf>
    <xf numFmtId="181" fontId="0" fillId="0" borderId="128" xfId="0" applyNumberFormat="1" applyBorder="1" applyAlignment="1" applyProtection="1">
      <alignment vertical="center" wrapText="1"/>
      <protection locked="0"/>
    </xf>
    <xf numFmtId="181" fontId="0" fillId="0" borderId="129" xfId="0" applyNumberFormat="1" applyBorder="1" applyAlignment="1" applyProtection="1">
      <alignment vertical="center" wrapText="1"/>
      <protection locked="0"/>
    </xf>
    <xf numFmtId="0" fontId="0" fillId="41" borderId="124" xfId="0" applyFill="1" applyBorder="1" applyAlignment="1" applyProtection="1">
      <alignment vertical="center" wrapText="1"/>
      <protection locked="0"/>
    </xf>
    <xf numFmtId="180" fontId="0" fillId="0" borderId="4" xfId="0" applyNumberFormat="1" applyBorder="1" applyAlignment="1" applyProtection="1">
      <alignment horizontal="center" vertical="center" wrapText="1"/>
      <protection locked="0"/>
    </xf>
    <xf numFmtId="181" fontId="0" fillId="0" borderId="19" xfId="0" applyNumberFormat="1" applyBorder="1" applyAlignment="1" applyProtection="1">
      <alignment vertical="center" wrapText="1"/>
      <protection locked="0"/>
    </xf>
    <xf numFmtId="0" fontId="0" fillId="41" borderId="19" xfId="0" applyFill="1" applyBorder="1" applyAlignment="1" applyProtection="1">
      <alignment vertical="center" wrapText="1"/>
      <protection locked="0"/>
    </xf>
    <xf numFmtId="180" fontId="0" fillId="0" borderId="4" xfId="0" applyNumberFormat="1" applyBorder="1" applyAlignment="1" applyProtection="1">
      <alignment vertical="center" wrapText="1"/>
      <protection locked="0"/>
    </xf>
    <xf numFmtId="180" fontId="0" fillId="0" borderId="19" xfId="0" applyNumberFormat="1" applyBorder="1" applyAlignment="1" applyProtection="1">
      <alignment vertical="center" wrapText="1"/>
      <protection locked="0"/>
    </xf>
    <xf numFmtId="180" fontId="0" fillId="0" borderId="130" xfId="0" applyNumberFormat="1" applyBorder="1" applyAlignment="1" applyProtection="1">
      <alignment horizontal="center" vertical="center" wrapText="1"/>
      <protection locked="0"/>
    </xf>
    <xf numFmtId="180" fontId="0" fillId="0" borderId="130" xfId="0" applyNumberFormat="1" applyBorder="1" applyAlignment="1" applyProtection="1">
      <alignment vertical="center" wrapText="1"/>
      <protection locked="0"/>
    </xf>
    <xf numFmtId="180" fontId="0" fillId="0" borderId="126" xfId="0" applyNumberFormat="1" applyBorder="1" applyAlignment="1" applyProtection="1">
      <alignment vertical="center" wrapText="1"/>
      <protection locked="0"/>
    </xf>
    <xf numFmtId="0" fontId="0" fillId="41" borderId="126" xfId="0" applyFill="1" applyBorder="1" applyAlignment="1" applyProtection="1">
      <alignment vertical="center" wrapText="1"/>
      <protection locked="0"/>
    </xf>
    <xf numFmtId="0" fontId="0" fillId="41" borderId="43" xfId="0" applyFill="1" applyBorder="1" applyAlignment="1" applyProtection="1">
      <alignment vertical="center" wrapText="1"/>
      <protection locked="0"/>
    </xf>
    <xf numFmtId="0" fontId="0" fillId="41" borderId="124" xfId="0" applyFill="1" applyBorder="1" applyAlignment="1">
      <alignment vertical="center" wrapText="1"/>
    </xf>
    <xf numFmtId="0" fontId="0" fillId="41" borderId="19" xfId="0" applyFill="1" applyBorder="1" applyAlignment="1">
      <alignment vertical="center" wrapText="1"/>
    </xf>
    <xf numFmtId="0" fontId="0" fillId="41" borderId="126" xfId="0" applyFill="1" applyBorder="1" applyAlignment="1">
      <alignment vertical="center" wrapText="1"/>
    </xf>
    <xf numFmtId="0" fontId="1" fillId="41" borderId="131" xfId="0" applyFont="1" applyFill="1" applyBorder="1" applyAlignment="1">
      <alignment horizontal="center" vertical="center"/>
    </xf>
    <xf numFmtId="0" fontId="0" fillId="41" borderId="26" xfId="0" applyFill="1" applyBorder="1" applyAlignment="1" applyProtection="1">
      <alignment vertical="center" wrapText="1"/>
      <protection locked="0"/>
    </xf>
    <xf numFmtId="0" fontId="0" fillId="41" borderId="43" xfId="0" applyFill="1" applyBorder="1" applyAlignment="1">
      <alignment vertical="center" wrapText="1"/>
    </xf>
    <xf numFmtId="0" fontId="0" fillId="41" borderId="26" xfId="0" applyFill="1" applyBorder="1" applyAlignment="1">
      <alignment vertical="center" wrapText="1"/>
    </xf>
    <xf numFmtId="0" fontId="0" fillId="0" borderId="5" xfId="0" applyBorder="1" applyAlignment="1" applyProtection="1">
      <alignment horizontal="left" vertical="center" wrapText="1"/>
      <protection locked="0"/>
    </xf>
    <xf numFmtId="0" fontId="20" fillId="0" borderId="110" xfId="0" applyFont="1" applyBorder="1" applyAlignment="1">
      <alignment horizontal="center" vertical="center"/>
    </xf>
    <xf numFmtId="0" fontId="0" fillId="0" borderId="132" xfId="0" applyBorder="1" applyAlignment="1" applyProtection="1">
      <alignment horizontal="center" vertical="center" wrapText="1"/>
      <protection locked="0"/>
    </xf>
    <xf numFmtId="0" fontId="0" fillId="0" borderId="133" xfId="0" applyBorder="1" applyAlignment="1" applyProtection="1">
      <alignment vertical="center" wrapText="1"/>
      <protection locked="0"/>
    </xf>
    <xf numFmtId="0" fontId="0" fillId="0" borderId="90" xfId="0" applyBorder="1" applyAlignment="1" applyProtection="1">
      <alignment horizontal="center" vertical="center" wrapText="1"/>
      <protection locked="0"/>
    </xf>
    <xf numFmtId="181" fontId="0" fillId="0" borderId="134" xfId="0" applyNumberFormat="1" applyBorder="1" applyAlignment="1" applyProtection="1">
      <alignment horizontal="center" vertical="center" wrapText="1"/>
      <protection locked="0"/>
    </xf>
    <xf numFmtId="181" fontId="0" fillId="0" borderId="99" xfId="0" applyNumberFormat="1" applyBorder="1" applyAlignment="1" applyProtection="1">
      <alignment horizontal="center" vertical="center" wrapText="1"/>
      <protection locked="0"/>
    </xf>
    <xf numFmtId="0" fontId="1" fillId="12" borderId="14" xfId="0" applyFont="1" applyFill="1" applyBorder="1" applyAlignment="1">
      <alignment horizontal="center" vertical="center"/>
    </xf>
    <xf numFmtId="0" fontId="1" fillId="12" borderId="16" xfId="0" applyFont="1" applyFill="1" applyBorder="1" applyAlignment="1">
      <alignment horizontal="center" vertical="center"/>
    </xf>
    <xf numFmtId="0" fontId="1" fillId="12" borderId="27" xfId="0" applyFont="1" applyFill="1" applyBorder="1" applyAlignment="1">
      <alignment horizontal="center" vertical="center"/>
    </xf>
    <xf numFmtId="180" fontId="1" fillId="12" borderId="14" xfId="0" applyNumberFormat="1" applyFont="1" applyFill="1" applyBorder="1" applyAlignment="1">
      <alignment horizontal="center" vertical="center"/>
    </xf>
    <xf numFmtId="180" fontId="1" fillId="12" borderId="27" xfId="0" applyNumberFormat="1" applyFont="1" applyFill="1" applyBorder="1" applyAlignment="1">
      <alignment horizontal="center" vertical="center"/>
    </xf>
    <xf numFmtId="0" fontId="1" fillId="12" borderId="14" xfId="0" applyFont="1" applyFill="1" applyBorder="1" applyAlignment="1">
      <alignment horizontal="center" vertical="center" wrapText="1"/>
    </xf>
    <xf numFmtId="0" fontId="1" fillId="12" borderId="15" xfId="0" applyFont="1" applyFill="1" applyBorder="1" applyAlignment="1">
      <alignment horizontal="center" vertical="center" wrapText="1"/>
    </xf>
    <xf numFmtId="181" fontId="0" fillId="0" borderId="130" xfId="0" applyNumberFormat="1" applyBorder="1" applyAlignment="1" applyProtection="1">
      <alignment horizontal="center" vertical="center" wrapText="1"/>
      <protection locked="0"/>
    </xf>
    <xf numFmtId="0" fontId="5" fillId="0" borderId="0" xfId="0" applyFont="1" applyAlignment="1" applyProtection="1">
      <alignment vertical="center"/>
      <protection locked="0"/>
    </xf>
    <xf numFmtId="180" fontId="1" fillId="12" borderId="93" xfId="0" applyNumberFormat="1" applyFont="1" applyFill="1" applyBorder="1" applyAlignment="1">
      <alignment horizontal="center" vertical="center"/>
    </xf>
    <xf numFmtId="0" fontId="1" fillId="12" borderId="27" xfId="0" applyFont="1" applyFill="1" applyBorder="1" applyAlignment="1">
      <alignment horizontal="center" vertical="center" wrapText="1"/>
    </xf>
    <xf numFmtId="181" fontId="0" fillId="0" borderId="29" xfId="0" applyNumberFormat="1" applyBorder="1" applyAlignment="1" applyProtection="1">
      <alignment horizontal="center" vertical="center" wrapText="1"/>
      <protection locked="0"/>
    </xf>
    <xf numFmtId="180" fontId="0" fillId="0" borderId="135" xfId="0" applyNumberFormat="1" applyBorder="1" applyAlignment="1" applyProtection="1">
      <alignment horizontal="center" vertical="center" wrapText="1"/>
      <protection locked="0"/>
    </xf>
    <xf numFmtId="0" fontId="0" fillId="41" borderId="45" xfId="0" applyFill="1" applyBorder="1" applyAlignment="1">
      <alignment vertical="center" wrapText="1"/>
    </xf>
    <xf numFmtId="0" fontId="1" fillId="0" borderId="18" xfId="0" applyFont="1" applyBorder="1" applyAlignment="1">
      <alignment horizontal="center" vertical="center"/>
    </xf>
    <xf numFmtId="0" fontId="1" fillId="0" borderId="1" xfId="0" applyFont="1" applyBorder="1" applyAlignment="1">
      <alignment horizontal="center" vertical="center"/>
    </xf>
    <xf numFmtId="0" fontId="1" fillId="0" borderId="29" xfId="0" applyFont="1" applyBorder="1" applyAlignment="1">
      <alignment horizontal="center" vertical="center"/>
    </xf>
    <xf numFmtId="0" fontId="1" fillId="0" borderId="3" xfId="0" applyFont="1" applyBorder="1" applyAlignment="1">
      <alignment horizontal="center" vertical="center"/>
    </xf>
    <xf numFmtId="3" fontId="0" fillId="0" borderId="1" xfId="0" applyNumberFormat="1" applyBorder="1" applyAlignment="1">
      <alignment horizontal="center" vertical="center"/>
    </xf>
    <xf numFmtId="3" fontId="0" fillId="0" borderId="29" xfId="0" applyNumberFormat="1" applyBorder="1" applyAlignment="1">
      <alignment horizontal="center" vertical="center"/>
    </xf>
    <xf numFmtId="3" fontId="0" fillId="0" borderId="18" xfId="0" applyNumberFormat="1" applyBorder="1" applyAlignment="1">
      <alignment horizontal="center" vertical="center"/>
    </xf>
    <xf numFmtId="3" fontId="0" fillId="0" borderId="3" xfId="0" applyNumberFormat="1" applyBorder="1" applyAlignment="1">
      <alignment horizontal="center" vertical="center"/>
    </xf>
    <xf numFmtId="3" fontId="0" fillId="0" borderId="5" xfId="0" applyNumberFormat="1" applyBorder="1" applyAlignment="1">
      <alignment horizontal="center" vertical="center"/>
    </xf>
    <xf numFmtId="3" fontId="0" fillId="0" borderId="31" xfId="0" applyNumberFormat="1" applyBorder="1" applyAlignment="1">
      <alignment horizontal="center" vertical="center"/>
    </xf>
    <xf numFmtId="3" fontId="0" fillId="0" borderId="35" xfId="0" applyNumberFormat="1" applyBorder="1" applyAlignment="1">
      <alignment horizontal="center" vertical="center"/>
    </xf>
    <xf numFmtId="3" fontId="0" fillId="0" borderId="30" xfId="0" applyNumberFormat="1" applyBorder="1" applyAlignment="1">
      <alignment horizontal="center" vertical="center"/>
    </xf>
    <xf numFmtId="3" fontId="0" fillId="0" borderId="53" xfId="0" applyNumberFormat="1" applyBorder="1" applyAlignment="1">
      <alignment horizontal="center" vertical="center"/>
    </xf>
    <xf numFmtId="0" fontId="0" fillId="0" borderId="40" xfId="0" applyBorder="1" applyAlignment="1">
      <alignment horizontal="center" vertical="center"/>
    </xf>
    <xf numFmtId="1" fontId="0" fillId="0" borderId="40" xfId="0" applyNumberFormat="1" applyBorder="1" applyAlignment="1">
      <alignment horizontal="center" vertical="center"/>
    </xf>
    <xf numFmtId="0" fontId="0" fillId="0" borderId="40" xfId="0" applyBorder="1" applyAlignment="1">
      <alignment vertical="center"/>
    </xf>
    <xf numFmtId="180" fontId="0" fillId="0" borderId="0" xfId="0" applyNumberFormat="1" applyAlignment="1">
      <alignment vertical="center"/>
    </xf>
    <xf numFmtId="0" fontId="0" fillId="12" borderId="1" xfId="0" applyFill="1" applyBorder="1" applyAlignment="1">
      <alignment horizontal="center" vertical="center"/>
    </xf>
    <xf numFmtId="0" fontId="0" fillId="11" borderId="0" xfId="0" applyFill="1" applyAlignment="1">
      <alignment horizontal="center" vertical="center"/>
    </xf>
    <xf numFmtId="0" fontId="0" fillId="11" borderId="6" xfId="0" applyFill="1" applyBorder="1" applyAlignment="1">
      <alignment horizontal="center" vertical="center"/>
    </xf>
    <xf numFmtId="0" fontId="0" fillId="11" borderId="6" xfId="0" applyFill="1" applyBorder="1" applyAlignment="1">
      <alignment vertical="center"/>
    </xf>
    <xf numFmtId="180" fontId="0" fillId="11" borderId="6" xfId="0" applyNumberFormat="1" applyFill="1" applyBorder="1" applyAlignment="1">
      <alignment vertical="center"/>
    </xf>
    <xf numFmtId="0" fontId="0" fillId="11" borderId="6" xfId="0" applyFill="1" applyBorder="1" applyAlignment="1">
      <alignment vertical="center" wrapText="1"/>
    </xf>
    <xf numFmtId="0" fontId="5" fillId="5" borderId="1" xfId="0" applyFont="1" applyFill="1" applyBorder="1" applyAlignment="1">
      <alignment horizontal="center" vertical="center"/>
    </xf>
    <xf numFmtId="0" fontId="0" fillId="0" borderId="1" xfId="0" applyBorder="1" applyAlignment="1">
      <alignment horizontal="right" vertical="center"/>
    </xf>
    <xf numFmtId="0" fontId="0" fillId="0" borderId="1" xfId="0" applyBorder="1" applyAlignment="1">
      <alignment vertical="center"/>
    </xf>
    <xf numFmtId="0" fontId="5" fillId="0" borderId="1" xfId="0" applyFont="1" applyBorder="1" applyAlignment="1">
      <alignment vertical="center"/>
    </xf>
    <xf numFmtId="0" fontId="1" fillId="0" borderId="5" xfId="0" applyFont="1" applyBorder="1" applyAlignment="1">
      <alignment horizontal="center" vertical="center"/>
    </xf>
    <xf numFmtId="3" fontId="0" fillId="0" borderId="18" xfId="0" applyNumberFormat="1" applyBorder="1" applyAlignment="1">
      <alignment vertical="center"/>
    </xf>
    <xf numFmtId="3" fontId="0" fillId="0" borderId="29" xfId="0" applyNumberFormat="1" applyBorder="1" applyAlignment="1">
      <alignment vertical="center"/>
    </xf>
    <xf numFmtId="3" fontId="0" fillId="0" borderId="72" xfId="0" applyNumberFormat="1" applyBorder="1" applyAlignment="1">
      <alignment horizontal="center" vertical="center"/>
    </xf>
    <xf numFmtId="0" fontId="0" fillId="0" borderId="87" xfId="0" applyBorder="1" applyAlignment="1">
      <alignment vertical="center"/>
    </xf>
    <xf numFmtId="1" fontId="0" fillId="0" borderId="38" xfId="0" applyNumberFormat="1" applyBorder="1" applyAlignment="1">
      <alignment horizontal="center" vertical="center"/>
    </xf>
    <xf numFmtId="3" fontId="0" fillId="0" borderId="38" xfId="0" applyNumberFormat="1" applyBorder="1" applyAlignment="1">
      <alignment vertical="center"/>
    </xf>
    <xf numFmtId="0" fontId="0" fillId="0" borderId="0" xfId="0" applyAlignment="1" applyProtection="1">
      <alignment horizontal="right" vertical="center"/>
      <protection locked="0"/>
    </xf>
    <xf numFmtId="0" fontId="0" fillId="0" borderId="1" xfId="0" applyBorder="1" applyAlignment="1" applyProtection="1">
      <alignment vertical="center"/>
      <protection locked="0"/>
    </xf>
    <xf numFmtId="0" fontId="0" fillId="11" borderId="130" xfId="0" applyFill="1" applyBorder="1" applyAlignment="1">
      <alignment horizontal="center" vertical="center"/>
    </xf>
    <xf numFmtId="0" fontId="0" fillId="11" borderId="99" xfId="0" applyFill="1" applyBorder="1" applyAlignment="1">
      <alignment horizontal="center" vertical="center"/>
    </xf>
    <xf numFmtId="0" fontId="0" fillId="11" borderId="99" xfId="0" applyFill="1" applyBorder="1" applyAlignment="1">
      <alignment vertical="center"/>
    </xf>
    <xf numFmtId="180" fontId="0" fillId="11" borderId="99" xfId="0" applyNumberFormat="1" applyFill="1" applyBorder="1" applyAlignment="1">
      <alignment vertical="center"/>
    </xf>
    <xf numFmtId="0" fontId="0" fillId="11" borderId="99" xfId="0" applyFill="1" applyBorder="1" applyAlignment="1">
      <alignment vertical="center" wrapText="1"/>
    </xf>
    <xf numFmtId="0" fontId="5" fillId="5" borderId="90" xfId="0" applyFont="1" applyFill="1" applyBorder="1" applyAlignment="1">
      <alignment horizontal="center" vertical="center"/>
    </xf>
    <xf numFmtId="0" fontId="5" fillId="5" borderId="5" xfId="0" applyFont="1" applyFill="1" applyBorder="1" applyAlignment="1">
      <alignment horizontal="center" vertical="center"/>
    </xf>
    <xf numFmtId="0" fontId="5" fillId="5" borderId="136" xfId="0" applyFont="1" applyFill="1" applyBorder="1" applyAlignment="1">
      <alignment horizontal="center" vertical="center"/>
    </xf>
    <xf numFmtId="0" fontId="5" fillId="5" borderId="59" xfId="0" applyFont="1" applyFill="1" applyBorder="1" applyAlignment="1">
      <alignment horizontal="center" vertical="center"/>
    </xf>
    <xf numFmtId="0" fontId="0" fillId="11" borderId="54" xfId="0" applyFill="1" applyBorder="1" applyAlignment="1">
      <alignment horizontal="center" vertical="center"/>
    </xf>
    <xf numFmtId="0" fontId="0" fillId="11" borderId="2" xfId="0" applyFill="1" applyBorder="1" applyAlignment="1">
      <alignment horizontal="center" vertical="center"/>
    </xf>
    <xf numFmtId="0" fontId="0" fillId="11" borderId="2" xfId="0" applyFill="1" applyBorder="1" applyAlignment="1">
      <alignment vertical="center"/>
    </xf>
    <xf numFmtId="180" fontId="0" fillId="11" borderId="2" xfId="0" applyNumberFormat="1" applyFill="1" applyBorder="1" applyAlignment="1">
      <alignment vertical="center"/>
    </xf>
    <xf numFmtId="0" fontId="0" fillId="11" borderId="2" xfId="0" applyFill="1" applyBorder="1" applyAlignment="1">
      <alignment vertical="center" wrapText="1"/>
    </xf>
    <xf numFmtId="0" fontId="5" fillId="5" borderId="14" xfId="0" applyFont="1" applyFill="1" applyBorder="1" applyAlignment="1">
      <alignment horizontal="center" vertical="center"/>
    </xf>
    <xf numFmtId="0" fontId="0" fillId="0" borderId="16" xfId="0" applyBorder="1" applyAlignment="1">
      <alignment horizontal="right" vertical="center"/>
    </xf>
    <xf numFmtId="0" fontId="0" fillId="0" borderId="16" xfId="0" applyBorder="1" applyAlignment="1">
      <alignment vertical="center"/>
    </xf>
    <xf numFmtId="0" fontId="5" fillId="0" borderId="16" xfId="0" applyFont="1" applyBorder="1" applyAlignment="1">
      <alignment vertical="center"/>
    </xf>
    <xf numFmtId="0" fontId="5" fillId="0" borderId="27" xfId="0" applyFont="1" applyBorder="1" applyAlignment="1">
      <alignment vertical="center"/>
    </xf>
    <xf numFmtId="0" fontId="5" fillId="5" borderId="18" xfId="0" applyFont="1" applyFill="1" applyBorder="1" applyAlignment="1">
      <alignment horizontal="center" vertical="center"/>
    </xf>
    <xf numFmtId="0" fontId="5" fillId="0" borderId="29" xfId="0" applyFont="1" applyBorder="1" applyAlignment="1">
      <alignment vertical="center"/>
    </xf>
    <xf numFmtId="0" fontId="5" fillId="5" borderId="30" xfId="0" applyFont="1" applyFill="1" applyBorder="1" applyAlignment="1">
      <alignment horizontal="center" vertical="center"/>
    </xf>
    <xf numFmtId="0" fontId="0" fillId="0" borderId="31" xfId="0" applyBorder="1" applyAlignment="1">
      <alignment vertical="center"/>
    </xf>
    <xf numFmtId="0" fontId="5" fillId="0" borderId="31" xfId="0" applyFont="1" applyBorder="1" applyAlignment="1">
      <alignment vertical="center"/>
    </xf>
    <xf numFmtId="0" fontId="5" fillId="0" borderId="35" xfId="0" applyFont="1" applyBorder="1" applyAlignment="1">
      <alignment vertical="center"/>
    </xf>
    <xf numFmtId="0" fontId="0" fillId="0" borderId="0" xfId="0" applyAlignment="1">
      <alignment horizontal="center" vertical="center"/>
    </xf>
    <xf numFmtId="0" fontId="19" fillId="29" borderId="0" xfId="0" applyFont="1" applyFill="1" applyAlignment="1">
      <alignment vertical="center"/>
    </xf>
    <xf numFmtId="0" fontId="19" fillId="30" borderId="137" xfId="0" applyFont="1" applyFill="1" applyBorder="1" applyAlignment="1">
      <alignment horizontal="center" vertical="center"/>
    </xf>
    <xf numFmtId="0" fontId="19" fillId="30" borderId="85" xfId="0" applyFont="1" applyFill="1" applyBorder="1" applyAlignment="1">
      <alignment horizontal="center" vertical="center"/>
    </xf>
    <xf numFmtId="0" fontId="19" fillId="30" borderId="138" xfId="0" applyFont="1" applyFill="1" applyBorder="1" applyAlignment="1">
      <alignment horizontal="center" vertical="center"/>
    </xf>
    <xf numFmtId="0" fontId="1" fillId="31" borderId="2" xfId="0" applyFont="1" applyFill="1" applyBorder="1" applyAlignment="1">
      <alignment vertical="center"/>
    </xf>
    <xf numFmtId="0" fontId="1" fillId="31" borderId="2" xfId="0" applyFont="1" applyFill="1" applyBorder="1" applyAlignment="1">
      <alignment horizontal="center" vertical="center"/>
    </xf>
    <xf numFmtId="0" fontId="1" fillId="31" borderId="25" xfId="0" applyFont="1" applyFill="1" applyBorder="1" applyAlignment="1">
      <alignment horizontal="center" vertical="center" wrapText="1"/>
    </xf>
    <xf numFmtId="180" fontId="1" fillId="2" borderId="69" xfId="0" applyNumberFormat="1" applyFont="1" applyFill="1" applyBorder="1" applyAlignment="1">
      <alignment horizontal="center" vertical="center" wrapText="1"/>
    </xf>
    <xf numFmtId="180" fontId="1" fillId="2" borderId="59" xfId="0" applyNumberFormat="1" applyFont="1" applyFill="1" applyBorder="1" applyAlignment="1">
      <alignment horizontal="center" vertical="center"/>
    </xf>
    <xf numFmtId="0" fontId="1" fillId="2" borderId="25"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82" xfId="0" applyFont="1" applyFill="1" applyBorder="1" applyAlignment="1">
      <alignment horizontal="center" vertical="center"/>
    </xf>
    <xf numFmtId="0" fontId="20" fillId="5" borderId="105" xfId="0" applyFont="1" applyFill="1" applyBorder="1" applyAlignment="1">
      <alignment horizontal="right" vertical="center"/>
    </xf>
    <xf numFmtId="0" fontId="0" fillId="0" borderId="123" xfId="0" applyBorder="1" applyAlignment="1" applyProtection="1">
      <alignment vertical="center" wrapText="1"/>
      <protection locked="0"/>
    </xf>
    <xf numFmtId="49" fontId="0" fillId="0" borderId="139" xfId="0" applyNumberFormat="1" applyBorder="1" applyAlignment="1" applyProtection="1">
      <alignment horizontal="center" vertical="center" wrapText="1"/>
      <protection locked="0"/>
    </xf>
    <xf numFmtId="49" fontId="0" fillId="0" borderId="105" xfId="0" applyNumberFormat="1" applyBorder="1" applyAlignment="1" applyProtection="1">
      <alignment horizontal="center" vertical="center" wrapText="1"/>
      <protection locked="0"/>
    </xf>
    <xf numFmtId="1" fontId="0" fillId="31" borderId="105" xfId="0" applyNumberFormat="1" applyFill="1" applyBorder="1" applyAlignment="1">
      <alignment horizontal="center" vertical="center" wrapText="1"/>
    </xf>
    <xf numFmtId="1" fontId="0" fillId="0" borderId="105" xfId="0" applyNumberFormat="1" applyBorder="1" applyAlignment="1" applyProtection="1">
      <alignment horizontal="center" vertical="center" wrapText="1"/>
      <protection locked="0"/>
    </xf>
    <xf numFmtId="0" fontId="0" fillId="0" borderId="140" xfId="0" applyBorder="1" applyAlignment="1" applyProtection="1">
      <alignment horizontal="center" vertical="center" wrapText="1"/>
      <protection locked="0"/>
    </xf>
    <xf numFmtId="0" fontId="20" fillId="5" borderId="1" xfId="0" applyFont="1" applyFill="1" applyBorder="1" applyAlignment="1">
      <alignment horizontal="right" vertical="center"/>
    </xf>
    <xf numFmtId="0" fontId="0" fillId="0" borderId="3" xfId="0" applyBorder="1" applyAlignment="1" applyProtection="1">
      <alignment vertical="center" wrapText="1"/>
      <protection locked="0"/>
    </xf>
    <xf numFmtId="49" fontId="0" fillId="0" borderId="68" xfId="0" applyNumberFormat="1" applyBorder="1" applyAlignment="1" applyProtection="1">
      <alignment horizontal="center" vertical="center" wrapText="1"/>
      <protection locked="0"/>
    </xf>
    <xf numFmtId="49" fontId="0" fillId="0" borderId="5" xfId="0" applyNumberFormat="1" applyBorder="1" applyAlignment="1" applyProtection="1">
      <alignment horizontal="center" vertical="center" wrapText="1"/>
      <protection locked="0"/>
    </xf>
    <xf numFmtId="1" fontId="0" fillId="31" borderId="1" xfId="0" applyNumberFormat="1" applyFill="1" applyBorder="1" applyAlignment="1">
      <alignment horizontal="center" vertical="center" wrapText="1"/>
    </xf>
    <xf numFmtId="0" fontId="0" fillId="0" borderId="141" xfId="0" applyBorder="1" applyAlignment="1" applyProtection="1">
      <alignment horizontal="center" vertical="center" wrapText="1"/>
      <protection locked="0"/>
    </xf>
    <xf numFmtId="0" fontId="20" fillId="5" borderId="99" xfId="0" applyFont="1" applyFill="1" applyBorder="1" applyAlignment="1">
      <alignment horizontal="right" vertical="center"/>
    </xf>
    <xf numFmtId="0" fontId="0" fillId="0" borderId="108" xfId="0" applyBorder="1" applyAlignment="1" applyProtection="1">
      <alignment vertical="center" wrapText="1"/>
      <protection locked="0"/>
    </xf>
    <xf numFmtId="49" fontId="0" fillId="0" borderId="142" xfId="0" applyNumberFormat="1" applyBorder="1" applyAlignment="1" applyProtection="1">
      <alignment horizontal="center" vertical="center" wrapText="1"/>
      <protection locked="0"/>
    </xf>
    <xf numFmtId="49" fontId="0" fillId="0" borderId="107" xfId="0" applyNumberFormat="1" applyBorder="1" applyAlignment="1" applyProtection="1">
      <alignment horizontal="center" vertical="center" wrapText="1"/>
      <protection locked="0"/>
    </xf>
    <xf numFmtId="0" fontId="0" fillId="31" borderId="99" xfId="0" applyFill="1" applyBorder="1" applyAlignment="1">
      <alignment horizontal="center" vertical="center" wrapText="1"/>
    </xf>
    <xf numFmtId="0" fontId="0" fillId="0" borderId="143" xfId="0" applyBorder="1" applyAlignment="1" applyProtection="1">
      <alignment horizontal="center" vertical="center" wrapText="1"/>
      <protection locked="0"/>
    </xf>
    <xf numFmtId="0" fontId="20" fillId="5" borderId="9" xfId="0" applyFont="1" applyFill="1" applyBorder="1" applyAlignment="1">
      <alignment horizontal="right" vertical="center"/>
    </xf>
    <xf numFmtId="0" fontId="0" fillId="0" borderId="73" xfId="0" applyBorder="1" applyAlignment="1" applyProtection="1">
      <alignment vertical="center" wrapText="1"/>
      <protection locked="0"/>
    </xf>
    <xf numFmtId="0" fontId="0" fillId="31" borderId="1" xfId="0" applyFill="1" applyBorder="1" applyAlignment="1">
      <alignment horizontal="center" vertical="center" wrapText="1"/>
    </xf>
    <xf numFmtId="1" fontId="0" fillId="0" borderId="1" xfId="0" applyNumberFormat="1" applyBorder="1" applyAlignment="1" applyProtection="1">
      <alignment horizontal="center" vertical="center" wrapText="1"/>
      <protection locked="0"/>
    </xf>
    <xf numFmtId="0" fontId="0" fillId="31" borderId="105" xfId="0" applyFill="1" applyBorder="1" applyAlignment="1">
      <alignment horizontal="center" vertical="center" wrapText="1"/>
    </xf>
    <xf numFmtId="0" fontId="0" fillId="31" borderId="9" xfId="0" applyFill="1" applyBorder="1" applyAlignment="1">
      <alignment horizontal="center" vertical="center" wrapText="1"/>
    </xf>
    <xf numFmtId="0" fontId="0" fillId="31" borderId="6" xfId="0" applyFill="1" applyBorder="1" applyAlignment="1">
      <alignment horizontal="center" vertical="center" wrapText="1"/>
    </xf>
    <xf numFmtId="0" fontId="0" fillId="0" borderId="140" xfId="0" applyBorder="1" applyAlignment="1" applyProtection="1">
      <alignment vertical="center" wrapText="1"/>
      <protection locked="0"/>
    </xf>
    <xf numFmtId="49" fontId="0" fillId="0" borderId="144" xfId="0" applyNumberFormat="1" applyBorder="1" applyAlignment="1" applyProtection="1">
      <alignment horizontal="center" vertical="center" wrapText="1"/>
      <protection locked="0"/>
    </xf>
    <xf numFmtId="49" fontId="0" fillId="0" borderId="132" xfId="0" applyNumberFormat="1" applyBorder="1" applyAlignment="1" applyProtection="1">
      <alignment horizontal="center" vertical="center" wrapText="1"/>
      <protection locked="0"/>
    </xf>
    <xf numFmtId="0" fontId="0" fillId="0" borderId="145" xfId="0" applyBorder="1" applyAlignment="1" applyProtection="1">
      <alignment horizontal="center" vertical="center" wrapText="1"/>
      <protection locked="0"/>
    </xf>
    <xf numFmtId="0" fontId="0" fillId="0" borderId="146" xfId="0" applyBorder="1" applyAlignment="1" applyProtection="1">
      <alignment horizontal="center" vertical="center" wrapText="1"/>
      <protection locked="0"/>
    </xf>
    <xf numFmtId="0" fontId="0" fillId="0" borderId="141" xfId="0" applyBorder="1" applyAlignment="1" applyProtection="1">
      <alignment vertical="center" wrapText="1"/>
      <protection locked="0"/>
    </xf>
    <xf numFmtId="49" fontId="0" fillId="0" borderId="69" xfId="0" applyNumberFormat="1" applyBorder="1" applyAlignment="1" applyProtection="1">
      <alignment horizontal="center" vertical="center" wrapText="1"/>
      <protection locked="0"/>
    </xf>
    <xf numFmtId="49" fontId="0" fillId="0" borderId="59" xfId="0" applyNumberFormat="1"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82" xfId="0" applyBorder="1" applyAlignment="1" applyProtection="1">
      <alignment horizontal="center" vertical="center" wrapText="1"/>
      <protection locked="0"/>
    </xf>
    <xf numFmtId="0" fontId="0" fillId="0" borderId="143" xfId="0" applyBorder="1" applyAlignment="1" applyProtection="1">
      <alignment vertical="center" wrapText="1"/>
      <protection locked="0"/>
    </xf>
    <xf numFmtId="0" fontId="0" fillId="31" borderId="147" xfId="0" applyFill="1" applyBorder="1" applyAlignment="1">
      <alignment horizontal="center" vertical="center" wrapText="1"/>
    </xf>
    <xf numFmtId="49" fontId="0" fillId="0" borderId="111" xfId="0" applyNumberFormat="1" applyBorder="1" applyAlignment="1" applyProtection="1">
      <alignment horizontal="center" vertical="center" wrapText="1"/>
      <protection locked="0"/>
    </xf>
    <xf numFmtId="49" fontId="0" fillId="0" borderId="90" xfId="0" applyNumberFormat="1" applyBorder="1" applyAlignment="1" applyProtection="1">
      <alignment horizontal="center" vertical="center" wrapText="1"/>
      <protection locked="0"/>
    </xf>
    <xf numFmtId="49" fontId="0" fillId="0" borderId="1" xfId="0" applyNumberFormat="1" applyBorder="1" applyAlignment="1" applyProtection="1">
      <alignment horizontal="center" vertical="center" wrapText="1"/>
      <protection locked="0"/>
    </xf>
    <xf numFmtId="49" fontId="0" fillId="0" borderId="115" xfId="0" applyNumberFormat="1" applyBorder="1" applyAlignment="1" applyProtection="1">
      <alignment horizontal="center" vertical="center" wrapText="1"/>
      <protection locked="0"/>
    </xf>
    <xf numFmtId="49" fontId="0" fillId="0" borderId="99" xfId="0" applyNumberFormat="1" applyBorder="1" applyAlignment="1" applyProtection="1">
      <alignment horizontal="center" vertical="center" wrapText="1"/>
      <protection locked="0"/>
    </xf>
    <xf numFmtId="49" fontId="0" fillId="0" borderId="71" xfId="0" applyNumberFormat="1" applyBorder="1" applyAlignment="1" applyProtection="1">
      <alignment horizontal="center" vertical="center" wrapText="1"/>
      <protection locked="0"/>
    </xf>
    <xf numFmtId="49" fontId="0" fillId="0" borderId="102" xfId="0" applyNumberFormat="1" applyBorder="1" applyAlignment="1" applyProtection="1">
      <alignment horizontal="center" vertical="center" wrapText="1"/>
      <protection locked="0"/>
    </xf>
    <xf numFmtId="1" fontId="0" fillId="0" borderId="9" xfId="0" applyNumberFormat="1" applyBorder="1" applyAlignment="1" applyProtection="1">
      <alignment horizontal="center" vertical="center" wrapText="1"/>
      <protection locked="0"/>
    </xf>
    <xf numFmtId="0" fontId="0" fillId="0" borderId="81" xfId="0" applyBorder="1" applyAlignment="1" applyProtection="1">
      <alignment horizontal="center" vertical="center" wrapText="1"/>
      <protection locked="0"/>
    </xf>
    <xf numFmtId="0" fontId="20" fillId="5" borderId="2" xfId="0" applyFont="1" applyFill="1" applyBorder="1" applyAlignment="1">
      <alignment horizontal="right" vertical="center"/>
    </xf>
    <xf numFmtId="0" fontId="5" fillId="5" borderId="105" xfId="0" applyFont="1" applyFill="1" applyBorder="1" applyAlignment="1">
      <alignment horizontal="right" vertical="center"/>
    </xf>
    <xf numFmtId="1" fontId="0" fillId="0" borderId="99" xfId="0" applyNumberFormat="1" applyBorder="1" applyAlignment="1" applyProtection="1">
      <alignment horizontal="center" vertical="center" wrapText="1"/>
      <protection locked="0"/>
    </xf>
    <xf numFmtId="0" fontId="20" fillId="0" borderId="105" xfId="0" applyFont="1" applyBorder="1" applyAlignment="1">
      <alignment horizontal="right" vertical="center"/>
    </xf>
    <xf numFmtId="49" fontId="0" fillId="0" borderId="148" xfId="0" applyNumberFormat="1" applyBorder="1" applyAlignment="1" applyProtection="1">
      <alignment horizontal="center" vertical="center" wrapText="1"/>
      <protection locked="0"/>
    </xf>
    <xf numFmtId="180" fontId="0" fillId="0" borderId="113" xfId="0" applyNumberFormat="1" applyBorder="1" applyAlignment="1" applyProtection="1">
      <alignment horizontal="center" vertical="center" wrapText="1"/>
      <protection locked="0"/>
    </xf>
    <xf numFmtId="0" fontId="0" fillId="31" borderId="113" xfId="0" applyFill="1" applyBorder="1" applyAlignment="1">
      <alignment horizontal="center" vertical="center" wrapText="1"/>
    </xf>
    <xf numFmtId="49" fontId="0" fillId="0" borderId="113" xfId="0" applyNumberFormat="1" applyBorder="1" applyAlignment="1" applyProtection="1">
      <alignment horizontal="center" vertical="center" wrapText="1"/>
      <protection locked="0"/>
    </xf>
    <xf numFmtId="0" fontId="1" fillId="42" borderId="5" xfId="0" applyFont="1" applyFill="1" applyBorder="1" applyAlignment="1">
      <alignment horizontal="center" vertical="center"/>
    </xf>
    <xf numFmtId="0" fontId="1" fillId="0" borderId="18" xfId="0" applyFont="1" applyBorder="1" applyAlignment="1">
      <alignment vertical="center"/>
    </xf>
    <xf numFmtId="0" fontId="0" fillId="0" borderId="18" xfId="0" applyBorder="1" applyAlignment="1">
      <alignment vertical="center"/>
    </xf>
    <xf numFmtId="0" fontId="0" fillId="42" borderId="5" xfId="0" applyFill="1" applyBorder="1" applyAlignment="1">
      <alignment vertical="center"/>
    </xf>
    <xf numFmtId="0" fontId="19" fillId="32" borderId="85" xfId="0" applyFont="1" applyFill="1" applyBorder="1" applyAlignment="1">
      <alignment horizontal="center" vertical="center"/>
    </xf>
    <xf numFmtId="0" fontId="19" fillId="32" borderId="138" xfId="0" applyFont="1" applyFill="1" applyBorder="1" applyAlignment="1">
      <alignment horizontal="center" vertical="center"/>
    </xf>
    <xf numFmtId="0" fontId="19" fillId="33" borderId="137" xfId="0" applyFont="1" applyFill="1" applyBorder="1" applyAlignment="1">
      <alignment horizontal="center" vertical="center"/>
    </xf>
    <xf numFmtId="0" fontId="19" fillId="33" borderId="85" xfId="0" applyFont="1" applyFill="1" applyBorder="1" applyAlignment="1">
      <alignment horizontal="center" vertical="center"/>
    </xf>
    <xf numFmtId="180" fontId="1" fillId="3" borderId="59" xfId="0" applyNumberFormat="1" applyFont="1" applyFill="1" applyBorder="1" applyAlignment="1">
      <alignment horizontal="center" vertical="center" wrapText="1"/>
    </xf>
    <xf numFmtId="180" fontId="1" fillId="3" borderId="2" xfId="0" applyNumberFormat="1" applyFont="1" applyFill="1" applyBorder="1" applyAlignment="1">
      <alignment horizontal="center" vertical="center"/>
    </xf>
    <xf numFmtId="0" fontId="1" fillId="3" borderId="25"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51" xfId="0" applyFont="1" applyFill="1" applyBorder="1" applyAlignment="1">
      <alignment horizontal="center" vertical="center"/>
    </xf>
    <xf numFmtId="180" fontId="1" fillId="4" borderId="59" xfId="0" applyNumberFormat="1" applyFont="1" applyFill="1" applyBorder="1" applyAlignment="1">
      <alignment horizontal="center" vertical="center" wrapText="1"/>
    </xf>
    <xf numFmtId="180" fontId="1" fillId="4" borderId="2" xfId="0" applyNumberFormat="1" applyFont="1" applyFill="1" applyBorder="1" applyAlignment="1">
      <alignment horizontal="center" vertical="center"/>
    </xf>
    <xf numFmtId="0" fontId="1" fillId="4" borderId="25" xfId="0" applyFont="1" applyFill="1" applyBorder="1" applyAlignment="1">
      <alignment horizontal="center" vertical="center"/>
    </xf>
    <xf numFmtId="1" fontId="0" fillId="3" borderId="105" xfId="0" applyNumberFormat="1" applyFill="1" applyBorder="1" applyAlignment="1">
      <alignment horizontal="center" vertical="center" wrapText="1"/>
    </xf>
    <xf numFmtId="0" fontId="0" fillId="4" borderId="123" xfId="0" applyFill="1" applyBorder="1" applyAlignment="1">
      <alignment horizontal="center" vertical="center" wrapText="1"/>
    </xf>
    <xf numFmtId="0" fontId="0" fillId="3" borderId="1" xfId="0" applyFill="1" applyBorder="1" applyAlignment="1">
      <alignment horizontal="center" vertical="center" wrapText="1"/>
    </xf>
    <xf numFmtId="49" fontId="0" fillId="0" borderId="149" xfId="0" applyNumberFormat="1" applyBorder="1" applyAlignment="1" applyProtection="1">
      <alignment horizontal="center" vertical="center" wrapText="1"/>
      <protection locked="0"/>
    </xf>
    <xf numFmtId="0" fontId="0" fillId="4" borderId="3" xfId="0" applyFill="1" applyBorder="1" applyAlignment="1">
      <alignment horizontal="center" vertical="center" wrapText="1"/>
    </xf>
    <xf numFmtId="0" fontId="0" fillId="3" borderId="99" xfId="0" applyFill="1" applyBorder="1" applyAlignment="1">
      <alignment horizontal="center" vertical="center" wrapText="1"/>
    </xf>
    <xf numFmtId="49" fontId="0" fillId="0" borderId="150" xfId="0" applyNumberFormat="1" applyBorder="1" applyAlignment="1" applyProtection="1">
      <alignment horizontal="center" vertical="center" wrapText="1"/>
      <protection locked="0"/>
    </xf>
    <xf numFmtId="0" fontId="0" fillId="4" borderId="108" xfId="0" applyFill="1" applyBorder="1" applyAlignment="1">
      <alignment horizontal="center" vertical="center" wrapText="1"/>
    </xf>
    <xf numFmtId="0" fontId="0" fillId="4" borderId="1" xfId="0" applyFill="1" applyBorder="1" applyAlignment="1">
      <alignment horizontal="center" vertical="center" wrapText="1"/>
    </xf>
    <xf numFmtId="0" fontId="0" fillId="4" borderId="99" xfId="0" applyFill="1" applyBorder="1" applyAlignment="1">
      <alignment horizontal="center" vertical="center" wrapText="1"/>
    </xf>
    <xf numFmtId="0" fontId="0" fillId="3" borderId="105" xfId="0" applyFill="1" applyBorder="1" applyAlignment="1">
      <alignment horizontal="center" vertical="center" wrapText="1"/>
    </xf>
    <xf numFmtId="49" fontId="0" fillId="0" borderId="2" xfId="0" applyNumberFormat="1" applyBorder="1" applyAlignment="1" applyProtection="1">
      <alignment horizontal="center" vertical="center" wrapText="1"/>
      <protection locked="0"/>
    </xf>
    <xf numFmtId="0" fontId="0" fillId="3" borderId="9" xfId="0" applyFill="1" applyBorder="1" applyAlignment="1">
      <alignment horizontal="center" vertical="center" wrapText="1"/>
    </xf>
    <xf numFmtId="49" fontId="0" fillId="0" borderId="9" xfId="0" applyNumberFormat="1" applyBorder="1" applyAlignment="1" applyProtection="1">
      <alignment horizontal="center" vertical="center" wrapText="1"/>
      <protection locked="0"/>
    </xf>
    <xf numFmtId="0" fontId="0" fillId="4" borderId="9" xfId="0" applyFill="1" applyBorder="1" applyAlignment="1">
      <alignment horizontal="center" vertical="center" wrapText="1"/>
    </xf>
    <xf numFmtId="0" fontId="0" fillId="4" borderId="105" xfId="0" applyFill="1" applyBorder="1" applyAlignment="1">
      <alignment horizontal="center" vertical="center" wrapText="1"/>
    </xf>
    <xf numFmtId="0" fontId="0" fillId="3" borderId="113" xfId="0" applyFill="1" applyBorder="1" applyAlignment="1">
      <alignment horizontal="center" vertical="center" wrapText="1"/>
    </xf>
    <xf numFmtId="180" fontId="0" fillId="0" borderId="151" xfId="0" applyNumberFormat="1" applyBorder="1" applyAlignment="1">
      <alignment vertical="center"/>
    </xf>
    <xf numFmtId="0" fontId="1" fillId="42" borderId="3" xfId="0" applyFont="1" applyFill="1" applyBorder="1" applyAlignment="1">
      <alignment horizontal="center" vertical="center"/>
    </xf>
    <xf numFmtId="180" fontId="1" fillId="12" borderId="15" xfId="0" applyNumberFormat="1" applyFont="1" applyFill="1" applyBorder="1" applyAlignment="1">
      <alignment horizontal="center" vertical="center"/>
    </xf>
    <xf numFmtId="180" fontId="1" fillId="12" borderId="14" xfId="0" applyNumberFormat="1" applyFont="1" applyFill="1" applyBorder="1" applyAlignment="1">
      <alignment horizontal="center" vertical="center" wrapText="1"/>
    </xf>
    <xf numFmtId="180" fontId="1" fillId="12" borderId="27" xfId="0" applyNumberFormat="1" applyFont="1" applyFill="1" applyBorder="1" applyAlignment="1">
      <alignment horizontal="center" vertical="center" wrapText="1"/>
    </xf>
    <xf numFmtId="0" fontId="1" fillId="12" borderId="93" xfId="0" applyFont="1" applyFill="1" applyBorder="1" applyAlignment="1">
      <alignment horizontal="center" vertical="center" wrapText="1"/>
    </xf>
    <xf numFmtId="180" fontId="0" fillId="42" borderId="3" xfId="0" applyNumberFormat="1" applyFill="1" applyBorder="1" applyAlignment="1">
      <alignment vertical="center"/>
    </xf>
    <xf numFmtId="0" fontId="19" fillId="33" borderId="138" xfId="0" applyFont="1" applyFill="1" applyBorder="1" applyAlignment="1">
      <alignment horizontal="center" vertical="center"/>
    </xf>
    <xf numFmtId="0" fontId="19" fillId="34" borderId="137" xfId="0" applyFont="1" applyFill="1" applyBorder="1" applyAlignment="1">
      <alignment horizontal="center" vertical="center"/>
    </xf>
    <xf numFmtId="0" fontId="19" fillId="34" borderId="85" xfId="0" applyFont="1" applyFill="1" applyBorder="1" applyAlignment="1">
      <alignment horizontal="center" vertical="center"/>
    </xf>
    <xf numFmtId="0" fontId="19" fillId="34" borderId="138" xfId="0" applyFont="1" applyFill="1" applyBorder="1" applyAlignment="1">
      <alignment horizontal="center" vertical="center"/>
    </xf>
    <xf numFmtId="0" fontId="19" fillId="43" borderId="137" xfId="0" applyFont="1" applyFill="1" applyBorder="1" applyAlignment="1">
      <alignment horizontal="center" vertical="center"/>
    </xf>
    <xf numFmtId="0" fontId="1" fillId="4" borderId="82" xfId="0" applyFont="1" applyFill="1" applyBorder="1" applyAlignment="1">
      <alignment horizontal="center" vertical="center"/>
    </xf>
    <xf numFmtId="180" fontId="1" fillId="6" borderId="59" xfId="0" applyNumberFormat="1" applyFont="1" applyFill="1" applyBorder="1" applyAlignment="1">
      <alignment horizontal="center" vertical="center" wrapText="1"/>
    </xf>
    <xf numFmtId="180" fontId="1" fillId="6" borderId="2" xfId="0" applyNumberFormat="1" applyFont="1" applyFill="1" applyBorder="1" applyAlignment="1">
      <alignment horizontal="center" vertical="center"/>
    </xf>
    <xf numFmtId="0" fontId="1" fillId="6" borderId="25" xfId="0" applyFont="1" applyFill="1" applyBorder="1" applyAlignment="1">
      <alignment horizontal="center" vertical="center"/>
    </xf>
    <xf numFmtId="0" fontId="1" fillId="6" borderId="2" xfId="0" applyFont="1" applyFill="1" applyBorder="1" applyAlignment="1">
      <alignment horizontal="center" vertical="center"/>
    </xf>
    <xf numFmtId="0" fontId="1" fillId="6" borderId="54" xfId="0" applyFont="1" applyFill="1" applyBorder="1" applyAlignment="1">
      <alignment horizontal="center" vertical="center"/>
    </xf>
    <xf numFmtId="180" fontId="1" fillId="43" borderId="69" xfId="0" applyNumberFormat="1" applyFont="1" applyFill="1" applyBorder="1" applyAlignment="1">
      <alignment horizontal="center" vertical="center" wrapText="1"/>
    </xf>
    <xf numFmtId="0" fontId="0" fillId="0" borderId="58" xfId="0" applyBorder="1" applyAlignment="1" applyProtection="1">
      <alignment horizontal="center" vertical="center" wrapText="1"/>
      <protection locked="0"/>
    </xf>
    <xf numFmtId="1" fontId="0" fillId="6" borderId="105" xfId="0" applyNumberFormat="1" applyFill="1" applyBorder="1" applyAlignment="1">
      <alignment horizontal="center" vertical="center" wrapText="1"/>
    </xf>
    <xf numFmtId="49" fontId="0" fillId="43" borderId="148" xfId="0" applyNumberFormat="1" applyFill="1"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6" borderId="1" xfId="0" applyFill="1" applyBorder="1" applyAlignment="1">
      <alignment horizontal="center" vertical="center" wrapText="1"/>
    </xf>
    <xf numFmtId="49" fontId="0" fillId="43" borderId="68" xfId="0" applyNumberFormat="1" applyFill="1" applyBorder="1" applyAlignment="1" applyProtection="1">
      <alignment horizontal="center" vertical="center" wrapText="1"/>
      <protection locked="0"/>
    </xf>
    <xf numFmtId="0" fontId="0" fillId="0" borderId="130" xfId="0" applyBorder="1" applyAlignment="1" applyProtection="1">
      <alignment horizontal="center" vertical="center" wrapText="1"/>
      <protection locked="0"/>
    </xf>
    <xf numFmtId="0" fontId="0" fillId="6" borderId="99" xfId="0" applyFill="1" applyBorder="1" applyAlignment="1">
      <alignment horizontal="center" vertical="center" wrapText="1"/>
    </xf>
    <xf numFmtId="49" fontId="0" fillId="43" borderId="142" xfId="0" applyNumberFormat="1" applyFill="1" applyBorder="1" applyAlignment="1" applyProtection="1">
      <alignment horizontal="center" vertical="center" wrapText="1"/>
      <protection locked="0"/>
    </xf>
    <xf numFmtId="49" fontId="0" fillId="43" borderId="71" xfId="0" applyNumberFormat="1" applyFill="1" applyBorder="1" applyAlignment="1" applyProtection="1">
      <alignment horizontal="center" vertical="center" wrapText="1"/>
      <protection locked="0"/>
    </xf>
    <xf numFmtId="0" fontId="0" fillId="6" borderId="9" xfId="0" applyFill="1" applyBorder="1" applyAlignment="1">
      <alignment horizontal="center" vertical="center" wrapText="1"/>
    </xf>
    <xf numFmtId="0" fontId="0" fillId="6" borderId="105" xfId="0" applyFill="1" applyBorder="1" applyAlignment="1">
      <alignment horizontal="center" vertical="center" wrapText="1"/>
    </xf>
    <xf numFmtId="0" fontId="0" fillId="6" borderId="113" xfId="0" applyFill="1" applyBorder="1" applyAlignment="1">
      <alignment horizontal="center" vertical="center" wrapText="1"/>
    </xf>
    <xf numFmtId="0" fontId="19" fillId="43" borderId="85" xfId="0" applyFont="1" applyFill="1" applyBorder="1" applyAlignment="1">
      <alignment horizontal="center" vertical="center"/>
    </xf>
    <xf numFmtId="0" fontId="19" fillId="43" borderId="138" xfId="0" applyFont="1" applyFill="1" applyBorder="1" applyAlignment="1">
      <alignment horizontal="center" vertical="center"/>
    </xf>
    <xf numFmtId="0" fontId="19" fillId="36" borderId="137" xfId="0" applyFont="1" applyFill="1" applyBorder="1" applyAlignment="1">
      <alignment horizontal="center" vertical="center"/>
    </xf>
    <xf numFmtId="0" fontId="19" fillId="36" borderId="85" xfId="0" applyFont="1" applyFill="1" applyBorder="1" applyAlignment="1">
      <alignment horizontal="center" vertical="center"/>
    </xf>
    <xf numFmtId="180" fontId="1" fillId="43" borderId="2" xfId="0" applyNumberFormat="1" applyFont="1" applyFill="1" applyBorder="1" applyAlignment="1">
      <alignment horizontal="center" vertical="center"/>
    </xf>
    <xf numFmtId="0" fontId="1" fillId="43" borderId="25" xfId="0" applyFont="1" applyFill="1" applyBorder="1" applyAlignment="1">
      <alignment horizontal="center" vertical="center"/>
    </xf>
    <xf numFmtId="0" fontId="1" fillId="43" borderId="2" xfId="0" applyFont="1" applyFill="1" applyBorder="1" applyAlignment="1">
      <alignment horizontal="center" vertical="center"/>
    </xf>
    <xf numFmtId="0" fontId="1" fillId="43" borderId="54" xfId="0" applyFont="1" applyFill="1" applyBorder="1" applyAlignment="1">
      <alignment horizontal="center" vertical="center"/>
    </xf>
    <xf numFmtId="180" fontId="1" fillId="8" borderId="69" xfId="0" applyNumberFormat="1" applyFont="1" applyFill="1" applyBorder="1" applyAlignment="1">
      <alignment horizontal="center" vertical="center" wrapText="1"/>
    </xf>
    <xf numFmtId="180" fontId="1" fillId="8" borderId="2" xfId="0" applyNumberFormat="1" applyFont="1" applyFill="1" applyBorder="1" applyAlignment="1">
      <alignment horizontal="center" vertical="center" wrapText="1"/>
    </xf>
    <xf numFmtId="0" fontId="1" fillId="8" borderId="25" xfId="0" applyFont="1" applyFill="1" applyBorder="1" applyAlignment="1">
      <alignment horizontal="center" vertical="center"/>
    </xf>
    <xf numFmtId="0" fontId="1" fillId="8" borderId="2" xfId="0" applyFont="1" applyFill="1" applyBorder="1" applyAlignment="1">
      <alignment horizontal="center" vertical="center"/>
    </xf>
    <xf numFmtId="49" fontId="0" fillId="43" borderId="105" xfId="0" applyNumberFormat="1" applyFill="1" applyBorder="1" applyAlignment="1" applyProtection="1">
      <alignment horizontal="center" vertical="center" wrapText="1"/>
      <protection locked="0"/>
    </xf>
    <xf numFmtId="0" fontId="0" fillId="43" borderId="105" xfId="0" applyFill="1" applyBorder="1" applyAlignment="1" applyProtection="1">
      <alignment horizontal="center" vertical="center" wrapText="1"/>
      <protection locked="0"/>
    </xf>
    <xf numFmtId="1" fontId="0" fillId="43" borderId="105" xfId="0" applyNumberFormat="1" applyFill="1" applyBorder="1" applyAlignment="1" applyProtection="1">
      <alignment horizontal="center" vertical="center" wrapText="1"/>
      <protection locked="0"/>
    </xf>
    <xf numFmtId="0" fontId="0" fillId="43" borderId="140" xfId="0" applyFill="1" applyBorder="1" applyAlignment="1" applyProtection="1">
      <alignment horizontal="center" vertical="center" wrapText="1"/>
      <protection locked="0"/>
    </xf>
    <xf numFmtId="1" fontId="0" fillId="8" borderId="105" xfId="0" applyNumberFormat="1" applyFill="1" applyBorder="1" applyAlignment="1">
      <alignment horizontal="center" vertical="center" wrapText="1"/>
    </xf>
    <xf numFmtId="49" fontId="0" fillId="43" borderId="1" xfId="0" applyNumberFormat="1" applyFill="1" applyBorder="1" applyAlignment="1" applyProtection="1">
      <alignment horizontal="center" vertical="center" wrapText="1"/>
      <protection locked="0"/>
    </xf>
    <xf numFmtId="0" fontId="0" fillId="43" borderId="1" xfId="0" applyFill="1" applyBorder="1" applyAlignment="1" applyProtection="1">
      <alignment horizontal="center" vertical="center" wrapText="1"/>
      <protection locked="0"/>
    </xf>
    <xf numFmtId="0" fontId="0" fillId="43" borderId="141" xfId="0" applyFill="1" applyBorder="1" applyAlignment="1" applyProtection="1">
      <alignment horizontal="center" vertical="center" wrapText="1"/>
      <protection locked="0"/>
    </xf>
    <xf numFmtId="0" fontId="0" fillId="8" borderId="1" xfId="0" applyFill="1" applyBorder="1" applyAlignment="1">
      <alignment horizontal="center" vertical="center" wrapText="1"/>
    </xf>
    <xf numFmtId="49" fontId="0" fillId="43" borderId="99" xfId="0" applyNumberFormat="1" applyFill="1" applyBorder="1" applyAlignment="1" applyProtection="1">
      <alignment horizontal="center" vertical="center" wrapText="1"/>
      <protection locked="0"/>
    </xf>
    <xf numFmtId="0" fontId="0" fillId="43" borderId="99" xfId="0" applyFill="1" applyBorder="1" applyAlignment="1" applyProtection="1">
      <alignment horizontal="center" vertical="center" wrapText="1"/>
      <protection locked="0"/>
    </xf>
    <xf numFmtId="0" fontId="0" fillId="43" borderId="143" xfId="0" applyFill="1" applyBorder="1" applyAlignment="1" applyProtection="1">
      <alignment horizontal="center" vertical="center" wrapText="1"/>
      <protection locked="0"/>
    </xf>
    <xf numFmtId="49" fontId="0" fillId="0" borderId="130" xfId="0" applyNumberFormat="1" applyBorder="1" applyAlignment="1" applyProtection="1">
      <alignment horizontal="center" vertical="center" wrapText="1"/>
      <protection locked="0"/>
    </xf>
    <xf numFmtId="0" fontId="0" fillId="8" borderId="99" xfId="0" applyFill="1" applyBorder="1" applyAlignment="1">
      <alignment horizontal="center" vertical="center" wrapText="1"/>
    </xf>
    <xf numFmtId="49" fontId="0" fillId="43" borderId="9" xfId="0" applyNumberFormat="1" applyFill="1" applyBorder="1" applyAlignment="1" applyProtection="1">
      <alignment horizontal="center" vertical="center" wrapText="1"/>
      <protection locked="0"/>
    </xf>
    <xf numFmtId="0" fontId="0" fillId="43" borderId="9" xfId="0" applyFill="1" applyBorder="1" applyAlignment="1" applyProtection="1">
      <alignment horizontal="center" vertical="center" wrapText="1"/>
      <protection locked="0"/>
    </xf>
    <xf numFmtId="0" fontId="0" fillId="43" borderId="81" xfId="0" applyFill="1" applyBorder="1" applyAlignment="1" applyProtection="1">
      <alignment horizontal="center" vertical="center" wrapText="1"/>
      <protection locked="0"/>
    </xf>
    <xf numFmtId="0" fontId="0" fillId="8" borderId="9" xfId="0" applyFill="1" applyBorder="1" applyAlignment="1">
      <alignment horizontal="center" vertical="center" wrapText="1"/>
    </xf>
    <xf numFmtId="0" fontId="0" fillId="8" borderId="105" xfId="0" applyFill="1" applyBorder="1" applyAlignment="1">
      <alignment horizontal="center" vertical="center" wrapText="1"/>
    </xf>
    <xf numFmtId="180" fontId="0" fillId="0" borderId="105" xfId="0" applyNumberFormat="1" applyBorder="1" applyAlignment="1" applyProtection="1">
      <alignment horizontal="center" vertical="center" wrapText="1"/>
      <protection locked="0"/>
    </xf>
    <xf numFmtId="0" fontId="0" fillId="8" borderId="113" xfId="0" applyFill="1" applyBorder="1" applyAlignment="1">
      <alignment horizontal="center" vertical="center" wrapText="1"/>
    </xf>
    <xf numFmtId="0" fontId="19" fillId="37" borderId="137" xfId="0" applyFont="1" applyFill="1" applyBorder="1" applyAlignment="1">
      <alignment horizontal="center" vertical="center"/>
    </xf>
    <xf numFmtId="0" fontId="19" fillId="37" borderId="85" xfId="0" applyFont="1" applyFill="1" applyBorder="1" applyAlignment="1">
      <alignment horizontal="center" vertical="center"/>
    </xf>
    <xf numFmtId="0" fontId="1" fillId="8" borderId="82" xfId="0" applyFont="1" applyFill="1" applyBorder="1" applyAlignment="1">
      <alignment horizontal="center" vertical="center"/>
    </xf>
    <xf numFmtId="180" fontId="1" fillId="9" borderId="69" xfId="0" applyNumberFormat="1" applyFont="1" applyFill="1" applyBorder="1" applyAlignment="1">
      <alignment horizontal="center" vertical="center" wrapText="1"/>
    </xf>
    <xf numFmtId="180" fontId="1" fillId="9" borderId="2" xfId="0" applyNumberFormat="1" applyFont="1" applyFill="1" applyBorder="1" applyAlignment="1">
      <alignment horizontal="center" vertical="center" wrapText="1"/>
    </xf>
    <xf numFmtId="0" fontId="1" fillId="9" borderId="25" xfId="0" applyFont="1" applyFill="1" applyBorder="1" applyAlignment="1">
      <alignment horizontal="center" vertical="center"/>
    </xf>
    <xf numFmtId="0" fontId="1" fillId="9" borderId="2" xfId="0" applyFont="1" applyFill="1" applyBorder="1" applyAlignment="1">
      <alignment horizontal="center" vertical="center"/>
    </xf>
    <xf numFmtId="0" fontId="1" fillId="9" borderId="82" xfId="0" applyFont="1" applyFill="1" applyBorder="1" applyAlignment="1">
      <alignment horizontal="center" vertical="center"/>
    </xf>
    <xf numFmtId="0" fontId="1" fillId="39" borderId="152" xfId="0" applyFont="1" applyFill="1" applyBorder="1" applyAlignment="1">
      <alignment horizontal="center" vertical="center"/>
    </xf>
    <xf numFmtId="0" fontId="1" fillId="33" borderId="153" xfId="0" applyFont="1" applyFill="1" applyBorder="1" applyAlignment="1">
      <alignment horizontal="center" vertical="center" wrapText="1"/>
    </xf>
    <xf numFmtId="0" fontId="0" fillId="38" borderId="105" xfId="0" applyFill="1" applyBorder="1" applyAlignment="1">
      <alignment horizontal="center" vertical="center" wrapText="1"/>
    </xf>
    <xf numFmtId="180" fontId="0" fillId="0" borderId="154" xfId="0" applyNumberFormat="1" applyBorder="1" applyAlignment="1" applyProtection="1">
      <alignment horizontal="center" vertical="center" wrapText="1"/>
      <protection locked="0"/>
    </xf>
    <xf numFmtId="180" fontId="0" fillId="0" borderId="155" xfId="0" applyNumberFormat="1" applyBorder="1" applyAlignment="1" applyProtection="1">
      <alignment horizontal="center" vertical="center" wrapText="1"/>
      <protection locked="0"/>
    </xf>
    <xf numFmtId="0" fontId="0" fillId="38" borderId="1" xfId="0" applyFill="1" applyBorder="1" applyAlignment="1">
      <alignment horizontal="center" vertical="center" wrapText="1"/>
    </xf>
    <xf numFmtId="180" fontId="0" fillId="0" borderId="156" xfId="0" applyNumberFormat="1" applyBorder="1" applyAlignment="1" applyProtection="1">
      <alignment horizontal="center" vertical="center" wrapText="1"/>
      <protection locked="0"/>
    </xf>
    <xf numFmtId="180" fontId="0" fillId="0" borderId="157" xfId="0" applyNumberFormat="1" applyBorder="1" applyAlignment="1" applyProtection="1">
      <alignment horizontal="center" vertical="center" wrapText="1"/>
      <protection locked="0"/>
    </xf>
    <xf numFmtId="0" fontId="0" fillId="38" borderId="99" xfId="0" applyFill="1" applyBorder="1" applyAlignment="1">
      <alignment horizontal="center" vertical="center" wrapText="1"/>
    </xf>
    <xf numFmtId="180" fontId="0" fillId="0" borderId="158" xfId="0" applyNumberFormat="1" applyBorder="1" applyAlignment="1" applyProtection="1">
      <alignment horizontal="center" vertical="center" wrapText="1"/>
      <protection locked="0"/>
    </xf>
    <xf numFmtId="180" fontId="0" fillId="0" borderId="152" xfId="0" applyNumberFormat="1" applyBorder="1" applyAlignment="1" applyProtection="1">
      <alignment horizontal="center" vertical="center" wrapText="1"/>
      <protection locked="0"/>
    </xf>
    <xf numFmtId="180" fontId="0" fillId="0" borderId="159" xfId="0" applyNumberFormat="1" applyBorder="1" applyAlignment="1" applyProtection="1">
      <alignment horizontal="center" vertical="center" wrapText="1"/>
      <protection locked="0"/>
    </xf>
    <xf numFmtId="180" fontId="0" fillId="0" borderId="160" xfId="0" applyNumberFormat="1" applyBorder="1" applyAlignment="1" applyProtection="1">
      <alignment horizontal="center" vertical="center" wrapText="1"/>
      <protection locked="0"/>
    </xf>
    <xf numFmtId="180" fontId="0" fillId="0" borderId="161" xfId="0" applyNumberFormat="1" applyBorder="1" applyAlignment="1" applyProtection="1">
      <alignment horizontal="center" vertical="center" wrapText="1"/>
      <protection locked="0"/>
    </xf>
    <xf numFmtId="180" fontId="0" fillId="0" borderId="138" xfId="0" applyNumberFormat="1" applyBorder="1" applyAlignment="1" applyProtection="1">
      <alignment horizontal="center" vertical="center" wrapText="1"/>
      <protection locked="0"/>
    </xf>
    <xf numFmtId="180" fontId="22" fillId="0" borderId="73" xfId="0" applyNumberFormat="1" applyFont="1" applyBorder="1" applyAlignment="1" applyProtection="1">
      <alignment horizontal="center" vertical="center"/>
      <protection locked="0"/>
    </xf>
    <xf numFmtId="0" fontId="0" fillId="38" borderId="9" xfId="0" applyFill="1" applyBorder="1" applyAlignment="1">
      <alignment horizontal="center" vertical="center" wrapText="1"/>
    </xf>
    <xf numFmtId="0" fontId="0" fillId="38" borderId="113" xfId="0" applyFill="1" applyBorder="1" applyAlignment="1">
      <alignment horizontal="center" vertical="center" wrapText="1"/>
    </xf>
    <xf numFmtId="0" fontId="1" fillId="33" borderId="158" xfId="0" applyFont="1" applyFill="1" applyBorder="1" applyAlignment="1">
      <alignment horizontal="center" vertical="center" wrapText="1"/>
    </xf>
    <xf numFmtId="0" fontId="21" fillId="40" borderId="158" xfId="0" applyFont="1" applyFill="1" applyBorder="1" applyAlignment="1">
      <alignment horizontal="center" vertical="center" wrapText="1"/>
    </xf>
    <xf numFmtId="180" fontId="1" fillId="41" borderId="152" xfId="0" applyNumberFormat="1" applyFont="1" applyFill="1" applyBorder="1" applyAlignment="1">
      <alignment horizontal="center" vertical="center"/>
    </xf>
    <xf numFmtId="0" fontId="1" fillId="41" borderId="152" xfId="0" applyFont="1" applyFill="1" applyBorder="1" applyAlignment="1">
      <alignment horizontal="center" vertical="center"/>
    </xf>
    <xf numFmtId="180" fontId="0" fillId="0" borderId="155" xfId="0" applyNumberFormat="1" applyBorder="1" applyAlignment="1" applyProtection="1">
      <alignment vertical="center" wrapText="1"/>
      <protection locked="0"/>
    </xf>
    <xf numFmtId="0" fontId="0" fillId="41" borderId="155" xfId="0" applyFill="1" applyBorder="1" applyAlignment="1">
      <alignment horizontal="center" vertical="center" wrapText="1"/>
    </xf>
    <xf numFmtId="180" fontId="0" fillId="0" borderId="157" xfId="0" applyNumberFormat="1" applyBorder="1" applyAlignment="1" applyProtection="1">
      <alignment vertical="center" wrapText="1"/>
      <protection locked="0"/>
    </xf>
    <xf numFmtId="0" fontId="0" fillId="41" borderId="157" xfId="0" applyFill="1" applyBorder="1" applyAlignment="1">
      <alignment horizontal="center" vertical="center" wrapText="1"/>
    </xf>
    <xf numFmtId="180" fontId="0" fillId="0" borderId="152" xfId="0" applyNumberFormat="1" applyBorder="1" applyAlignment="1" applyProtection="1">
      <alignment vertical="center" wrapText="1"/>
      <protection locked="0"/>
    </xf>
    <xf numFmtId="0" fontId="0" fillId="41" borderId="160" xfId="0" applyFill="1" applyBorder="1" applyAlignment="1">
      <alignment horizontal="center" vertical="center" wrapText="1"/>
    </xf>
    <xf numFmtId="180" fontId="0" fillId="0" borderId="160" xfId="0" applyNumberFormat="1" applyBorder="1" applyAlignment="1" applyProtection="1">
      <alignment vertical="center" wrapText="1"/>
      <protection locked="0"/>
    </xf>
    <xf numFmtId="180" fontId="0" fillId="0" borderId="161" xfId="0" applyNumberFormat="1" applyBorder="1" applyAlignment="1" applyProtection="1">
      <alignment vertical="center" wrapText="1"/>
      <protection locked="0"/>
    </xf>
    <xf numFmtId="0" fontId="0" fillId="41" borderId="161" xfId="0" applyFill="1" applyBorder="1" applyAlignment="1">
      <alignment horizontal="center" vertical="center" wrapText="1"/>
    </xf>
    <xf numFmtId="0" fontId="0" fillId="41" borderId="152" xfId="0" applyFill="1" applyBorder="1" applyAlignment="1">
      <alignment horizontal="center" vertical="center" wrapText="1"/>
    </xf>
    <xf numFmtId="0" fontId="0" fillId="41" borderId="162" xfId="0" applyFill="1" applyBorder="1" applyAlignment="1">
      <alignment horizontal="center" vertical="center" wrapText="1"/>
    </xf>
    <xf numFmtId="0" fontId="1" fillId="41" borderId="152" xfId="0" applyFont="1" applyFill="1" applyBorder="1" applyAlignment="1">
      <alignment horizontal="center" vertical="center" wrapText="1"/>
    </xf>
    <xf numFmtId="0" fontId="0" fillId="0" borderId="3" xfId="0" applyBorder="1" applyAlignment="1">
      <alignment vertical="center"/>
    </xf>
    <xf numFmtId="0" fontId="0" fillId="0" borderId="5" xfId="0" applyBorder="1" applyAlignment="1">
      <alignment vertical="center"/>
    </xf>
    <xf numFmtId="0" fontId="0" fillId="0" borderId="24" xfId="0" applyBorder="1" applyAlignment="1">
      <alignment vertical="center"/>
    </xf>
    <xf numFmtId="0" fontId="0" fillId="0" borderId="30" xfId="0" applyBorder="1" applyAlignment="1">
      <alignment vertical="center"/>
    </xf>
    <xf numFmtId="1" fontId="0" fillId="0" borderId="0" xfId="0" applyNumberFormat="1" applyAlignment="1">
      <alignment horizontal="center" vertical="center"/>
    </xf>
    <xf numFmtId="0" fontId="1" fillId="12" borderId="10" xfId="0" applyFont="1" applyFill="1" applyBorder="1" applyAlignment="1">
      <alignment horizontal="center" vertical="center"/>
    </xf>
    <xf numFmtId="0" fontId="1" fillId="12" borderId="11" xfId="0" applyFont="1" applyFill="1" applyBorder="1" applyAlignment="1">
      <alignment horizontal="center" vertical="center"/>
    </xf>
    <xf numFmtId="0" fontId="1" fillId="12" borderId="12" xfId="0" applyFont="1" applyFill="1" applyBorder="1" applyAlignment="1">
      <alignment horizontal="center" vertical="center"/>
    </xf>
    <xf numFmtId="0" fontId="1" fillId="0" borderId="14" xfId="0" applyFont="1" applyBorder="1" applyAlignment="1">
      <alignment horizontal="left" vertical="center"/>
    </xf>
    <xf numFmtId="0" fontId="1" fillId="0" borderId="16" xfId="0" applyFont="1" applyBorder="1" applyAlignment="1">
      <alignment horizontal="center" vertical="center"/>
    </xf>
    <xf numFmtId="0" fontId="1" fillId="0" borderId="27" xfId="0" applyFont="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12" borderId="5" xfId="0" applyFill="1" applyBorder="1" applyAlignment="1">
      <alignment horizontal="center" vertical="center"/>
    </xf>
    <xf numFmtId="0" fontId="0" fillId="11" borderId="85" xfId="0" applyFill="1" applyBorder="1" applyAlignment="1">
      <alignment horizontal="center" vertical="center"/>
    </xf>
    <xf numFmtId="0" fontId="0" fillId="11" borderId="9" xfId="0" applyFill="1" applyBorder="1" applyAlignment="1">
      <alignment horizontal="center" vertical="center"/>
    </xf>
    <xf numFmtId="0" fontId="0" fillId="11" borderId="9" xfId="0" applyFill="1" applyBorder="1" applyAlignment="1">
      <alignment vertical="center"/>
    </xf>
    <xf numFmtId="180" fontId="0" fillId="11" borderId="9" xfId="0" applyNumberFormat="1" applyFill="1" applyBorder="1" applyAlignment="1">
      <alignment vertical="center"/>
    </xf>
    <xf numFmtId="0" fontId="0" fillId="11" borderId="9" xfId="0" applyFill="1" applyBorder="1" applyAlignment="1">
      <alignment vertical="center" wrapText="1"/>
    </xf>
    <xf numFmtId="0" fontId="0" fillId="11" borderId="1" xfId="0" applyFill="1" applyBorder="1" applyAlignment="1">
      <alignment vertical="center"/>
    </xf>
    <xf numFmtId="0" fontId="0" fillId="11" borderId="1" xfId="0" applyFill="1" applyBorder="1" applyAlignment="1">
      <alignment vertical="center" wrapText="1"/>
    </xf>
    <xf numFmtId="0" fontId="23" fillId="5" borderId="1" xfId="0" applyFont="1" applyFill="1" applyBorder="1" applyAlignment="1">
      <alignment horizontal="right" vertical="center"/>
    </xf>
    <xf numFmtId="0" fontId="24" fillId="0" borderId="1" xfId="0" applyFont="1" applyBorder="1" applyAlignment="1">
      <alignment horizontal="right" vertical="center"/>
    </xf>
    <xf numFmtId="1" fontId="24" fillId="0" borderId="1" xfId="0" applyNumberFormat="1" applyFont="1" applyBorder="1" applyAlignment="1">
      <alignment vertical="center"/>
    </xf>
    <xf numFmtId="4" fontId="24" fillId="0" borderId="1" xfId="0" applyNumberFormat="1" applyFont="1" applyBorder="1" applyAlignment="1">
      <alignment vertical="center"/>
    </xf>
    <xf numFmtId="0" fontId="24" fillId="0" borderId="1" xfId="0" applyFont="1" applyBorder="1" applyAlignment="1">
      <alignment vertical="center"/>
    </xf>
    <xf numFmtId="2" fontId="24" fillId="0" borderId="1" xfId="0" applyNumberFormat="1" applyFont="1" applyBorder="1" applyAlignment="1">
      <alignment vertical="center"/>
    </xf>
    <xf numFmtId="0" fontId="5" fillId="5" borderId="1" xfId="0" applyFont="1" applyFill="1" applyBorder="1" applyAlignment="1">
      <alignment horizontal="right" vertical="center"/>
    </xf>
    <xf numFmtId="1" fontId="0" fillId="0" borderId="1" xfId="0" applyNumberFormat="1" applyBorder="1" applyAlignment="1">
      <alignment vertical="center"/>
    </xf>
    <xf numFmtId="4" fontId="0" fillId="0" borderId="1" xfId="0" applyNumberFormat="1" applyBorder="1" applyAlignment="1">
      <alignment vertical="center"/>
    </xf>
    <xf numFmtId="2" fontId="0" fillId="0" borderId="1" xfId="0" applyNumberFormat="1" applyBorder="1" applyAlignment="1">
      <alignment vertical="center"/>
    </xf>
    <xf numFmtId="1" fontId="0" fillId="0" borderId="0" xfId="0" applyNumberFormat="1" applyAlignment="1">
      <alignment vertical="center"/>
    </xf>
    <xf numFmtId="4" fontId="0" fillId="0" borderId="6" xfId="0" applyNumberFormat="1" applyBorder="1" applyAlignment="1">
      <alignment vertical="center"/>
    </xf>
    <xf numFmtId="180" fontId="0" fillId="11" borderId="9" xfId="0" applyNumberFormat="1" applyFill="1" applyBorder="1" applyAlignment="1">
      <alignment horizontal="center" vertical="center"/>
    </xf>
    <xf numFmtId="0" fontId="0" fillId="11" borderId="9" xfId="0" applyFill="1" applyBorder="1" applyAlignment="1">
      <alignment horizontal="center" vertical="center" wrapText="1"/>
    </xf>
    <xf numFmtId="1" fontId="0" fillId="0" borderId="87" xfId="0" applyNumberFormat="1" applyBorder="1" applyAlignment="1">
      <alignment horizontal="center" vertical="center"/>
    </xf>
    <xf numFmtId="3" fontId="0" fillId="0" borderId="38" xfId="0" applyNumberFormat="1" applyBorder="1" applyAlignment="1">
      <alignment horizontal="center" vertical="center"/>
    </xf>
    <xf numFmtId="1" fontId="0" fillId="0" borderId="1" xfId="0" applyNumberFormat="1" applyBorder="1" applyAlignment="1">
      <alignment horizontal="right" vertical="center"/>
    </xf>
    <xf numFmtId="0" fontId="24" fillId="0" borderId="0" xfId="0" applyFont="1" applyAlignment="1">
      <alignment horizontal="center" vertical="center"/>
    </xf>
    <xf numFmtId="0" fontId="25" fillId="26" borderId="47" xfId="0" applyFont="1" applyFill="1" applyBorder="1" applyAlignment="1">
      <alignment horizontal="center" vertical="center"/>
    </xf>
    <xf numFmtId="0" fontId="25" fillId="26" borderId="67" xfId="0" applyFont="1" applyFill="1" applyBorder="1" applyAlignment="1">
      <alignment horizontal="center" vertical="center"/>
    </xf>
    <xf numFmtId="0" fontId="25" fillId="26" borderId="67" xfId="0" applyFont="1" applyFill="1" applyBorder="1" applyAlignment="1">
      <alignment horizontal="center" vertical="center" wrapText="1"/>
    </xf>
    <xf numFmtId="0" fontId="0" fillId="26" borderId="67" xfId="0" applyFill="1" applyBorder="1" applyAlignment="1">
      <alignment horizontal="center" vertical="center"/>
    </xf>
    <xf numFmtId="180" fontId="0" fillId="5" borderId="7" xfId="0" applyNumberFormat="1" applyFill="1" applyBorder="1" applyAlignment="1">
      <alignment horizontal="center" vertical="center"/>
    </xf>
    <xf numFmtId="180" fontId="0" fillId="5" borderId="0" xfId="0" applyNumberFormat="1" applyFill="1" applyAlignment="1">
      <alignment horizontal="center" vertical="center"/>
    </xf>
    <xf numFmtId="0" fontId="26" fillId="26" borderId="163" xfId="0" applyFont="1" applyFill="1" applyBorder="1" applyAlignment="1">
      <alignment horizontal="center" vertical="center"/>
    </xf>
    <xf numFmtId="0" fontId="26" fillId="26" borderId="0" xfId="0" applyFont="1" applyFill="1" applyAlignment="1">
      <alignment horizontal="center" vertical="center"/>
    </xf>
    <xf numFmtId="0" fontId="26" fillId="26" borderId="164" xfId="0" applyFont="1" applyFill="1" applyBorder="1" applyAlignment="1">
      <alignment horizontal="center" vertical="center"/>
    </xf>
    <xf numFmtId="0" fontId="27" fillId="31" borderId="165" xfId="0" applyFont="1" applyFill="1" applyBorder="1" applyAlignment="1">
      <alignment horizontal="center" vertical="center"/>
    </xf>
    <xf numFmtId="0" fontId="1" fillId="0" borderId="166" xfId="0" applyFont="1" applyBorder="1" applyAlignment="1">
      <alignment horizontal="center" vertical="center"/>
    </xf>
    <xf numFmtId="0" fontId="28" fillId="31" borderId="167" xfId="0" applyFont="1" applyFill="1" applyBorder="1" applyAlignment="1">
      <alignment horizontal="center" vertical="center"/>
    </xf>
    <xf numFmtId="0" fontId="28" fillId="31" borderId="86" xfId="0" applyFont="1" applyFill="1" applyBorder="1" applyAlignment="1">
      <alignment horizontal="center" vertical="center" wrapText="1"/>
    </xf>
    <xf numFmtId="0" fontId="28" fillId="31" borderId="167" xfId="0" applyFont="1" applyFill="1" applyBorder="1" applyAlignment="1">
      <alignment horizontal="center" vertical="center" wrapText="1"/>
    </xf>
    <xf numFmtId="0" fontId="23" fillId="31" borderId="17" xfId="0" applyFont="1" applyFill="1" applyBorder="1" applyAlignment="1">
      <alignment horizontal="left" vertical="center"/>
    </xf>
    <xf numFmtId="0" fontId="29" fillId="5" borderId="37" xfId="0" applyFont="1" applyFill="1" applyBorder="1" applyAlignment="1">
      <alignment horizontal="center" vertical="center"/>
    </xf>
    <xf numFmtId="0" fontId="30" fillId="0" borderId="14" xfId="0" applyFont="1" applyBorder="1" applyAlignment="1">
      <alignment horizontal="center" vertical="center"/>
    </xf>
    <xf numFmtId="180" fontId="29" fillId="0" borderId="16" xfId="0" applyNumberFormat="1" applyFont="1" applyBorder="1" applyAlignment="1" applyProtection="1">
      <alignment horizontal="center" vertical="center"/>
      <protection locked="0"/>
    </xf>
    <xf numFmtId="180" fontId="31" fillId="0" borderId="16" xfId="0" applyNumberFormat="1" applyFont="1" applyBorder="1" applyAlignment="1" applyProtection="1">
      <alignment horizontal="center" vertical="center"/>
      <protection locked="0"/>
    </xf>
    <xf numFmtId="180" fontId="29" fillId="3" borderId="15" xfId="0" applyNumberFormat="1" applyFont="1" applyFill="1" applyBorder="1" applyAlignment="1">
      <alignment horizontal="center" vertical="center"/>
    </xf>
    <xf numFmtId="0" fontId="23" fillId="31" borderId="43" xfId="0" applyFont="1" applyFill="1" applyBorder="1" applyAlignment="1">
      <alignment horizontal="left" vertical="center"/>
    </xf>
    <xf numFmtId="0" fontId="29" fillId="5" borderId="20" xfId="0" applyFont="1" applyFill="1" applyBorder="1" applyAlignment="1">
      <alignment horizontal="center" vertical="center"/>
    </xf>
    <xf numFmtId="0" fontId="30" fillId="0" borderId="18" xfId="0" applyFont="1" applyBorder="1" applyAlignment="1">
      <alignment horizontal="center" vertical="center"/>
    </xf>
    <xf numFmtId="180" fontId="29" fillId="0" borderId="1" xfId="0" applyNumberFormat="1" applyFont="1" applyBorder="1" applyAlignment="1" applyProtection="1">
      <alignment horizontal="center" vertical="center"/>
      <protection locked="0"/>
    </xf>
    <xf numFmtId="180" fontId="31" fillId="0" borderId="1" xfId="0" applyNumberFormat="1" applyFont="1" applyBorder="1" applyAlignment="1" applyProtection="1">
      <alignment horizontal="center" vertical="center"/>
      <protection locked="0"/>
    </xf>
    <xf numFmtId="180" fontId="29" fillId="3" borderId="3" xfId="0" applyNumberFormat="1" applyFont="1" applyFill="1" applyBorder="1" applyAlignment="1">
      <alignment horizontal="center" vertical="center"/>
    </xf>
    <xf numFmtId="0" fontId="5" fillId="31" borderId="19" xfId="0" applyFont="1" applyFill="1" applyBorder="1" applyAlignment="1">
      <alignment horizontal="left" vertical="center"/>
    </xf>
    <xf numFmtId="0" fontId="22" fillId="5" borderId="20" xfId="0" applyFont="1" applyFill="1" applyBorder="1" applyAlignment="1">
      <alignment horizontal="center" vertical="center"/>
    </xf>
    <xf numFmtId="0" fontId="32" fillId="0" borderId="18" xfId="0" applyFont="1" applyBorder="1" applyAlignment="1">
      <alignment horizontal="center" vertical="center"/>
    </xf>
    <xf numFmtId="180" fontId="22" fillId="0" borderId="1" xfId="0" applyNumberFormat="1" applyFont="1" applyBorder="1" applyAlignment="1" applyProtection="1">
      <alignment horizontal="center" vertical="center"/>
      <protection locked="0"/>
    </xf>
    <xf numFmtId="180" fontId="4" fillId="0" borderId="1" xfId="0" applyNumberFormat="1" applyFont="1" applyBorder="1" applyAlignment="1" applyProtection="1">
      <alignment horizontal="center" vertical="center"/>
      <protection locked="0"/>
    </xf>
    <xf numFmtId="180" fontId="22" fillId="3" borderId="3" xfId="0" applyNumberFormat="1" applyFont="1" applyFill="1" applyBorder="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23" fillId="31" borderId="19" xfId="0" applyFont="1" applyFill="1" applyBorder="1" applyAlignment="1">
      <alignment horizontal="left" vertical="center"/>
    </xf>
    <xf numFmtId="0" fontId="35" fillId="0" borderId="0" xfId="0" applyFont="1" applyAlignment="1">
      <alignment horizontal="center" vertical="center"/>
    </xf>
    <xf numFmtId="0" fontId="5" fillId="31" borderId="26" xfId="0" applyFont="1" applyFill="1" applyBorder="1" applyAlignment="1">
      <alignment horizontal="left" vertical="center"/>
    </xf>
    <xf numFmtId="0" fontId="5" fillId="31" borderId="45" xfId="0" applyFont="1" applyFill="1" applyBorder="1" applyAlignment="1">
      <alignment horizontal="left" vertical="center"/>
    </xf>
    <xf numFmtId="0" fontId="22" fillId="5" borderId="44" xfId="0" applyFont="1" applyFill="1" applyBorder="1" applyAlignment="1">
      <alignment horizontal="center" vertical="center"/>
    </xf>
    <xf numFmtId="0" fontId="32" fillId="0" borderId="30" xfId="0" applyFont="1" applyBorder="1" applyAlignment="1">
      <alignment horizontal="center" vertical="center"/>
    </xf>
    <xf numFmtId="180" fontId="22" fillId="0" borderId="31" xfId="0" applyNumberFormat="1" applyFont="1" applyBorder="1" applyAlignment="1" applyProtection="1">
      <alignment horizontal="center" vertical="center"/>
      <protection locked="0"/>
    </xf>
    <xf numFmtId="180" fontId="4" fillId="0" borderId="31" xfId="0" applyNumberFormat="1" applyFont="1" applyBorder="1" applyAlignment="1" applyProtection="1">
      <alignment horizontal="center" vertical="center"/>
      <protection locked="0"/>
    </xf>
    <xf numFmtId="180" fontId="22" fillId="3" borderId="53" xfId="0" applyNumberFormat="1" applyFont="1" applyFill="1" applyBorder="1" applyAlignment="1">
      <alignment horizontal="center" vertical="center"/>
    </xf>
    <xf numFmtId="0" fontId="2" fillId="0" borderId="0" xfId="0" applyFont="1" applyAlignment="1">
      <alignment horizontal="center" vertical="center"/>
    </xf>
    <xf numFmtId="0" fontId="0" fillId="44" borderId="4" xfId="0" applyFill="1" applyBorder="1" applyAlignment="1">
      <alignment horizontal="center" vertical="center"/>
    </xf>
    <xf numFmtId="0" fontId="0" fillId="11" borderId="1" xfId="0" applyFill="1" applyBorder="1" applyAlignment="1">
      <alignment horizontal="center" vertical="center"/>
    </xf>
    <xf numFmtId="0" fontId="0" fillId="11" borderId="4" xfId="0" applyFill="1" applyBorder="1" applyAlignment="1">
      <alignment horizontal="center" vertical="center"/>
    </xf>
    <xf numFmtId="0" fontId="0" fillId="45" borderId="4" xfId="0" applyFill="1" applyBorder="1" applyAlignment="1">
      <alignment horizontal="center" vertical="center"/>
    </xf>
    <xf numFmtId="0" fontId="0" fillId="26" borderId="57" xfId="0" applyFill="1" applyBorder="1" applyAlignment="1">
      <alignment horizontal="center" vertical="center"/>
    </xf>
    <xf numFmtId="0" fontId="26" fillId="26" borderId="47" xfId="0" applyFont="1" applyFill="1" applyBorder="1" applyAlignment="1">
      <alignment horizontal="center" vertical="center"/>
    </xf>
    <xf numFmtId="0" fontId="26" fillId="26" borderId="67" xfId="0" applyFont="1" applyFill="1" applyBorder="1" applyAlignment="1">
      <alignment horizontal="center" vertical="center"/>
    </xf>
    <xf numFmtId="0" fontId="26" fillId="26" borderId="57" xfId="0" applyFont="1" applyFill="1" applyBorder="1" applyAlignment="1">
      <alignment horizontal="center" vertical="center"/>
    </xf>
    <xf numFmtId="0" fontId="28" fillId="31" borderId="11" xfId="0" applyFont="1" applyFill="1" applyBorder="1" applyAlignment="1">
      <alignment horizontal="center" vertical="center" wrapText="1"/>
    </xf>
    <xf numFmtId="0" fontId="28" fillId="31" borderId="48" xfId="0" applyFont="1" applyFill="1" applyBorder="1" applyAlignment="1">
      <alignment horizontal="center" vertical="center" wrapText="1"/>
    </xf>
    <xf numFmtId="0" fontId="28" fillId="31" borderId="52" xfId="0" applyFont="1" applyFill="1" applyBorder="1" applyAlignment="1">
      <alignment horizontal="center" vertical="center" wrapText="1"/>
    </xf>
    <xf numFmtId="0" fontId="28" fillId="31" borderId="95" xfId="0" applyFont="1" applyFill="1" applyBorder="1" applyAlignment="1">
      <alignment horizontal="center" vertical="center" wrapText="1"/>
    </xf>
    <xf numFmtId="0" fontId="28" fillId="31" borderId="49" xfId="0" applyFont="1" applyFill="1" applyBorder="1" applyAlignment="1">
      <alignment horizontal="center" vertical="center" wrapText="1"/>
    </xf>
    <xf numFmtId="0" fontId="28" fillId="31" borderId="57" xfId="0" applyFont="1" applyFill="1" applyBorder="1" applyAlignment="1">
      <alignment horizontal="center" vertical="center" wrapText="1"/>
    </xf>
    <xf numFmtId="0" fontId="30" fillId="0" borderId="50" xfId="0" applyFont="1" applyBorder="1" applyAlignment="1">
      <alignment horizontal="center" vertical="center"/>
    </xf>
    <xf numFmtId="180" fontId="29" fillId="0" borderId="9" xfId="0" applyNumberFormat="1" applyFont="1" applyBorder="1" applyAlignment="1" applyProtection="1">
      <alignment horizontal="center" vertical="center"/>
      <protection locked="0"/>
    </xf>
    <xf numFmtId="180" fontId="31" fillId="0" borderId="9" xfId="0" applyNumberFormat="1" applyFont="1" applyBorder="1" applyAlignment="1" applyProtection="1">
      <alignment horizontal="center" vertical="center"/>
      <protection locked="0"/>
    </xf>
    <xf numFmtId="180" fontId="29" fillId="3" borderId="32" xfId="0" applyNumberFormat="1" applyFont="1" applyFill="1" applyBorder="1" applyAlignment="1">
      <alignment horizontal="center" vertical="center"/>
    </xf>
    <xf numFmtId="0" fontId="30" fillId="0" borderId="102" xfId="0" applyFont="1" applyBorder="1" applyAlignment="1">
      <alignment horizontal="center" vertical="center"/>
    </xf>
    <xf numFmtId="180" fontId="29" fillId="3" borderId="29" xfId="0" applyNumberFormat="1" applyFont="1" applyFill="1" applyBorder="1" applyAlignment="1">
      <alignment horizontal="center" vertical="center"/>
    </xf>
    <xf numFmtId="180" fontId="22" fillId="3" borderId="29" xfId="0" applyNumberFormat="1" applyFont="1" applyFill="1" applyBorder="1" applyAlignment="1">
      <alignment horizontal="center" vertical="center"/>
    </xf>
    <xf numFmtId="180" fontId="22" fillId="3" borderId="35" xfId="0" applyNumberFormat="1" applyFont="1" applyFill="1" applyBorder="1" applyAlignment="1">
      <alignment horizontal="center" vertical="center"/>
    </xf>
    <xf numFmtId="0" fontId="0" fillId="10" borderId="4" xfId="0" applyFill="1" applyBorder="1" applyAlignment="1">
      <alignment horizontal="center" vertical="center"/>
    </xf>
    <xf numFmtId="0" fontId="24" fillId="0" borderId="0" xfId="0" applyFont="1"/>
    <xf numFmtId="0" fontId="25" fillId="26" borderId="47" xfId="0" applyFont="1" applyFill="1" applyBorder="1"/>
    <xf numFmtId="0" fontId="25" fillId="26" borderId="67" xfId="0" applyFont="1" applyFill="1" applyBorder="1"/>
    <xf numFmtId="0" fontId="0" fillId="26" borderId="67" xfId="0" applyFill="1" applyBorder="1"/>
    <xf numFmtId="0" fontId="33" fillId="0" borderId="0" xfId="0" applyFont="1"/>
    <xf numFmtId="180" fontId="0" fillId="5" borderId="168" xfId="0" applyNumberFormat="1" applyFill="1" applyBorder="1" applyAlignment="1">
      <alignment horizontal="left"/>
    </xf>
    <xf numFmtId="180" fontId="0" fillId="5" borderId="40" xfId="0" applyNumberFormat="1" applyFill="1" applyBorder="1" applyAlignment="1">
      <alignment horizontal="left"/>
    </xf>
    <xf numFmtId="0" fontId="26" fillId="26" borderId="168" xfId="0" applyFont="1" applyFill="1" applyBorder="1" applyAlignment="1">
      <alignment horizontal="center"/>
    </xf>
    <xf numFmtId="0" fontId="26" fillId="26" borderId="169" xfId="0" applyFont="1" applyFill="1" applyBorder="1" applyAlignment="1">
      <alignment horizontal="center"/>
    </xf>
    <xf numFmtId="0" fontId="26" fillId="26" borderId="170" xfId="0" applyFont="1" applyFill="1" applyBorder="1" applyAlignment="1">
      <alignment horizontal="center"/>
    </xf>
    <xf numFmtId="0" fontId="33" fillId="26" borderId="164" xfId="0" applyFont="1" applyFill="1" applyBorder="1" applyAlignment="1">
      <alignment horizontal="center"/>
    </xf>
    <xf numFmtId="0" fontId="27" fillId="31" borderId="171" xfId="0" applyFont="1" applyFill="1" applyBorder="1" applyAlignment="1">
      <alignment horizontal="center" vertical="center"/>
    </xf>
    <xf numFmtId="0" fontId="28" fillId="0" borderId="171" xfId="0" applyFont="1" applyBorder="1" applyAlignment="1">
      <alignment horizontal="center" vertical="center"/>
    </xf>
    <xf numFmtId="0" fontId="28" fillId="31" borderId="172" xfId="0" applyFont="1" applyFill="1" applyBorder="1" applyAlignment="1">
      <alignment horizontal="center" vertical="center"/>
    </xf>
    <xf numFmtId="0" fontId="28" fillId="31" borderId="7" xfId="0" applyFont="1" applyFill="1" applyBorder="1" applyAlignment="1">
      <alignment horizontal="center" vertical="center" wrapText="1"/>
    </xf>
    <xf numFmtId="0" fontId="28" fillId="31" borderId="172" xfId="0" applyFont="1" applyFill="1" applyBorder="1" applyAlignment="1">
      <alignment horizontal="center" vertical="center" wrapText="1"/>
    </xf>
    <xf numFmtId="0" fontId="33" fillId="26" borderId="0" xfId="0" applyFont="1" applyFill="1" applyAlignment="1">
      <alignment horizontal="center"/>
    </xf>
    <xf numFmtId="0" fontId="23" fillId="31" borderId="173" xfId="0" applyFont="1" applyFill="1" applyBorder="1" applyAlignment="1">
      <alignment vertical="center"/>
    </xf>
    <xf numFmtId="0" fontId="29" fillId="5" borderId="174" xfId="0" applyFont="1" applyFill="1" applyBorder="1" applyAlignment="1">
      <alignment vertical="center"/>
    </xf>
    <xf numFmtId="0" fontId="30" fillId="0" borderId="94" xfId="0" applyFont="1" applyBorder="1" applyAlignment="1">
      <alignment horizontal="right" vertical="center"/>
    </xf>
    <xf numFmtId="180" fontId="29" fillId="0" borderId="15" xfId="0" applyNumberFormat="1" applyFont="1" applyBorder="1" applyAlignment="1" applyProtection="1">
      <alignment horizontal="center" vertical="center"/>
      <protection locked="0"/>
    </xf>
    <xf numFmtId="180" fontId="31" fillId="0" borderId="15" xfId="0" applyNumberFormat="1" applyFont="1" applyBorder="1" applyAlignment="1" applyProtection="1">
      <alignment horizontal="center" vertical="center"/>
      <protection locked="0"/>
    </xf>
    <xf numFmtId="0" fontId="30" fillId="0" borderId="94" xfId="0" applyFont="1" applyBorder="1" applyAlignment="1">
      <alignment horizontal="center" vertical="center"/>
    </xf>
    <xf numFmtId="0" fontId="5" fillId="31" borderId="175" xfId="0" applyFont="1" applyFill="1" applyBorder="1" applyAlignment="1">
      <alignment vertical="center"/>
    </xf>
    <xf numFmtId="0" fontId="22" fillId="5" borderId="149" xfId="0" applyFont="1" applyFill="1" applyBorder="1" applyAlignment="1">
      <alignment vertical="center"/>
    </xf>
    <xf numFmtId="0" fontId="32" fillId="0" borderId="71" xfId="0" applyFont="1" applyBorder="1" applyAlignment="1">
      <alignment horizontal="right" vertical="center"/>
    </xf>
    <xf numFmtId="180" fontId="22" fillId="0" borderId="3" xfId="0" applyNumberFormat="1" applyFont="1" applyBorder="1" applyAlignment="1" applyProtection="1">
      <alignment horizontal="center" vertical="center"/>
      <protection locked="0"/>
    </xf>
    <xf numFmtId="180" fontId="4" fillId="0" borderId="73" xfId="0" applyNumberFormat="1" applyFont="1" applyBorder="1" applyAlignment="1" applyProtection="1">
      <alignment horizontal="center" vertical="center"/>
      <protection locked="0"/>
    </xf>
    <xf numFmtId="180" fontId="22" fillId="3" borderId="73" xfId="0" applyNumberFormat="1" applyFont="1" applyFill="1" applyBorder="1" applyAlignment="1">
      <alignment horizontal="center" vertical="center"/>
    </xf>
    <xf numFmtId="0" fontId="32" fillId="0" borderId="71" xfId="0" applyFont="1" applyBorder="1" applyAlignment="1">
      <alignment horizontal="center" vertical="center"/>
    </xf>
    <xf numFmtId="0" fontId="32" fillId="0" borderId="172" xfId="0" applyFont="1" applyBorder="1" applyAlignment="1">
      <alignment horizontal="right" vertical="center"/>
    </xf>
    <xf numFmtId="0" fontId="30" fillId="0" borderId="68" xfId="0" applyFont="1" applyBorder="1" applyAlignment="1">
      <alignment horizontal="right" vertical="center"/>
    </xf>
    <xf numFmtId="0" fontId="32" fillId="0" borderId="68" xfId="0" applyFont="1" applyBorder="1" applyAlignment="1">
      <alignment horizontal="right" vertical="center"/>
    </xf>
    <xf numFmtId="0" fontId="30" fillId="0" borderId="71" xfId="0" applyFont="1" applyBorder="1" applyAlignment="1">
      <alignment horizontal="right" vertical="center"/>
    </xf>
    <xf numFmtId="0" fontId="22" fillId="5" borderId="176" xfId="0" applyFont="1" applyFill="1" applyBorder="1" applyAlignment="1">
      <alignment vertical="center"/>
    </xf>
    <xf numFmtId="0" fontId="32" fillId="0" borderId="177" xfId="0" applyFont="1" applyBorder="1" applyAlignment="1">
      <alignment horizontal="right" vertical="center"/>
    </xf>
    <xf numFmtId="180" fontId="22" fillId="0" borderId="53" xfId="0" applyNumberFormat="1" applyFont="1" applyBorder="1" applyAlignment="1" applyProtection="1">
      <alignment horizontal="center" vertical="center"/>
      <protection locked="0"/>
    </xf>
    <xf numFmtId="180" fontId="4" fillId="0" borderId="178" xfId="0" applyNumberFormat="1" applyFont="1" applyBorder="1" applyAlignment="1" applyProtection="1">
      <alignment horizontal="center" vertical="center"/>
      <protection locked="0"/>
    </xf>
    <xf numFmtId="180" fontId="22" fillId="3" borderId="178" xfId="0" applyNumberFormat="1" applyFont="1" applyFill="1" applyBorder="1" applyAlignment="1">
      <alignment horizontal="center" vertical="center"/>
    </xf>
    <xf numFmtId="0" fontId="32" fillId="0" borderId="177" xfId="0" applyFont="1" applyBorder="1" applyAlignment="1">
      <alignment horizontal="center" vertical="center"/>
    </xf>
    <xf numFmtId="0" fontId="2" fillId="0" borderId="0" xfId="0" applyFont="1"/>
    <xf numFmtId="0" fontId="1" fillId="0" borderId="0" xfId="0" applyFont="1" applyAlignment="1">
      <alignment horizontal="left"/>
    </xf>
    <xf numFmtId="0" fontId="0" fillId="44" borderId="4" xfId="0" applyFill="1" applyBorder="1"/>
    <xf numFmtId="0" fontId="0" fillId="11" borderId="1" xfId="0" applyFill="1" applyBorder="1"/>
    <xf numFmtId="0" fontId="0" fillId="11" borderId="4" xfId="0" applyFill="1" applyBorder="1"/>
    <xf numFmtId="0" fontId="0" fillId="45" borderId="4" xfId="0" applyFill="1" applyBorder="1"/>
    <xf numFmtId="0" fontId="36" fillId="0" borderId="0" xfId="0" applyFont="1"/>
    <xf numFmtId="0" fontId="0" fillId="26" borderId="57" xfId="0" applyFill="1" applyBorder="1"/>
    <xf numFmtId="0" fontId="28" fillId="31" borderId="179" xfId="0" applyFont="1" applyFill="1" applyBorder="1" applyAlignment="1">
      <alignment horizontal="center" vertical="center" wrapText="1"/>
    </xf>
    <xf numFmtId="0" fontId="28" fillId="31" borderId="180" xfId="0" applyFont="1" applyFill="1" applyBorder="1" applyAlignment="1">
      <alignment horizontal="center" vertical="center" wrapText="1"/>
    </xf>
    <xf numFmtId="0" fontId="28" fillId="31" borderId="181" xfId="0" applyFont="1" applyFill="1" applyBorder="1" applyAlignment="1">
      <alignment horizontal="center" vertical="center" wrapText="1"/>
    </xf>
    <xf numFmtId="0" fontId="28" fillId="31" borderId="38" xfId="0" applyFont="1" applyFill="1" applyBorder="1" applyAlignment="1">
      <alignment horizontal="center" vertical="center" wrapText="1"/>
    </xf>
    <xf numFmtId="180" fontId="29" fillId="0" borderId="11" xfId="0" applyNumberFormat="1" applyFont="1" applyBorder="1" applyAlignment="1" applyProtection="1">
      <alignment horizontal="center" vertical="center"/>
      <protection locked="0"/>
    </xf>
    <xf numFmtId="180" fontId="29" fillId="3" borderId="182" xfId="0" applyNumberFormat="1" applyFont="1" applyFill="1" applyBorder="1" applyAlignment="1">
      <alignment horizontal="center" vertical="center"/>
    </xf>
    <xf numFmtId="0" fontId="30" fillId="0" borderId="183" xfId="0" applyFont="1" applyBorder="1" applyAlignment="1">
      <alignment horizontal="center" vertical="center"/>
    </xf>
    <xf numFmtId="180" fontId="22" fillId="3" borderId="141" xfId="0" applyNumberFormat="1" applyFont="1" applyFill="1" applyBorder="1" applyAlignment="1">
      <alignment horizontal="center" vertical="center"/>
    </xf>
    <xf numFmtId="0" fontId="32" fillId="0" borderId="184" xfId="0" applyFont="1" applyBorder="1" applyAlignment="1">
      <alignment horizontal="center" vertical="center"/>
    </xf>
    <xf numFmtId="180" fontId="22" fillId="3" borderId="185" xfId="0" applyNumberFormat="1" applyFont="1" applyFill="1" applyBorder="1" applyAlignment="1">
      <alignment horizontal="center" vertical="center"/>
    </xf>
    <xf numFmtId="0" fontId="32" fillId="0" borderId="186" xfId="0" applyFont="1" applyBorder="1" applyAlignment="1">
      <alignment horizontal="center" vertical="center"/>
    </xf>
    <xf numFmtId="0" fontId="0" fillId="10" borderId="4" xfId="0" applyFill="1" applyBorder="1"/>
    <xf numFmtId="0" fontId="37" fillId="0" borderId="47" xfId="49" applyFont="1" applyBorder="1" applyAlignment="1">
      <alignment horizontal="center"/>
    </xf>
    <xf numFmtId="0" fontId="37" fillId="0" borderId="67" xfId="49" applyFont="1" applyBorder="1" applyAlignment="1">
      <alignment horizontal="center"/>
    </xf>
    <xf numFmtId="0" fontId="1" fillId="0" borderId="39" xfId="49" applyFont="1" applyBorder="1" applyAlignment="1">
      <alignment horizontal="left" vertical="center"/>
    </xf>
    <xf numFmtId="0" fontId="1" fillId="0" borderId="40" xfId="49" applyFont="1" applyBorder="1" applyAlignment="1">
      <alignment horizontal="left" vertical="center"/>
    </xf>
    <xf numFmtId="0" fontId="0" fillId="33" borderId="17" xfId="49" applyFill="1" applyBorder="1" applyAlignment="1">
      <alignment vertical="center"/>
    </xf>
    <xf numFmtId="0" fontId="0" fillId="0" borderId="42" xfId="49" applyBorder="1" applyAlignment="1">
      <alignment horizontal="left" vertical="center"/>
    </xf>
    <xf numFmtId="0" fontId="0" fillId="0" borderId="28" xfId="49" applyBorder="1" applyAlignment="1">
      <alignment horizontal="left" vertical="center"/>
    </xf>
    <xf numFmtId="0" fontId="0" fillId="11" borderId="37" xfId="49" applyFill="1" applyBorder="1" applyAlignment="1">
      <alignment horizontal="center"/>
    </xf>
    <xf numFmtId="0" fontId="0" fillId="11" borderId="28" xfId="49" applyFill="1" applyBorder="1" applyAlignment="1">
      <alignment horizontal="center"/>
    </xf>
    <xf numFmtId="0" fontId="0" fillId="0" borderId="93" xfId="49" applyBorder="1" applyAlignment="1">
      <alignment vertical="center"/>
    </xf>
    <xf numFmtId="0" fontId="0" fillId="0" borderId="16" xfId="49" applyBorder="1" applyAlignment="1">
      <alignment vertical="center"/>
    </xf>
    <xf numFmtId="0" fontId="0" fillId="34" borderId="45" xfId="49" applyFill="1" applyBorder="1" applyAlignment="1">
      <alignment vertical="center"/>
    </xf>
    <xf numFmtId="0" fontId="0" fillId="0" borderId="46" xfId="49" applyBorder="1" applyAlignment="1">
      <alignment horizontal="left" vertical="center"/>
    </xf>
    <xf numFmtId="0" fontId="0" fillId="0" borderId="36" xfId="49" applyBorder="1" applyAlignment="1">
      <alignment horizontal="left" vertical="center"/>
    </xf>
    <xf numFmtId="0" fontId="0" fillId="13" borderId="44" xfId="49" applyFill="1" applyBorder="1" applyAlignment="1">
      <alignment horizontal="center"/>
    </xf>
    <xf numFmtId="0" fontId="0" fillId="13" borderId="36" xfId="49" applyFill="1" applyBorder="1" applyAlignment="1">
      <alignment horizontal="center"/>
    </xf>
    <xf numFmtId="0" fontId="0" fillId="0" borderId="72" xfId="49" applyBorder="1" applyAlignment="1">
      <alignment vertical="center"/>
    </xf>
    <xf numFmtId="0" fontId="0" fillId="0" borderId="31" xfId="49" applyBorder="1" applyAlignment="1">
      <alignment vertical="center"/>
    </xf>
    <xf numFmtId="0" fontId="38" fillId="46" borderId="87" xfId="49" applyFont="1" applyFill="1" applyBorder="1" applyAlignment="1">
      <alignment horizontal="center" vertical="center" wrapText="1"/>
    </xf>
    <xf numFmtId="0" fontId="38" fillId="46" borderId="8" xfId="49" applyFont="1" applyFill="1" applyBorder="1" applyAlignment="1">
      <alignment horizontal="center" vertical="center"/>
    </xf>
    <xf numFmtId="0" fontId="38" fillId="46" borderId="178" xfId="49" applyFont="1" applyFill="1" applyBorder="1" applyAlignment="1">
      <alignment horizontal="center" vertical="center"/>
    </xf>
    <xf numFmtId="0" fontId="38" fillId="46" borderId="187" xfId="49" applyFont="1" applyFill="1" applyBorder="1" applyAlignment="1">
      <alignment horizontal="center" vertical="center"/>
    </xf>
    <xf numFmtId="0" fontId="38" fillId="46" borderId="6" xfId="49" applyFont="1" applyFill="1" applyBorder="1" applyAlignment="1">
      <alignment horizontal="center" vertical="center"/>
    </xf>
    <xf numFmtId="0" fontId="38" fillId="46" borderId="7" xfId="49" applyFont="1" applyFill="1" applyBorder="1" applyAlignment="1">
      <alignment horizontal="center" vertical="center"/>
    </xf>
    <xf numFmtId="0" fontId="28" fillId="0" borderId="41" xfId="49" applyFont="1" applyBorder="1" applyAlignment="1">
      <alignment horizontal="center" vertical="center"/>
    </xf>
    <xf numFmtId="0" fontId="28" fillId="0" borderId="17" xfId="0" applyFont="1" applyBorder="1" applyAlignment="1">
      <alignment vertical="center"/>
    </xf>
    <xf numFmtId="0" fontId="39" fillId="13" borderId="4" xfId="0" applyFont="1" applyFill="1" applyBorder="1" applyAlignment="1">
      <alignment horizontal="center" vertical="center"/>
    </xf>
    <xf numFmtId="0" fontId="39" fillId="13" borderId="5" xfId="0" applyFont="1" applyFill="1" applyBorder="1" applyAlignment="1">
      <alignment horizontal="center" vertical="center"/>
    </xf>
    <xf numFmtId="0" fontId="0" fillId="0" borderId="93" xfId="0" applyBorder="1" applyAlignment="1">
      <alignment horizontal="center" vertical="center"/>
    </xf>
    <xf numFmtId="0" fontId="0" fillId="47" borderId="73" xfId="49" applyFill="1" applyBorder="1" applyAlignment="1">
      <alignment horizontal="center" vertical="center"/>
    </xf>
    <xf numFmtId="0" fontId="28" fillId="0" borderId="20" xfId="49" applyFont="1" applyBorder="1" applyAlignment="1">
      <alignment horizontal="center" vertical="center"/>
    </xf>
    <xf numFmtId="0" fontId="28" fillId="0" borderId="19" xfId="0" applyFont="1" applyBorder="1" applyAlignment="1">
      <alignment vertical="center"/>
    </xf>
    <xf numFmtId="0" fontId="28" fillId="0" borderId="4" xfId="49" applyFont="1" applyBorder="1" applyAlignment="1">
      <alignment horizontal="center" vertical="center"/>
    </xf>
    <xf numFmtId="0" fontId="28" fillId="0" borderId="5" xfId="49" applyFont="1" applyBorder="1" applyAlignment="1">
      <alignment horizontal="center" vertical="center"/>
    </xf>
    <xf numFmtId="0" fontId="28" fillId="0" borderId="3" xfId="49" applyFont="1" applyBorder="1" applyAlignment="1">
      <alignment horizontal="center" vertical="center"/>
    </xf>
    <xf numFmtId="0" fontId="4" fillId="0" borderId="1" xfId="49" applyFont="1" applyBorder="1" applyAlignment="1">
      <alignment horizontal="center" vertical="center"/>
    </xf>
    <xf numFmtId="0" fontId="4" fillId="0" borderId="3" xfId="49" applyFont="1" applyBorder="1" applyAlignment="1">
      <alignment horizontal="center" vertical="center"/>
    </xf>
    <xf numFmtId="0" fontId="0" fillId="44" borderId="3" xfId="0" applyFill="1" applyBorder="1" applyAlignment="1">
      <alignment horizontal="center" vertical="center"/>
    </xf>
    <xf numFmtId="0" fontId="0" fillId="44" borderId="5" xfId="0" applyFill="1" applyBorder="1" applyAlignment="1">
      <alignment horizontal="center" vertical="center"/>
    </xf>
    <xf numFmtId="0" fontId="28" fillId="0" borderId="19" xfId="49" applyFont="1" applyBorder="1" applyAlignment="1">
      <alignment horizontal="left" vertical="center"/>
    </xf>
    <xf numFmtId="0" fontId="28" fillId="47" borderId="5" xfId="49" applyFont="1" applyFill="1" applyBorder="1" applyAlignment="1">
      <alignment horizontal="center" vertical="center"/>
    </xf>
    <xf numFmtId="0" fontId="28" fillId="44" borderId="3" xfId="49" applyFont="1" applyFill="1" applyBorder="1" applyAlignment="1">
      <alignment horizontal="center" vertical="center"/>
    </xf>
    <xf numFmtId="0" fontId="0" fillId="0" borderId="5" xfId="0" applyBorder="1" applyAlignment="1">
      <alignment horizontal="center" vertical="center"/>
    </xf>
    <xf numFmtId="0" fontId="28" fillId="0" borderId="1" xfId="49" applyFont="1" applyBorder="1" applyAlignment="1">
      <alignment horizontal="center" vertical="center"/>
    </xf>
    <xf numFmtId="0" fontId="28" fillId="34" borderId="3" xfId="49" applyFont="1" applyFill="1" applyBorder="1" applyAlignment="1">
      <alignment horizontal="center" vertical="center"/>
    </xf>
    <xf numFmtId="0" fontId="28" fillId="34" borderId="5" xfId="49" applyFont="1" applyFill="1" applyBorder="1" applyAlignment="1">
      <alignment horizontal="center" vertical="center"/>
    </xf>
    <xf numFmtId="0" fontId="28" fillId="34" borderId="1" xfId="49" applyFont="1" applyFill="1" applyBorder="1" applyAlignment="1">
      <alignment horizontal="center" vertical="center"/>
    </xf>
    <xf numFmtId="0" fontId="0" fillId="13" borderId="3" xfId="0" applyFill="1" applyBorder="1" applyAlignment="1">
      <alignment horizontal="center" vertical="center"/>
    </xf>
    <xf numFmtId="0" fontId="39" fillId="26" borderId="4" xfId="0" applyFont="1" applyFill="1" applyBorder="1" applyAlignment="1">
      <alignment horizontal="center" vertical="center"/>
    </xf>
    <xf numFmtId="0" fontId="39" fillId="26" borderId="5" xfId="0" applyFont="1" applyFill="1" applyBorder="1" applyAlignment="1">
      <alignment horizontal="center" vertical="center"/>
    </xf>
    <xf numFmtId="0" fontId="28" fillId="44" borderId="4" xfId="49" applyFont="1" applyFill="1" applyBorder="1" applyAlignment="1">
      <alignment horizontal="center" vertical="center"/>
    </xf>
    <xf numFmtId="0" fontId="28" fillId="44" borderId="5" xfId="49" applyFont="1" applyFill="1" applyBorder="1" applyAlignment="1">
      <alignment horizontal="center" vertical="center"/>
    </xf>
    <xf numFmtId="0" fontId="28" fillId="0" borderId="25" xfId="49" applyFont="1" applyBorder="1" applyAlignment="1">
      <alignment horizontal="center" vertical="center"/>
    </xf>
    <xf numFmtId="0" fontId="28" fillId="0" borderId="59" xfId="49" applyFont="1" applyBorder="1" applyAlignment="1">
      <alignment horizontal="center" vertical="center"/>
    </xf>
    <xf numFmtId="0" fontId="28" fillId="47" borderId="3" xfId="49" applyFont="1" applyFill="1" applyBorder="1" applyAlignment="1">
      <alignment horizontal="center" vertical="center"/>
    </xf>
    <xf numFmtId="0" fontId="28" fillId="0" borderId="73" xfId="49" applyFont="1" applyBorder="1" applyAlignment="1">
      <alignment horizontal="center" vertical="center"/>
    </xf>
    <xf numFmtId="0" fontId="28" fillId="0" borderId="102" xfId="49" applyFont="1" applyBorder="1" applyAlignment="1">
      <alignment horizontal="center" vertical="center"/>
    </xf>
    <xf numFmtId="0" fontId="0" fillId="47" borderId="3" xfId="0" applyFill="1" applyBorder="1" applyAlignment="1">
      <alignment horizontal="center" vertical="center"/>
    </xf>
    <xf numFmtId="0" fontId="0" fillId="0" borderId="4" xfId="0" applyBorder="1" applyAlignment="1">
      <alignment horizontal="center" vertical="center"/>
    </xf>
    <xf numFmtId="0" fontId="39" fillId="26" borderId="1" xfId="0" applyFont="1" applyFill="1" applyBorder="1" applyAlignment="1">
      <alignment horizontal="center" vertical="center"/>
    </xf>
    <xf numFmtId="0" fontId="39" fillId="26" borderId="3" xfId="0" applyFont="1" applyFill="1" applyBorder="1" applyAlignment="1">
      <alignment horizontal="center" vertical="center"/>
    </xf>
    <xf numFmtId="0" fontId="0" fillId="10" borderId="5" xfId="0" applyFill="1" applyBorder="1" applyAlignment="1">
      <alignment horizontal="center" vertical="center"/>
    </xf>
    <xf numFmtId="0" fontId="0" fillId="26" borderId="1" xfId="0" applyFill="1" applyBorder="1" applyAlignment="1">
      <alignment horizontal="center" vertical="center"/>
    </xf>
    <xf numFmtId="0" fontId="0" fillId="47" borderId="1" xfId="0" applyFill="1" applyBorder="1" applyAlignment="1">
      <alignment horizontal="center" vertical="center"/>
    </xf>
    <xf numFmtId="0" fontId="5" fillId="0" borderId="19" xfId="49" applyFont="1" applyBorder="1" applyAlignment="1">
      <alignment horizontal="left" vertical="center"/>
    </xf>
    <xf numFmtId="0" fontId="0" fillId="47" borderId="4" xfId="0" applyFill="1" applyBorder="1" applyAlignment="1">
      <alignment horizontal="center" vertical="center"/>
    </xf>
    <xf numFmtId="0" fontId="0" fillId="47" borderId="5" xfId="0" applyFill="1" applyBorder="1" applyAlignment="1">
      <alignment horizontal="center" vertical="center"/>
    </xf>
    <xf numFmtId="0" fontId="0" fillId="34" borderId="4" xfId="0" applyFill="1" applyBorder="1" applyAlignment="1">
      <alignment horizontal="center" vertical="center"/>
    </xf>
    <xf numFmtId="0" fontId="0" fillId="34" borderId="5" xfId="0" applyFill="1" applyBorder="1" applyAlignment="1">
      <alignment horizontal="center" vertical="center"/>
    </xf>
    <xf numFmtId="0" fontId="39" fillId="13" borderId="1" xfId="0" applyFont="1" applyFill="1" applyBorder="1" applyAlignment="1">
      <alignment horizontal="center" vertical="center"/>
    </xf>
    <xf numFmtId="0" fontId="39" fillId="0" borderId="4" xfId="0" applyFont="1" applyBorder="1" applyAlignment="1">
      <alignment horizontal="center" vertical="center"/>
    </xf>
    <xf numFmtId="0" fontId="39" fillId="0" borderId="5" xfId="0" applyFont="1" applyBorder="1" applyAlignment="1">
      <alignment horizontal="center" vertical="center"/>
    </xf>
    <xf numFmtId="0" fontId="0" fillId="0" borderId="3" xfId="0" applyBorder="1" applyAlignment="1">
      <alignment horizontal="center"/>
    </xf>
    <xf numFmtId="0" fontId="0" fillId="0" borderId="5" xfId="0" applyBorder="1" applyAlignment="1">
      <alignment horizontal="center"/>
    </xf>
    <xf numFmtId="0" fontId="0" fillId="34" borderId="3" xfId="0" applyFill="1" applyBorder="1" applyAlignment="1">
      <alignment horizontal="center" vertical="center"/>
    </xf>
    <xf numFmtId="0" fontId="28" fillId="0" borderId="22" xfId="49" applyFont="1" applyBorder="1" applyAlignment="1">
      <alignment horizontal="center" vertical="center"/>
    </xf>
    <xf numFmtId="0" fontId="28" fillId="0" borderId="45" xfId="49" applyFont="1" applyBorder="1" applyAlignment="1">
      <alignment horizontal="left" vertical="center"/>
    </xf>
    <xf numFmtId="0" fontId="28" fillId="0" borderId="46" xfId="49" applyFont="1" applyBorder="1" applyAlignment="1">
      <alignment horizontal="center" vertical="center"/>
    </xf>
    <xf numFmtId="0" fontId="28" fillId="0" borderId="72" xfId="49" applyFont="1" applyBorder="1" applyAlignment="1">
      <alignment horizontal="center" vertical="center"/>
    </xf>
    <xf numFmtId="0" fontId="28" fillId="0" borderId="53" xfId="49" applyFont="1" applyBorder="1" applyAlignment="1">
      <alignment horizontal="center" vertical="center"/>
    </xf>
    <xf numFmtId="0" fontId="28" fillId="44" borderId="31" xfId="49" applyFont="1" applyFill="1" applyBorder="1" applyAlignment="1">
      <alignment horizontal="center" vertical="center"/>
    </xf>
    <xf numFmtId="0" fontId="28" fillId="0" borderId="17" xfId="49" applyFont="1" applyBorder="1" applyAlignment="1">
      <alignment horizontal="center" vertical="center"/>
    </xf>
    <xf numFmtId="0" fontId="28" fillId="0" borderId="17" xfId="49" applyFont="1" applyBorder="1" applyAlignment="1">
      <alignment horizontal="left" vertical="center"/>
    </xf>
    <xf numFmtId="0" fontId="28" fillId="0" borderId="42" xfId="49" applyFont="1" applyBorder="1" applyAlignment="1">
      <alignment horizontal="center" vertical="center"/>
    </xf>
    <xf numFmtId="0" fontId="28" fillId="0" borderId="93" xfId="49" applyFont="1" applyBorder="1" applyAlignment="1">
      <alignment horizontal="center" vertical="center"/>
    </xf>
    <xf numFmtId="0" fontId="28" fillId="26" borderId="15" xfId="49" applyFont="1" applyFill="1" applyBorder="1" applyAlignment="1">
      <alignment horizontal="center" vertical="center"/>
    </xf>
    <xf numFmtId="0" fontId="28" fillId="26" borderId="93" xfId="49" applyFont="1" applyFill="1" applyBorder="1" applyAlignment="1">
      <alignment horizontal="center" vertical="center"/>
    </xf>
    <xf numFmtId="0" fontId="28" fillId="34" borderId="16" xfId="49" applyFont="1" applyFill="1" applyBorder="1" applyAlignment="1">
      <alignment horizontal="center" vertical="center"/>
    </xf>
    <xf numFmtId="0" fontId="28" fillId="34" borderId="15" xfId="49" applyFont="1" applyFill="1" applyBorder="1" applyAlignment="1">
      <alignment horizontal="center" vertical="center"/>
    </xf>
    <xf numFmtId="0" fontId="28" fillId="0" borderId="19" xfId="49" applyFont="1" applyBorder="1" applyAlignment="1">
      <alignment horizontal="center" vertical="center"/>
    </xf>
    <xf numFmtId="0" fontId="28" fillId="13" borderId="4" xfId="49" applyFont="1" applyFill="1" applyBorder="1" applyAlignment="1">
      <alignment horizontal="center" vertical="center"/>
    </xf>
    <xf numFmtId="0" fontId="28" fillId="13" borderId="5" xfId="49" applyFont="1" applyFill="1" applyBorder="1" applyAlignment="1">
      <alignment horizontal="center" vertical="center"/>
    </xf>
    <xf numFmtId="0" fontId="28" fillId="26" borderId="1" xfId="49" applyFont="1" applyFill="1" applyBorder="1" applyAlignment="1">
      <alignment horizontal="center" vertical="center"/>
    </xf>
    <xf numFmtId="0" fontId="28" fillId="33" borderId="3" xfId="49" applyFont="1" applyFill="1" applyBorder="1" applyAlignment="1">
      <alignment horizontal="center" vertical="center"/>
    </xf>
    <xf numFmtId="0" fontId="28" fillId="26" borderId="4" xfId="49" applyFont="1" applyFill="1" applyBorder="1" applyAlignment="1">
      <alignment horizontal="center" vertical="center"/>
    </xf>
    <xf numFmtId="0" fontId="28" fillId="26" borderId="5" xfId="49" applyFont="1" applyFill="1" applyBorder="1" applyAlignment="1">
      <alignment horizontal="center" vertical="center"/>
    </xf>
    <xf numFmtId="0" fontId="28" fillId="26" borderId="3" xfId="49" applyFont="1" applyFill="1" applyBorder="1" applyAlignment="1">
      <alignment horizontal="center" vertical="center"/>
    </xf>
    <xf numFmtId="0" fontId="4" fillId="13" borderId="3" xfId="49" applyFont="1" applyFill="1" applyBorder="1" applyAlignment="1">
      <alignment horizontal="center" vertical="center"/>
    </xf>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33" borderId="3" xfId="0" applyFill="1" applyBorder="1" applyAlignment="1">
      <alignment horizontal="center" vertical="center"/>
    </xf>
    <xf numFmtId="0" fontId="0" fillId="33" borderId="5" xfId="0" applyFill="1" applyBorder="1" applyAlignment="1">
      <alignment horizontal="center" vertical="center"/>
    </xf>
    <xf numFmtId="0" fontId="0" fillId="33" borderId="1" xfId="0" applyFill="1" applyBorder="1" applyAlignment="1">
      <alignment horizontal="center" vertical="center"/>
    </xf>
    <xf numFmtId="0" fontId="39" fillId="11" borderId="3" xfId="0" applyFont="1" applyFill="1" applyBorder="1" applyAlignment="1">
      <alignment horizontal="center" vertical="center"/>
    </xf>
    <xf numFmtId="0" fontId="0" fillId="26" borderId="3" xfId="0" applyFill="1" applyBorder="1" applyAlignment="1">
      <alignment horizontal="center" vertical="center"/>
    </xf>
    <xf numFmtId="0" fontId="28" fillId="0" borderId="45" xfId="49" applyFont="1" applyBorder="1" applyAlignment="1">
      <alignment horizontal="center" vertical="center"/>
    </xf>
    <xf numFmtId="0" fontId="28" fillId="0" borderId="45" xfId="0" applyFont="1" applyBorder="1" applyAlignment="1">
      <alignment vertical="center"/>
    </xf>
    <xf numFmtId="0" fontId="0" fillId="0" borderId="46" xfId="0" applyBorder="1" applyAlignment="1">
      <alignment horizontal="center" vertical="center"/>
    </xf>
    <xf numFmtId="0" fontId="0" fillId="0" borderId="72" xfId="0" applyBorder="1" applyAlignment="1">
      <alignment horizontal="center" vertical="center"/>
    </xf>
    <xf numFmtId="0" fontId="0" fillId="44" borderId="53" xfId="0" applyFill="1" applyBorder="1" applyAlignment="1">
      <alignment horizontal="center" vertical="center"/>
    </xf>
    <xf numFmtId="0" fontId="0" fillId="44" borderId="72" xfId="0" applyFill="1" applyBorder="1" applyAlignment="1">
      <alignment horizontal="center" vertical="center"/>
    </xf>
    <xf numFmtId="0" fontId="28" fillId="0" borderId="0" xfId="49" applyFont="1" applyAlignment="1">
      <alignment horizontal="center" vertical="center"/>
    </xf>
    <xf numFmtId="0" fontId="28" fillId="0" borderId="0" xfId="0" applyFont="1" applyAlignment="1">
      <alignment vertical="center"/>
    </xf>
    <xf numFmtId="0" fontId="0" fillId="0" borderId="40" xfId="0" applyBorder="1" applyAlignment="1">
      <alignment horizontal="center"/>
    </xf>
    <xf numFmtId="0" fontId="0" fillId="0" borderId="0" xfId="49"/>
    <xf numFmtId="0" fontId="0" fillId="0" borderId="0" xfId="49" applyAlignment="1">
      <alignment vertical="center"/>
    </xf>
    <xf numFmtId="0" fontId="0" fillId="0" borderId="16" xfId="49" applyBorder="1"/>
    <xf numFmtId="0" fontId="0" fillId="0" borderId="27" xfId="49" applyBorder="1" applyAlignment="1">
      <alignment horizontal="center"/>
    </xf>
    <xf numFmtId="0" fontId="0" fillId="47" borderId="17" xfId="49" applyFill="1" applyBorder="1"/>
    <xf numFmtId="0" fontId="0" fillId="0" borderId="93" xfId="49" applyFont="1" applyBorder="1"/>
    <xf numFmtId="0" fontId="0" fillId="0" borderId="27" xfId="0" applyBorder="1"/>
    <xf numFmtId="0" fontId="0" fillId="26" borderId="39" xfId="0" applyFill="1" applyBorder="1"/>
    <xf numFmtId="0" fontId="37" fillId="26" borderId="40" xfId="49" applyFont="1" applyFill="1" applyBorder="1" applyAlignment="1">
      <alignment horizontal="center"/>
    </xf>
    <xf numFmtId="0" fontId="0" fillId="0" borderId="31" xfId="49" applyBorder="1"/>
    <xf numFmtId="0" fontId="0" fillId="0" borderId="35" xfId="49" applyBorder="1" applyAlignment="1">
      <alignment horizontal="center"/>
    </xf>
    <xf numFmtId="0" fontId="6" fillId="44" borderId="45" xfId="49" applyFont="1" applyFill="1" applyBorder="1"/>
    <xf numFmtId="0" fontId="0" fillId="0" borderId="72" xfId="49" applyFont="1" applyBorder="1"/>
    <xf numFmtId="0" fontId="0" fillId="0" borderId="35" xfId="0" applyBorder="1"/>
    <xf numFmtId="0" fontId="0" fillId="26" borderId="55" xfId="0" applyFill="1" applyBorder="1"/>
    <xf numFmtId="0" fontId="37" fillId="26" borderId="56" xfId="49" applyFont="1" applyFill="1" applyBorder="1" applyAlignment="1">
      <alignment horizontal="center"/>
    </xf>
    <xf numFmtId="0" fontId="0" fillId="47" borderId="102" xfId="49" applyFill="1" applyBorder="1" applyAlignment="1">
      <alignment horizontal="center" vertical="center"/>
    </xf>
    <xf numFmtId="0" fontId="28" fillId="0" borderId="16" xfId="49" applyFont="1" applyBorder="1" applyAlignment="1">
      <alignment horizontal="center" vertical="center"/>
    </xf>
    <xf numFmtId="0" fontId="0" fillId="26" borderId="5" xfId="0" applyFill="1" applyBorder="1" applyAlignment="1">
      <alignment vertical="center"/>
    </xf>
    <xf numFmtId="0" fontId="4" fillId="0" borderId="5" xfId="49" applyFont="1" applyBorder="1" applyAlignment="1">
      <alignment horizontal="center" vertical="center"/>
    </xf>
    <xf numFmtId="0" fontId="0" fillId="44" borderId="1" xfId="0" applyFill="1" applyBorder="1" applyAlignment="1">
      <alignment horizontal="center" vertical="center"/>
    </xf>
    <xf numFmtId="0" fontId="39" fillId="0" borderId="1" xfId="0" applyFont="1" applyBorder="1" applyAlignment="1">
      <alignment horizontal="center" vertical="center"/>
    </xf>
    <xf numFmtId="0" fontId="0" fillId="34" borderId="1" xfId="0" applyFill="1" applyBorder="1" applyAlignment="1">
      <alignment horizontal="center" vertical="center"/>
    </xf>
    <xf numFmtId="0" fontId="0" fillId="13" borderId="5" xfId="0" applyFill="1" applyBorder="1" applyAlignment="1">
      <alignment horizontal="center" vertical="center"/>
    </xf>
    <xf numFmtId="0" fontId="5" fillId="47" borderId="1" xfId="49" applyFont="1" applyFill="1" applyBorder="1" applyAlignment="1">
      <alignment horizontal="center" vertical="center"/>
    </xf>
    <xf numFmtId="0" fontId="39" fillId="13" borderId="3" xfId="0" applyFont="1" applyFill="1" applyBorder="1" applyAlignment="1">
      <alignment horizontal="center" vertical="center"/>
    </xf>
    <xf numFmtId="0" fontId="0" fillId="6" borderId="1" xfId="0" applyFill="1" applyBorder="1" applyAlignment="1">
      <alignment horizontal="center" vertical="center"/>
    </xf>
    <xf numFmtId="0" fontId="39" fillId="11" borderId="1" xfId="0" applyFont="1" applyFill="1" applyBorder="1" applyAlignment="1">
      <alignment horizontal="center" vertical="center"/>
    </xf>
    <xf numFmtId="0" fontId="39" fillId="0" borderId="3" xfId="0" applyFont="1" applyBorder="1" applyAlignment="1">
      <alignment horizontal="center" vertical="center"/>
    </xf>
    <xf numFmtId="0" fontId="28" fillId="44" borderId="1" xfId="49" applyFont="1" applyFill="1" applyBorder="1" applyAlignment="1">
      <alignment horizontal="center" vertical="center"/>
    </xf>
    <xf numFmtId="0" fontId="6" fillId="44" borderId="1" xfId="0" applyFont="1" applyFill="1" applyBorder="1" applyAlignment="1">
      <alignment horizontal="center" vertical="center"/>
    </xf>
    <xf numFmtId="0" fontId="39" fillId="6" borderId="1" xfId="0" applyFont="1" applyFill="1" applyBorder="1" applyAlignment="1">
      <alignment horizontal="center" vertical="center"/>
    </xf>
    <xf numFmtId="0" fontId="28" fillId="6" borderId="1" xfId="49" applyFont="1" applyFill="1" applyBorder="1" applyAlignment="1">
      <alignment horizontal="center" vertical="center"/>
    </xf>
    <xf numFmtId="0" fontId="28" fillId="13" borderId="3" xfId="49" applyFont="1" applyFill="1" applyBorder="1" applyAlignment="1">
      <alignment horizontal="center" vertical="center"/>
    </xf>
    <xf numFmtId="0" fontId="39" fillId="10" borderId="1" xfId="0" applyFont="1" applyFill="1" applyBorder="1" applyAlignment="1">
      <alignment horizontal="center" vertical="center"/>
    </xf>
    <xf numFmtId="0" fontId="28" fillId="10" borderId="1" xfId="49" applyFont="1" applyFill="1" applyBorder="1" applyAlignment="1">
      <alignment horizontal="center" vertical="center"/>
    </xf>
    <xf numFmtId="0" fontId="0" fillId="33" borderId="1" xfId="0" applyFill="1" applyBorder="1" applyAlignment="1">
      <alignment vertical="center"/>
    </xf>
    <xf numFmtId="0" fontId="39" fillId="11" borderId="5" xfId="0" applyFont="1" applyFill="1" applyBorder="1" applyAlignment="1">
      <alignment horizontal="center" vertical="center"/>
    </xf>
    <xf numFmtId="0" fontId="4" fillId="13" borderId="1" xfId="49" applyFont="1" applyFill="1" applyBorder="1" applyAlignment="1">
      <alignment horizontal="center" vertical="center"/>
    </xf>
    <xf numFmtId="0" fontId="0" fillId="0" borderId="1" xfId="0" applyBorder="1"/>
    <xf numFmtId="0" fontId="28" fillId="0" borderId="31" xfId="49" applyFont="1" applyBorder="1" applyAlignment="1">
      <alignment horizontal="center" vertical="center"/>
    </xf>
    <xf numFmtId="0" fontId="28" fillId="34" borderId="31" xfId="49" applyFont="1" applyFill="1" applyBorder="1" applyAlignment="1">
      <alignment horizontal="center" vertical="center"/>
    </xf>
    <xf numFmtId="0" fontId="4" fillId="13" borderId="31" xfId="49" applyFont="1" applyFill="1" applyBorder="1" applyAlignment="1">
      <alignment horizontal="center" vertical="center"/>
    </xf>
    <xf numFmtId="0" fontId="4" fillId="26" borderId="53" xfId="49" applyFont="1" applyFill="1" applyBorder="1" applyAlignment="1">
      <alignment horizontal="center" vertical="center"/>
    </xf>
    <xf numFmtId="0" fontId="4" fillId="26" borderId="72" xfId="49" applyFont="1" applyFill="1" applyBorder="1" applyAlignment="1">
      <alignment horizontal="center" vertical="center"/>
    </xf>
    <xf numFmtId="0" fontId="28" fillId="34" borderId="93" xfId="49" applyFont="1" applyFill="1" applyBorder="1" applyAlignment="1">
      <alignment horizontal="center" vertical="center"/>
    </xf>
    <xf numFmtId="0" fontId="28" fillId="13" borderId="16" xfId="49" applyFont="1" applyFill="1" applyBorder="1" applyAlignment="1">
      <alignment horizontal="center" vertical="center"/>
    </xf>
    <xf numFmtId="0" fontId="4" fillId="0" borderId="16" xfId="49" applyFont="1" applyBorder="1" applyAlignment="1">
      <alignment horizontal="center" vertical="center"/>
    </xf>
    <xf numFmtId="0" fontId="28" fillId="0" borderId="15" xfId="49" applyFont="1" applyBorder="1" applyAlignment="1">
      <alignment horizontal="center" vertical="center"/>
    </xf>
    <xf numFmtId="0" fontId="4" fillId="10" borderId="1" xfId="49" applyFont="1" applyFill="1" applyBorder="1" applyAlignment="1">
      <alignment horizontal="center" vertical="center"/>
    </xf>
    <xf numFmtId="0" fontId="4" fillId="10" borderId="3" xfId="49" applyFont="1" applyFill="1" applyBorder="1" applyAlignment="1">
      <alignment horizontal="center" vertical="center"/>
    </xf>
    <xf numFmtId="0" fontId="4" fillId="10" borderId="5" xfId="49" applyFont="1" applyFill="1" applyBorder="1" applyAlignment="1">
      <alignment horizontal="center" vertical="center"/>
    </xf>
    <xf numFmtId="0" fontId="28" fillId="33" borderId="1" xfId="49" applyFont="1" applyFill="1" applyBorder="1" applyAlignment="1">
      <alignment horizontal="center" vertical="center"/>
    </xf>
    <xf numFmtId="0" fontId="4" fillId="11" borderId="1" xfId="49" applyFont="1" applyFill="1" applyBorder="1" applyAlignment="1">
      <alignment horizontal="center" vertical="center"/>
    </xf>
    <xf numFmtId="0" fontId="28" fillId="33" borderId="5" xfId="49" applyFont="1" applyFill="1" applyBorder="1" applyAlignment="1">
      <alignment horizontal="center" vertical="center"/>
    </xf>
    <xf numFmtId="0" fontId="4" fillId="13" borderId="5" xfId="49" applyFont="1" applyFill="1" applyBorder="1" applyAlignment="1">
      <alignment horizontal="center" vertical="center"/>
    </xf>
    <xf numFmtId="0" fontId="0" fillId="33" borderId="31" xfId="0" applyFill="1" applyBorder="1" applyAlignment="1">
      <alignment horizontal="center" vertical="center"/>
    </xf>
    <xf numFmtId="0" fontId="39" fillId="11" borderId="31" xfId="0" applyFont="1" applyFill="1" applyBorder="1" applyAlignment="1">
      <alignment horizontal="center" vertical="center"/>
    </xf>
    <xf numFmtId="0" fontId="39" fillId="13" borderId="31" xfId="0" applyFont="1" applyFill="1" applyBorder="1" applyAlignment="1">
      <alignment horizontal="center" vertical="center"/>
    </xf>
    <xf numFmtId="0" fontId="37" fillId="0" borderId="57" xfId="49" applyFont="1" applyBorder="1" applyAlignment="1">
      <alignment horizontal="center"/>
    </xf>
    <xf numFmtId="0" fontId="1" fillId="0" borderId="64" xfId="49" applyFont="1" applyBorder="1" applyAlignment="1">
      <alignment horizontal="left" vertical="center"/>
    </xf>
    <xf numFmtId="0" fontId="37" fillId="26" borderId="64" xfId="49" applyFont="1" applyFill="1" applyBorder="1" applyAlignment="1">
      <alignment horizontal="center"/>
    </xf>
    <xf numFmtId="0" fontId="37" fillId="26" borderId="66" xfId="49" applyFont="1" applyFill="1" applyBorder="1" applyAlignment="1">
      <alignment horizontal="center"/>
    </xf>
    <xf numFmtId="0" fontId="38" fillId="46" borderId="34" xfId="49" applyFont="1" applyFill="1" applyBorder="1" applyAlignment="1">
      <alignment horizontal="center" vertical="center"/>
    </xf>
    <xf numFmtId="0" fontId="28" fillId="34" borderId="27" xfId="49" applyFont="1" applyFill="1" applyBorder="1" applyAlignment="1">
      <alignment horizontal="center" vertical="center"/>
    </xf>
    <xf numFmtId="0" fontId="28" fillId="34" borderId="29" xfId="49" applyFont="1" applyFill="1" applyBorder="1" applyAlignment="1">
      <alignment horizontal="center" vertical="center"/>
    </xf>
    <xf numFmtId="0" fontId="28" fillId="0" borderId="29" xfId="49" applyFont="1" applyBorder="1" applyAlignment="1">
      <alignment horizontal="center" vertical="center"/>
    </xf>
    <xf numFmtId="0" fontId="28" fillId="0" borderId="0" xfId="49" applyFont="1" applyAlignment="1">
      <alignment horizontal="left" vertical="center"/>
    </xf>
    <xf numFmtId="0" fontId="28" fillId="0" borderId="0" xfId="49" applyFont="1" applyAlignment="1">
      <alignment horizontal="left" vertical="center" wrapText="1"/>
    </xf>
    <xf numFmtId="0" fontId="28" fillId="26" borderId="29" xfId="49" applyFont="1" applyFill="1" applyBorder="1" applyAlignment="1">
      <alignment horizontal="center" vertical="center"/>
    </xf>
    <xf numFmtId="0" fontId="4" fillId="11" borderId="29" xfId="49" applyFont="1" applyFill="1" applyBorder="1" applyAlignment="1">
      <alignment horizontal="center" vertical="center"/>
    </xf>
    <xf numFmtId="0" fontId="28" fillId="13" borderId="1" xfId="49" applyFont="1" applyFill="1" applyBorder="1" applyAlignment="1">
      <alignment horizontal="center" vertical="center"/>
    </xf>
    <xf numFmtId="0" fontId="0" fillId="6" borderId="29" xfId="0" applyFill="1" applyBorder="1" applyAlignment="1">
      <alignment horizontal="center" vertical="center"/>
    </xf>
    <xf numFmtId="0" fontId="39" fillId="0" borderId="29" xfId="0" applyFont="1" applyBorder="1" applyAlignment="1">
      <alignment horizontal="center" vertical="center"/>
    </xf>
    <xf numFmtId="0" fontId="28" fillId="10" borderId="29" xfId="49" applyFont="1" applyFill="1" applyBorder="1" applyAlignment="1">
      <alignment horizontal="center" vertical="center"/>
    </xf>
    <xf numFmtId="0" fontId="0" fillId="34" borderId="29" xfId="0" applyFill="1" applyBorder="1" applyAlignment="1">
      <alignment horizontal="center" vertical="center"/>
    </xf>
    <xf numFmtId="0" fontId="0" fillId="0" borderId="29" xfId="0" applyBorder="1"/>
    <xf numFmtId="0" fontId="28" fillId="0" borderId="35" xfId="49" applyFont="1" applyBorder="1" applyAlignment="1">
      <alignment horizontal="center" vertical="center"/>
    </xf>
    <xf numFmtId="0" fontId="28" fillId="0" borderId="27" xfId="49" applyFont="1" applyBorder="1" applyAlignment="1">
      <alignment horizontal="center" vertical="center"/>
    </xf>
    <xf numFmtId="0" fontId="0" fillId="26" borderId="29" xfId="0" applyFill="1" applyBorder="1" applyAlignment="1">
      <alignment horizontal="center" vertical="center"/>
    </xf>
    <xf numFmtId="0" fontId="26" fillId="5" borderId="39" xfId="0" applyFont="1" applyFill="1" applyBorder="1"/>
    <xf numFmtId="0" fontId="26" fillId="5" borderId="40" xfId="0" applyFont="1" applyFill="1" applyBorder="1"/>
    <xf numFmtId="0" fontId="0" fillId="5" borderId="40" xfId="0" applyFill="1" applyBorder="1"/>
    <xf numFmtId="0" fontId="26" fillId="5" borderId="33" xfId="0" applyFont="1" applyFill="1" applyBorder="1"/>
    <xf numFmtId="0" fontId="26" fillId="5" borderId="0" xfId="0" applyFont="1" applyFill="1"/>
    <xf numFmtId="0" fontId="0" fillId="5" borderId="33" xfId="0" applyFill="1" applyBorder="1"/>
    <xf numFmtId="0" fontId="1" fillId="5" borderId="33" xfId="0" applyFont="1" applyFill="1" applyBorder="1"/>
    <xf numFmtId="0" fontId="1" fillId="5" borderId="0" xfId="0" applyFont="1" applyFill="1"/>
    <xf numFmtId="0" fontId="36" fillId="5" borderId="0" xfId="0" applyFont="1" applyFill="1"/>
    <xf numFmtId="0" fontId="36" fillId="5" borderId="33" xfId="0" applyFont="1" applyFill="1" applyBorder="1"/>
    <xf numFmtId="0" fontId="6" fillId="5" borderId="0" xfId="0" applyFont="1" applyFill="1"/>
    <xf numFmtId="0" fontId="2" fillId="5" borderId="0" xfId="0" applyFont="1" applyFill="1"/>
    <xf numFmtId="0" fontId="1" fillId="5" borderId="33" xfId="0" applyFont="1" applyFill="1" applyBorder="1" applyAlignment="1">
      <alignment horizontal="left"/>
    </xf>
    <xf numFmtId="0" fontId="40" fillId="5" borderId="0" xfId="0" applyFont="1" applyFill="1"/>
    <xf numFmtId="0" fontId="41" fillId="5" borderId="0" xfId="0" applyFont="1" applyFill="1"/>
    <xf numFmtId="0" fontId="6" fillId="5" borderId="33" xfId="0" applyFont="1" applyFill="1" applyBorder="1"/>
    <xf numFmtId="0" fontId="36" fillId="5" borderId="55" xfId="0" applyFont="1" applyFill="1" applyBorder="1"/>
    <xf numFmtId="0" fontId="0" fillId="5" borderId="56" xfId="0" applyFill="1" applyBorder="1"/>
    <xf numFmtId="0" fontId="36" fillId="5" borderId="56" xfId="0" applyFont="1" applyFill="1" applyBorder="1"/>
    <xf numFmtId="0" fontId="0" fillId="5" borderId="7" xfId="0" applyFill="1" applyBorder="1"/>
    <xf numFmtId="0" fontId="42" fillId="0" borderId="0" xfId="0" applyFont="1" applyAlignment="1">
      <alignment horizontal="center"/>
    </xf>
    <xf numFmtId="0" fontId="0" fillId="5" borderId="64" xfId="0" applyFill="1" applyBorder="1"/>
    <xf numFmtId="0" fontId="0" fillId="5" borderId="65" xfId="0" applyFill="1" applyBorder="1"/>
    <xf numFmtId="0" fontId="0" fillId="5" borderId="66" xfId="0" applyFill="1" applyBorder="1"/>
  </cellXfs>
  <cellStyles count="50">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dxfs count="4">
    <dxf>
      <font>
        <b val="1"/>
        <i val="0"/>
        <color auto="1"/>
      </font>
      <fill>
        <patternFill patternType="solid">
          <bgColor rgb="FFFF0000"/>
        </patternFill>
      </fill>
    </dxf>
    <dxf>
      <font>
        <color rgb="FF006100"/>
      </font>
      <fill>
        <patternFill patternType="solid">
          <bgColor rgb="FFC6EFCE"/>
        </patternFill>
      </fill>
    </dxf>
    <dxf>
      <font>
        <color auto="1"/>
      </font>
      <fill>
        <patternFill patternType="solid">
          <bgColor rgb="FF92D050"/>
        </patternFill>
      </fill>
    </dxf>
    <dxf>
      <fill>
        <patternFill patternType="solid">
          <bgColor rgb="FF99FF99"/>
        </patternFill>
      </fill>
    </dxf>
  </dxfs>
  <tableStyles count="0" defaultTableStyle="TableStyleMedium2" defaultPivotStyle="PivotStyleLight16"/>
  <colors>
    <mruColors>
      <color rgb="00FFFFCC"/>
      <color rgb="00FFCC66"/>
      <color rgb="00CCFFFF"/>
      <color rgb="00FF9999"/>
      <color rgb="00FFFF99"/>
      <color rgb="0099FF99"/>
      <color rgb="00FF7C80"/>
      <color rgb="00FF0066"/>
      <color rgb="003333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customXml" Target="../customXml/item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3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3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3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3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3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3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4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4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4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4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4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4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4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4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4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4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5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5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52.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5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54.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55.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56.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57.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58.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en-US" sz="1200"/>
              <a:t>IA Fleet Comparison 2021-2024</a:t>
            </a:r>
            <a:endParaRPr lang="en-US" sz="1200"/>
          </a:p>
        </c:rich>
      </c:tx>
      <c:layout/>
      <c:overlay val="0"/>
    </c:title>
    <c:autoTitleDeleted val="0"/>
    <c:plotArea>
      <c:layout/>
      <c:barChart>
        <c:barDir val="col"/>
        <c:grouping val="clustered"/>
        <c:varyColors val="0"/>
        <c:ser>
          <c:idx val="2"/>
          <c:order val="2"/>
          <c:tx>
            <c:strRef>
              <c:f>'Int.Aud. Category'!$D$64</c:f>
              <c:strCache>
                <c:ptCount val="1"/>
                <c:pt idx="0">
                  <c:v>2022</c:v>
                </c:pt>
              </c:strCache>
            </c:strRef>
          </c:tx>
          <c:invertIfNegative val="0"/>
          <c:dLbls>
            <c:delete val="1"/>
          </c:dLbls>
          <c:cat>
            <c:strRef>
              <c:f>'Int.Aud. Category'!$A$65:$A$68</c:f>
              <c:strCache>
                <c:ptCount val="4"/>
                <c:pt idx="0">
                  <c:v>Vessels</c:v>
                </c:pt>
                <c:pt idx="1">
                  <c:v>Audits</c:v>
                </c:pt>
                <c:pt idx="2">
                  <c:v>Deficiencies</c:v>
                </c:pt>
                <c:pt idx="3">
                  <c:v>Def x Insp</c:v>
                </c:pt>
              </c:strCache>
            </c:strRef>
          </c:cat>
          <c:val>
            <c:numRef>
              <c:f>'Int.Aud. Category'!$D$65:$D$68</c:f>
              <c:numCache>
                <c:formatCode>General</c:formatCode>
                <c:ptCount val="4"/>
                <c:pt idx="0">
                  <c:v>36</c:v>
                </c:pt>
                <c:pt idx="1">
                  <c:v>47</c:v>
                </c:pt>
                <c:pt idx="2" c:formatCode="0">
                  <c:v>201</c:v>
                </c:pt>
                <c:pt idx="3" c:formatCode="0.00">
                  <c:v>4.27659574468085</c:v>
                </c:pt>
              </c:numCache>
            </c:numRef>
          </c:val>
        </c:ser>
        <c:ser>
          <c:idx val="3"/>
          <c:order val="3"/>
          <c:tx>
            <c:strRef>
              <c:f>'Int.Aud. Category'!$E$64</c:f>
              <c:strCache>
                <c:ptCount val="1"/>
                <c:pt idx="0">
                  <c:v>2023</c:v>
                </c:pt>
              </c:strCache>
            </c:strRef>
          </c:tx>
          <c:invertIfNegative val="0"/>
          <c:dLbls>
            <c:delete val="1"/>
          </c:dLbls>
          <c:cat>
            <c:strRef>
              <c:f>'Int.Aud. Category'!$A$65:$A$68</c:f>
              <c:strCache>
                <c:ptCount val="4"/>
                <c:pt idx="0">
                  <c:v>Vessels</c:v>
                </c:pt>
                <c:pt idx="1">
                  <c:v>Audits</c:v>
                </c:pt>
                <c:pt idx="2">
                  <c:v>Deficiencies</c:v>
                </c:pt>
                <c:pt idx="3">
                  <c:v>Def x Insp</c:v>
                </c:pt>
              </c:strCache>
            </c:strRef>
          </c:cat>
          <c:val>
            <c:numRef>
              <c:f>'Int.Aud. Category'!$E$65:$E$68</c:f>
              <c:numCache>
                <c:formatCode>General</c:formatCode>
                <c:ptCount val="4"/>
                <c:pt idx="0">
                  <c:v>35</c:v>
                </c:pt>
                <c:pt idx="1" c:formatCode="0">
                  <c:v>35</c:v>
                </c:pt>
                <c:pt idx="2" c:formatCode="0">
                  <c:v>104</c:v>
                </c:pt>
                <c:pt idx="3" c:formatCode="0.00">
                  <c:v>2.97142857142857</c:v>
                </c:pt>
              </c:numCache>
            </c:numRef>
          </c:val>
        </c:ser>
        <c:dLbls>
          <c:showLegendKey val="0"/>
          <c:showVal val="0"/>
          <c:showCatName val="0"/>
          <c:showSerName val="0"/>
          <c:showPercent val="0"/>
          <c:showBubbleSize val="0"/>
        </c:dLbls>
        <c:gapWidth val="150"/>
        <c:axId val="562696928"/>
        <c:axId val="562698496"/>
        <c:extLst>
          <c:ext xmlns:c15="http://schemas.microsoft.com/office/drawing/2012/chart" uri="{02D57815-91ED-43cb-92C2-25804820EDAC}">
            <c15:filteredBarSeries>
              <c15:ser>
                <c:idx val="0"/>
                <c:order val="0"/>
                <c:tx>
                  <c:strRef>
                    <c:extLst>
                      <c:ext uri="{02D57815-91ED-43cb-92C2-25804820EDAC}">
                        <c15:formulaRef>
                          <c15:sqref>'Int.Aud. Category'!$B$64</c15:sqref>
                        </c15:formulaRef>
                      </c:ext>
                    </c:extLst>
                    <c:strCache>
                      <c:ptCount val="1"/>
                      <c:pt idx="0">
                        <c:v>2020</c:v>
                      </c:pt>
                    </c:strCache>
                  </c:strRef>
                </c:tx>
                <c:spPr>
                  <a:solidFill>
                    <a:srgbClr val="92D050"/>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extLst>
                      <c:ext uri="{02D57815-91ED-43cb-92C2-25804820EDAC}">
                        <c15:fullRef>
                          <c15:sqref/>
                        </c15:fullRef>
                        <c15:formulaRef>
                          <c15:sqref>'Int.Aud. Category'!$A$65:$A$68</c15:sqref>
                        </c15:formulaRef>
                      </c:ext>
                    </c:extLst>
                    <c:strCache>
                      <c:ptCount val="4"/>
                      <c:pt idx="0">
                        <c:v>Vessels</c:v>
                      </c:pt>
                      <c:pt idx="1">
                        <c:v>Audits</c:v>
                      </c:pt>
                      <c:pt idx="2">
                        <c:v>Deficiencies</c:v>
                      </c:pt>
                      <c:pt idx="3">
                        <c:v>Def x Insp</c:v>
                      </c:pt>
                    </c:strCache>
                  </c:strRef>
                </c:cat>
                <c:val>
                  <c:numRef>
                    <c:extLst>
                      <c:ext uri="{02D57815-91ED-43cb-92C2-25804820EDAC}">
                        <c15:formulaRef>
                          <c15:sqref>'Int.Aud. Category'!$B$65:$B$68</c15:sqref>
                        </c15:formulaRef>
                      </c:ext>
                    </c:extLst>
                    <c:numCache>
                      <c:formatCode>General</c:formatCode>
                      <c:ptCount val="4"/>
                      <c:pt idx="0">
                        <c:v>28</c:v>
                      </c:pt>
                      <c:pt idx="1">
                        <c:v>36</c:v>
                      </c:pt>
                      <c:pt idx="2" c:formatCode="0">
                        <c:v>132</c:v>
                      </c:pt>
                      <c:pt idx="3" c:formatCode="0.00">
                        <c:v>3.66666666666667</c:v>
                      </c:pt>
                    </c:numCache>
                  </c:numRef>
                </c:val>
              </c15:ser>
            </c15:filteredBarSeries>
            <c15:filteredBarSeries>
              <c15:ser>
                <c:idx val="1"/>
                <c:order val="1"/>
                <c:tx>
                  <c:strRef>
                    <c:extLst>
                      <c:ext uri="{02D57815-91ED-43cb-92C2-25804820EDAC}">
                        <c15:formulaRef>
                          <c15:sqref>'Int.Aud. Category'!$C$64</c15:sqref>
                        </c15:formulaRef>
                      </c:ext>
                    </c:extLst>
                    <c:strCache>
                      <c:ptCount val="1"/>
                      <c:pt idx="0">
                        <c:v>2021</c:v>
                      </c:pt>
                    </c:strCache>
                  </c:strRef>
                </c:tx>
                <c:invertIfNegative val="0"/>
                <c:dLbls>
                  <c:delete val="1"/>
                </c:dLbls>
                <c:cat>
                  <c:strRef>
                    <c:extLst>
                      <c:ext uri="{02D57815-91ED-43cb-92C2-25804820EDAC}">
                        <c15:fullRef>
                          <c15:sqref/>
                        </c15:fullRef>
                        <c15:formulaRef>
                          <c15:sqref>'Int.Aud. Category'!$A$65:$A$68</c15:sqref>
                        </c15:formulaRef>
                      </c:ext>
                    </c:extLst>
                    <c:strCache>
                      <c:ptCount val="4"/>
                      <c:pt idx="0">
                        <c:v>Vessels</c:v>
                      </c:pt>
                      <c:pt idx="1">
                        <c:v>Audits</c:v>
                      </c:pt>
                      <c:pt idx="2">
                        <c:v>Deficiencies</c:v>
                      </c:pt>
                      <c:pt idx="3">
                        <c:v>Def x Insp</c:v>
                      </c:pt>
                    </c:strCache>
                  </c:strRef>
                </c:cat>
                <c:val>
                  <c:numRef>
                    <c:extLst>
                      <c:ext uri="{02D57815-91ED-43cb-92C2-25804820EDAC}">
                        <c15:formulaRef>
                          <c15:sqref>'Int.Aud. Category'!$C$65:$C$68</c15:sqref>
                        </c15:formulaRef>
                      </c:ext>
                    </c:extLst>
                    <c:numCache>
                      <c:formatCode>General</c:formatCode>
                      <c:ptCount val="4"/>
                      <c:pt idx="0">
                        <c:v>25</c:v>
                      </c:pt>
                      <c:pt idx="1">
                        <c:v>41</c:v>
                      </c:pt>
                      <c:pt idx="2">
                        <c:v>143</c:v>
                      </c:pt>
                      <c:pt idx="3" c:formatCode="0.00">
                        <c:v>3.48780487804878</c:v>
                      </c:pt>
                    </c:numCache>
                  </c:numRef>
                </c:val>
              </c15:ser>
            </c15:filteredBarSeries>
          </c:ext>
        </c:extLst>
      </c:barChart>
      <c:lineChart>
        <c:grouping val="standard"/>
        <c:varyColors val="0"/>
        <c:ser>
          <c:idx val="4"/>
          <c:order val="4"/>
          <c:tx>
            <c:strRef>
              <c:f>'Int.Aud. Category'!$F$64</c:f>
              <c:strCache>
                <c:ptCount val="1"/>
                <c:pt idx="0">
                  <c:v>2024</c:v>
                </c:pt>
              </c:strCache>
            </c:strRef>
          </c:tx>
          <c:dLbls>
            <c:delete val="1"/>
          </c:dLbls>
          <c:cat>
            <c:strRef>
              <c:f>'Int.Aud. Category'!$A$65:$A$68</c:f>
              <c:strCache>
                <c:ptCount val="4"/>
                <c:pt idx="0">
                  <c:v>Vessels</c:v>
                </c:pt>
                <c:pt idx="1">
                  <c:v>Audits</c:v>
                </c:pt>
                <c:pt idx="2">
                  <c:v>Deficiencies</c:v>
                </c:pt>
                <c:pt idx="3">
                  <c:v>Def x Insp</c:v>
                </c:pt>
              </c:strCache>
            </c:strRef>
          </c:cat>
          <c:val>
            <c:numRef>
              <c:f>'Int.Aud. Category'!$F$65:$F$68</c:f>
              <c:numCache>
                <c:formatCode>General</c:formatCode>
                <c:ptCount val="4"/>
                <c:pt idx="0">
                  <c:v>37</c:v>
                </c:pt>
                <c:pt idx="1" c:formatCode="0">
                  <c:v>41</c:v>
                </c:pt>
                <c:pt idx="2" c:formatCode="0">
                  <c:v>169</c:v>
                </c:pt>
                <c:pt idx="3" c:formatCode="0.00">
                  <c:v>4.1219512195122</c:v>
                </c:pt>
              </c:numCache>
            </c:numRef>
          </c:val>
          <c:smooth val="0"/>
        </c:ser>
        <c:dLbls>
          <c:showLegendKey val="0"/>
          <c:showVal val="0"/>
          <c:showCatName val="0"/>
          <c:showSerName val="0"/>
          <c:showPercent val="0"/>
          <c:showBubbleSize val="0"/>
        </c:dLbls>
        <c:marker val="1"/>
        <c:smooth val="0"/>
        <c:axId val="562696928"/>
        <c:axId val="562698496"/>
      </c:lineChart>
      <c:catAx>
        <c:axId val="562696928"/>
        <c:scaling>
          <c:orientation val="minMax"/>
        </c:scaling>
        <c:delete val="0"/>
        <c:axPos val="b"/>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2698496"/>
        <c:crosses val="autoZero"/>
        <c:auto val="1"/>
        <c:lblAlgn val="ctr"/>
        <c:lblOffset val="100"/>
        <c:noMultiLvlLbl val="0"/>
      </c:catAx>
      <c:valAx>
        <c:axId val="562698496"/>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2696928"/>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cfdea9b-a4e3-453f-acd2-3db206f2523b}"/>
      </c:ext>
    </c:extLst>
  </c:chart>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en-US" sz="1200"/>
              <a:t>IA and Deficiencies x Vessels</a:t>
            </a:r>
            <a:endParaRPr lang="en-US" sz="1200"/>
          </a:p>
        </c:rich>
      </c:tx>
      <c:layout/>
      <c:overlay val="0"/>
    </c:title>
    <c:autoTitleDeleted val="0"/>
    <c:plotArea>
      <c:layout/>
      <c:barChart>
        <c:barDir val="col"/>
        <c:grouping val="clustered"/>
        <c:varyColors val="0"/>
        <c:ser>
          <c:idx val="1"/>
          <c:order val="0"/>
          <c:tx>
            <c:strRef>
              <c:f>'Int.Aud. Category'!$BJ$18</c:f>
              <c:strCache>
                <c:ptCount val="1"/>
                <c:pt idx="0">
                  <c:v>No.  Insp.</c:v>
                </c:pt>
              </c:strCache>
            </c:strRef>
          </c:tx>
          <c:invertIfNegative val="0"/>
          <c:dLbls>
            <c:delete val="1"/>
          </c:dLbls>
          <c:cat>
            <c:strRef>
              <c:f>'Int.Aud. Category'!$A$19:$A$60</c:f>
              <c:strCache>
                <c:ptCount val="42"/>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pt idx="30">
                  <c:v>Cielo di Valparaiso</c:v>
                </c:pt>
                <c:pt idx="31">
                  <c:v>Cielo Dei Maronti</c:v>
                </c:pt>
                <c:pt idx="32">
                  <c:v>Medi Adriatico</c:v>
                </c:pt>
                <c:pt idx="33">
                  <c:v>Medi Atlantico</c:v>
                </c:pt>
                <c:pt idx="34">
                  <c:v>Medi Egadi</c:v>
                </c:pt>
                <c:pt idx="35">
                  <c:v>Medi Egeo</c:v>
                </c:pt>
                <c:pt idx="36">
                  <c:v>Medi Matsuura</c:v>
                </c:pt>
                <c:pt idx="37">
                  <c:v>Medi Palmarola</c:v>
                </c:pt>
                <c:pt idx="38">
                  <c:v>Medi Sydney</c:v>
                </c:pt>
                <c:pt idx="39">
                  <c:v>Medi Tirreno</c:v>
                </c:pt>
                <c:pt idx="40">
                  <c:v>Medi Zuoz</c:v>
                </c:pt>
                <c:pt idx="41">
                  <c:v>Medi Caboto</c:v>
                </c:pt>
              </c:strCache>
            </c:strRef>
          </c:cat>
          <c:val>
            <c:numRef>
              <c:f>'Int.Aud. Category'!$BJ$19:$BJ$60</c:f>
              <c:numCache>
                <c:formatCode>General</c:formatCode>
                <c:ptCount val="42"/>
                <c:pt idx="0">
                  <c:v>0</c:v>
                </c:pt>
                <c:pt idx="1">
                  <c:v>0</c:v>
                </c:pt>
                <c:pt idx="2">
                  <c:v>1</c:v>
                </c:pt>
                <c:pt idx="3">
                  <c:v>1</c:v>
                </c:pt>
                <c:pt idx="4">
                  <c:v>1</c:v>
                </c:pt>
                <c:pt idx="5">
                  <c:v>2</c:v>
                </c:pt>
                <c:pt idx="6">
                  <c:v>2</c:v>
                </c:pt>
                <c:pt idx="7">
                  <c:v>1</c:v>
                </c:pt>
                <c:pt idx="8">
                  <c:v>1</c:v>
                </c:pt>
                <c:pt idx="9">
                  <c:v>1</c:v>
                </c:pt>
                <c:pt idx="10">
                  <c:v>1</c:v>
                </c:pt>
                <c:pt idx="11">
                  <c:v>1</c:v>
                </c:pt>
                <c:pt idx="12">
                  <c:v>1</c:v>
                </c:pt>
                <c:pt idx="13">
                  <c:v>1</c:v>
                </c:pt>
                <c:pt idx="14">
                  <c:v>2</c:v>
                </c:pt>
                <c:pt idx="15">
                  <c:v>1</c:v>
                </c:pt>
                <c:pt idx="16">
                  <c:v>1</c:v>
                </c:pt>
                <c:pt idx="17">
                  <c:v>0</c:v>
                </c:pt>
                <c:pt idx="18">
                  <c:v>1</c:v>
                </c:pt>
                <c:pt idx="19">
                  <c:v>1</c:v>
                </c:pt>
                <c:pt idx="20">
                  <c:v>2</c:v>
                </c:pt>
                <c:pt idx="21">
                  <c:v>1</c:v>
                </c:pt>
                <c:pt idx="22" c:formatCode="0">
                  <c:v>2</c:v>
                </c:pt>
                <c:pt idx="23" c:formatCode="0">
                  <c:v>1</c:v>
                </c:pt>
                <c:pt idx="24" c:formatCode="0">
                  <c:v>0</c:v>
                </c:pt>
                <c:pt idx="25" c:formatCode="0">
                  <c:v>1</c:v>
                </c:pt>
                <c:pt idx="26" c:formatCode="0">
                  <c:v>1</c:v>
                </c:pt>
                <c:pt idx="27" c:formatCode="0">
                  <c:v>1</c:v>
                </c:pt>
                <c:pt idx="28" c:formatCode="0">
                  <c:v>1</c:v>
                </c:pt>
                <c:pt idx="29" c:formatCode="0">
                  <c:v>1</c:v>
                </c:pt>
                <c:pt idx="30">
                  <c:v>0</c:v>
                </c:pt>
                <c:pt idx="31">
                  <c:v>1</c:v>
                </c:pt>
                <c:pt idx="32">
                  <c:v>1</c:v>
                </c:pt>
                <c:pt idx="33">
                  <c:v>1</c:v>
                </c:pt>
                <c:pt idx="34">
                  <c:v>1</c:v>
                </c:pt>
                <c:pt idx="35">
                  <c:v>1</c:v>
                </c:pt>
                <c:pt idx="36">
                  <c:v>1</c:v>
                </c:pt>
                <c:pt idx="37">
                  <c:v>1</c:v>
                </c:pt>
                <c:pt idx="38">
                  <c:v>1</c:v>
                </c:pt>
                <c:pt idx="39">
                  <c:v>1</c:v>
                </c:pt>
                <c:pt idx="40">
                  <c:v>1</c:v>
                </c:pt>
                <c:pt idx="41">
                  <c:v>0</c:v>
                </c:pt>
              </c:numCache>
            </c:numRef>
          </c:val>
        </c:ser>
        <c:ser>
          <c:idx val="0"/>
          <c:order val="1"/>
          <c:tx>
            <c:strRef>
              <c:f>'Int.Aud. Category'!$BL$18</c:f>
              <c:strCache>
                <c:ptCount val="1"/>
                <c:pt idx="0">
                  <c:v>Def.</c:v>
                </c:pt>
              </c:strCache>
            </c:strRef>
          </c:tx>
          <c:invertIfNegative val="0"/>
          <c:dLbls>
            <c:delete val="1"/>
          </c:dLbls>
          <c:cat>
            <c:strRef>
              <c:f>'Int.Aud. Category'!$A$19:$A$60</c:f>
              <c:strCache>
                <c:ptCount val="42"/>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pt idx="30">
                  <c:v>Cielo di Valparaiso</c:v>
                </c:pt>
                <c:pt idx="31">
                  <c:v>Cielo Dei Maronti</c:v>
                </c:pt>
                <c:pt idx="32">
                  <c:v>Medi Adriatico</c:v>
                </c:pt>
                <c:pt idx="33">
                  <c:v>Medi Atlantico</c:v>
                </c:pt>
                <c:pt idx="34">
                  <c:v>Medi Egadi</c:v>
                </c:pt>
                <c:pt idx="35">
                  <c:v>Medi Egeo</c:v>
                </c:pt>
                <c:pt idx="36">
                  <c:v>Medi Matsuura</c:v>
                </c:pt>
                <c:pt idx="37">
                  <c:v>Medi Palmarola</c:v>
                </c:pt>
                <c:pt idx="38">
                  <c:v>Medi Sydney</c:v>
                </c:pt>
                <c:pt idx="39">
                  <c:v>Medi Tirreno</c:v>
                </c:pt>
                <c:pt idx="40">
                  <c:v>Medi Zuoz</c:v>
                </c:pt>
                <c:pt idx="41">
                  <c:v>Medi Caboto</c:v>
                </c:pt>
              </c:strCache>
            </c:strRef>
          </c:cat>
          <c:val>
            <c:numRef>
              <c:f>'Int.Aud. Category'!$BL$19:$BL$60</c:f>
              <c:numCache>
                <c:formatCode>General</c:formatCode>
                <c:ptCount val="42"/>
                <c:pt idx="0">
                  <c:v>0</c:v>
                </c:pt>
                <c:pt idx="1">
                  <c:v>0</c:v>
                </c:pt>
                <c:pt idx="2">
                  <c:v>5</c:v>
                </c:pt>
                <c:pt idx="3">
                  <c:v>6</c:v>
                </c:pt>
                <c:pt idx="4">
                  <c:v>5</c:v>
                </c:pt>
                <c:pt idx="5">
                  <c:v>6</c:v>
                </c:pt>
                <c:pt idx="6">
                  <c:v>5</c:v>
                </c:pt>
                <c:pt idx="7">
                  <c:v>6</c:v>
                </c:pt>
                <c:pt idx="8">
                  <c:v>4</c:v>
                </c:pt>
                <c:pt idx="9">
                  <c:v>3</c:v>
                </c:pt>
                <c:pt idx="10">
                  <c:v>3</c:v>
                </c:pt>
                <c:pt idx="11">
                  <c:v>4</c:v>
                </c:pt>
                <c:pt idx="12">
                  <c:v>4</c:v>
                </c:pt>
                <c:pt idx="13">
                  <c:v>6</c:v>
                </c:pt>
                <c:pt idx="14">
                  <c:v>9</c:v>
                </c:pt>
                <c:pt idx="15">
                  <c:v>4</c:v>
                </c:pt>
                <c:pt idx="16">
                  <c:v>5</c:v>
                </c:pt>
                <c:pt idx="17">
                  <c:v>0</c:v>
                </c:pt>
                <c:pt idx="18">
                  <c:v>7</c:v>
                </c:pt>
                <c:pt idx="19">
                  <c:v>4</c:v>
                </c:pt>
                <c:pt idx="20">
                  <c:v>10</c:v>
                </c:pt>
                <c:pt idx="21">
                  <c:v>3</c:v>
                </c:pt>
                <c:pt idx="22">
                  <c:v>5</c:v>
                </c:pt>
                <c:pt idx="23">
                  <c:v>2</c:v>
                </c:pt>
                <c:pt idx="24">
                  <c:v>0</c:v>
                </c:pt>
                <c:pt idx="25">
                  <c:v>3</c:v>
                </c:pt>
                <c:pt idx="26">
                  <c:v>3</c:v>
                </c:pt>
                <c:pt idx="27">
                  <c:v>6</c:v>
                </c:pt>
                <c:pt idx="28">
                  <c:v>1</c:v>
                </c:pt>
                <c:pt idx="29">
                  <c:v>4</c:v>
                </c:pt>
                <c:pt idx="30">
                  <c:v>0</c:v>
                </c:pt>
                <c:pt idx="31">
                  <c:v>4</c:v>
                </c:pt>
                <c:pt idx="32">
                  <c:v>3</c:v>
                </c:pt>
                <c:pt idx="33">
                  <c:v>5</c:v>
                </c:pt>
                <c:pt idx="34">
                  <c:v>3</c:v>
                </c:pt>
                <c:pt idx="35">
                  <c:v>3</c:v>
                </c:pt>
                <c:pt idx="36">
                  <c:v>4</c:v>
                </c:pt>
                <c:pt idx="37">
                  <c:v>5</c:v>
                </c:pt>
                <c:pt idx="38">
                  <c:v>12</c:v>
                </c:pt>
                <c:pt idx="39">
                  <c:v>3</c:v>
                </c:pt>
                <c:pt idx="40">
                  <c:v>4</c:v>
                </c:pt>
                <c:pt idx="41">
                  <c:v>0</c:v>
                </c:pt>
              </c:numCache>
            </c:numRef>
          </c:val>
        </c:ser>
        <c:dLbls>
          <c:showLegendKey val="0"/>
          <c:showVal val="0"/>
          <c:showCatName val="0"/>
          <c:showSerName val="0"/>
          <c:showPercent val="0"/>
          <c:showBubbleSize val="0"/>
        </c:dLbls>
        <c:gapWidth val="150"/>
        <c:axId val="562693400"/>
        <c:axId val="562694184"/>
      </c:barChart>
      <c:catAx>
        <c:axId val="562693400"/>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2694184"/>
        <c:crosses val="autoZero"/>
        <c:auto val="1"/>
        <c:lblAlgn val="ctr"/>
        <c:lblOffset val="100"/>
        <c:noMultiLvlLbl val="0"/>
      </c:catAx>
      <c:valAx>
        <c:axId val="562694184"/>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2693400"/>
        <c:crosses val="autoZero"/>
        <c:crossBetween val="between"/>
      </c:valAx>
    </c:plotArea>
    <c:plotVisOnly val="1"/>
    <c:dispBlanksAs val="gap"/>
    <c:showDLblsOverMax val="0"/>
    <c:extLst>
      <c:ext uri="{0b15fc19-7d7d-44ad-8c2d-2c3a37ce22c3}">
        <chartProps xmlns="https://web.wps.cn/et/2018/main" chartId="{302bd900-2169-438a-b75b-e38603bacf9e}"/>
      </c:ext>
    </c:extLst>
  </c:chart>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it-IT" sz="1200" baseline="0"/>
              <a:t>IA Fleet Quarterly Trend</a:t>
            </a:r>
            <a:endParaRPr lang="it-IT" sz="1200"/>
          </a:p>
        </c:rich>
      </c:tx>
      <c:layout/>
      <c:overlay val="0"/>
    </c:title>
    <c:autoTitleDeleted val="0"/>
    <c:plotArea>
      <c:layout/>
      <c:barChart>
        <c:barDir val="col"/>
        <c:grouping val="clustered"/>
        <c:varyColors val="0"/>
        <c:ser>
          <c:idx val="3"/>
          <c:order val="2"/>
          <c:tx>
            <c:strRef>
              <c:f>'Int.Aud. Category'!$D$64</c:f>
              <c:strCache>
                <c:ptCount val="1"/>
                <c:pt idx="0">
                  <c:v>2022</c:v>
                </c:pt>
              </c:strCache>
            </c:strRef>
          </c:tx>
          <c:spPr>
            <a:solidFill>
              <a:srgbClr val="FF0000"/>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'Int.Aud. Category'!$A$65:$A$68</c:f>
              <c:strCache>
                <c:ptCount val="4"/>
                <c:pt idx="0">
                  <c:v>Vessels</c:v>
                </c:pt>
                <c:pt idx="1">
                  <c:v>Audits</c:v>
                </c:pt>
                <c:pt idx="2">
                  <c:v>Deficiencies</c:v>
                </c:pt>
                <c:pt idx="3">
                  <c:v>Def x Insp</c:v>
                </c:pt>
              </c:strCache>
            </c:strRef>
          </c:cat>
          <c:val>
            <c:numRef>
              <c:f>'Int.Aud. Category'!$D$65:$D$68</c:f>
              <c:numCache>
                <c:formatCode>General</c:formatCode>
                <c:ptCount val="4"/>
                <c:pt idx="0">
                  <c:v>36</c:v>
                </c:pt>
                <c:pt idx="1">
                  <c:v>47</c:v>
                </c:pt>
                <c:pt idx="2" c:formatCode="0">
                  <c:v>201</c:v>
                </c:pt>
                <c:pt idx="3" c:formatCode="0.00">
                  <c:v>4.27659574468085</c:v>
                </c:pt>
              </c:numCache>
            </c:numRef>
          </c:val>
        </c:ser>
        <c:ser>
          <c:idx val="4"/>
          <c:order val="3"/>
          <c:tx>
            <c:strRef>
              <c:f>'Int.Aud. Category'!$E$64</c:f>
              <c:strCache>
                <c:ptCount val="1"/>
                <c:pt idx="0">
                  <c:v>2023</c:v>
                </c:pt>
              </c:strCache>
            </c:strRef>
          </c:tx>
          <c:spPr>
            <a:ln>
              <a:solidFill>
                <a:schemeClr val="accent4">
                  <a:lumMod val="50000"/>
                </a:schemeClr>
              </a:solidFill>
            </a:ln>
          </c:spPr>
          <c:invertIfNegative val="0"/>
          <c:dLbls>
            <c:dLbl>
              <c:idx val="3"/>
              <c:layout>
                <c:manualLayout>
                  <c:x val="-0.0578452566003944"/>
                  <c:y val="-0.0909535312240678"/>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'Int.Aud. Category'!$A$65:$A$68</c:f>
              <c:strCache>
                <c:ptCount val="4"/>
                <c:pt idx="0">
                  <c:v>Vessels</c:v>
                </c:pt>
                <c:pt idx="1">
                  <c:v>Audits</c:v>
                </c:pt>
                <c:pt idx="2">
                  <c:v>Deficiencies</c:v>
                </c:pt>
                <c:pt idx="3">
                  <c:v>Def x Insp</c:v>
                </c:pt>
              </c:strCache>
            </c:strRef>
          </c:cat>
          <c:val>
            <c:numRef>
              <c:f>'Int.Aud. Category'!$E$65:$E$68</c:f>
              <c:numCache>
                <c:formatCode>General</c:formatCode>
                <c:ptCount val="4"/>
                <c:pt idx="0">
                  <c:v>35</c:v>
                </c:pt>
                <c:pt idx="1" c:formatCode="0">
                  <c:v>35</c:v>
                </c:pt>
                <c:pt idx="2" c:formatCode="0">
                  <c:v>104</c:v>
                </c:pt>
                <c:pt idx="3" c:formatCode="0.00">
                  <c:v>2.97142857142857</c:v>
                </c:pt>
              </c:numCache>
            </c:numRef>
          </c:val>
        </c:ser>
        <c:dLbls>
          <c:showLegendKey val="0"/>
          <c:showVal val="0"/>
          <c:showCatName val="0"/>
          <c:showSerName val="0"/>
          <c:showPercent val="0"/>
          <c:showBubbleSize val="0"/>
        </c:dLbls>
        <c:gapWidth val="150"/>
        <c:axId val="562695752"/>
        <c:axId val="562697712"/>
        <c:extLst>
          <c:ext xmlns:c15="http://schemas.microsoft.com/office/drawing/2012/chart" uri="{02D57815-91ED-43cb-92C2-25804820EDAC}">
            <c15:filteredBarSeries>
              <c15:ser>
                <c:idx val="0"/>
                <c:order val="0"/>
                <c:tx>
                  <c:strRef>
                    <c:extLst>
                      <c:ext uri="{02D57815-91ED-43cb-92C2-25804820EDAC}">
                        <c15:formulaRef>
                          <c15:sqref>'Int.Aud. Category'!$B$64</c15:sqref>
                        </c15:formulaRef>
                      </c:ext>
                    </c:extLst>
                    <c:strCache>
                      <c:ptCount val="1"/>
                      <c:pt idx="0">
                        <c:v>2020</c:v>
                      </c:pt>
                    </c:strCache>
                  </c:strRef>
                </c:tx>
                <c:spPr>
                  <a:solidFill>
                    <a:srgbClr val="92D050"/>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extLst>
                      <c:ext uri="{02D57815-91ED-43cb-92C2-25804820EDAC}">
                        <c15:fullRef>
                          <c15:sqref/>
                        </c15:fullRef>
                        <c15:formulaRef>
                          <c15:sqref>'Int.Aud. Category'!$A$65:$A$68</c15:sqref>
                        </c15:formulaRef>
                      </c:ext>
                    </c:extLst>
                    <c:strCache>
                      <c:ptCount val="4"/>
                      <c:pt idx="0">
                        <c:v>Vessels</c:v>
                      </c:pt>
                      <c:pt idx="1">
                        <c:v>Audits</c:v>
                      </c:pt>
                      <c:pt idx="2">
                        <c:v>Deficiencies</c:v>
                      </c:pt>
                      <c:pt idx="3">
                        <c:v>Def x Insp</c:v>
                      </c:pt>
                    </c:strCache>
                  </c:strRef>
                </c:cat>
                <c:val>
                  <c:numRef>
                    <c:extLst>
                      <c:ext uri="{02D57815-91ED-43cb-92C2-25804820EDAC}">
                        <c15:formulaRef>
                          <c15:sqref>'Int.Aud. Category'!$B$65:$B$68</c15:sqref>
                        </c15:formulaRef>
                      </c:ext>
                    </c:extLst>
                    <c:numCache>
                      <c:formatCode>General</c:formatCode>
                      <c:ptCount val="4"/>
                      <c:pt idx="0">
                        <c:v>28</c:v>
                      </c:pt>
                      <c:pt idx="1">
                        <c:v>36</c:v>
                      </c:pt>
                      <c:pt idx="2" c:formatCode="0">
                        <c:v>132</c:v>
                      </c:pt>
                      <c:pt idx="3" c:formatCode="0.00">
                        <c:v>3.66666666666667</c:v>
                      </c:pt>
                    </c:numCache>
                  </c:numRef>
                </c:val>
              </c15:ser>
            </c15:filteredBarSeries>
            <c15:filteredBarSeries>
              <c15:ser>
                <c:idx val="1"/>
                <c:order val="1"/>
                <c:tx>
                  <c:strRef>
                    <c:extLst>
                      <c:ext uri="{02D57815-91ED-43cb-92C2-25804820EDAC}">
                        <c15:formulaRef>
                          <c15:sqref>'Int.Aud. Category'!$C$64</c15:sqref>
                        </c15:formulaRef>
                      </c:ext>
                    </c:extLst>
                    <c:strCache>
                      <c:ptCount val="1"/>
                      <c:pt idx="0">
                        <c:v>2021</c:v>
                      </c:pt>
                    </c:strCache>
                  </c:strRef>
                </c:tx>
                <c:spPr>
                  <a:solidFill>
                    <a:schemeClr val="accent1"/>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extLst>
                      <c:ext uri="{02D57815-91ED-43cb-92C2-25804820EDAC}">
                        <c15:fullRef>
                          <c15:sqref/>
                        </c15:fullRef>
                        <c15:formulaRef>
                          <c15:sqref>'Int.Aud. Category'!$A$65:$A$68</c15:sqref>
                        </c15:formulaRef>
                      </c:ext>
                    </c:extLst>
                    <c:strCache>
                      <c:ptCount val="4"/>
                      <c:pt idx="0">
                        <c:v>Vessels</c:v>
                      </c:pt>
                      <c:pt idx="1">
                        <c:v>Audits</c:v>
                      </c:pt>
                      <c:pt idx="2">
                        <c:v>Deficiencies</c:v>
                      </c:pt>
                      <c:pt idx="3">
                        <c:v>Def x Insp</c:v>
                      </c:pt>
                    </c:strCache>
                  </c:strRef>
                </c:cat>
                <c:val>
                  <c:numRef>
                    <c:extLst>
                      <c:ext uri="{02D57815-91ED-43cb-92C2-25804820EDAC}">
                        <c15:formulaRef>
                          <c15:sqref>'Int.Aud. Category'!$C$65:$C$68</c15:sqref>
                        </c15:formulaRef>
                      </c:ext>
                    </c:extLst>
                    <c:numCache>
                      <c:formatCode>General</c:formatCode>
                      <c:ptCount val="4"/>
                      <c:pt idx="0">
                        <c:v>25</c:v>
                      </c:pt>
                      <c:pt idx="1">
                        <c:v>41</c:v>
                      </c:pt>
                      <c:pt idx="2">
                        <c:v>143</c:v>
                      </c:pt>
                      <c:pt idx="3" c:formatCode="0.00">
                        <c:v>3.48780487804878</c:v>
                      </c:pt>
                    </c:numCache>
                  </c:numRef>
                </c:val>
              </c15:ser>
            </c15:filteredBarSeries>
          </c:ext>
        </c:extLst>
      </c:barChart>
      <c:lineChart>
        <c:grouping val="standard"/>
        <c:varyColors val="0"/>
        <c:ser>
          <c:idx val="2"/>
          <c:order val="4"/>
          <c:tx>
            <c:strRef>
              <c:f>'Int.Aud. Category'!$F$64</c:f>
              <c:strCache>
                <c:ptCount val="1"/>
                <c:pt idx="0">
                  <c:v>2024</c:v>
                </c:pt>
              </c:strCache>
            </c:strRef>
          </c:tx>
          <c:dLbls>
            <c:delete val="1"/>
          </c:dLbls>
          <c:cat>
            <c:strRef>
              <c:f>'Int.Aud. Category'!$A$65:$A$68</c:f>
              <c:strCache>
                <c:ptCount val="4"/>
                <c:pt idx="0">
                  <c:v>Vessels</c:v>
                </c:pt>
                <c:pt idx="1">
                  <c:v>Audits</c:v>
                </c:pt>
                <c:pt idx="2">
                  <c:v>Deficiencies</c:v>
                </c:pt>
                <c:pt idx="3">
                  <c:v>Def x Insp</c:v>
                </c:pt>
              </c:strCache>
            </c:strRef>
          </c:cat>
          <c:val>
            <c:numRef>
              <c:f>'Int.Aud. Category'!$F$65:$F$68</c:f>
              <c:numCache>
                <c:formatCode>General</c:formatCode>
                <c:ptCount val="4"/>
                <c:pt idx="0">
                  <c:v>37</c:v>
                </c:pt>
                <c:pt idx="1" c:formatCode="0">
                  <c:v>41</c:v>
                </c:pt>
                <c:pt idx="2" c:formatCode="0">
                  <c:v>169</c:v>
                </c:pt>
                <c:pt idx="3" c:formatCode="0.00">
                  <c:v>4.1219512195122</c:v>
                </c:pt>
              </c:numCache>
            </c:numRef>
          </c:val>
          <c:smooth val="0"/>
        </c:ser>
        <c:dLbls>
          <c:showLegendKey val="0"/>
          <c:showVal val="0"/>
          <c:showCatName val="0"/>
          <c:showSerName val="0"/>
          <c:showPercent val="0"/>
          <c:showBubbleSize val="0"/>
        </c:dLbls>
        <c:marker val="1"/>
        <c:smooth val="0"/>
        <c:axId val="562695752"/>
        <c:axId val="562697712"/>
      </c:lineChart>
      <c:catAx>
        <c:axId val="562695752"/>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2697712"/>
        <c:crosses val="autoZero"/>
        <c:auto val="1"/>
        <c:lblAlgn val="ctr"/>
        <c:lblOffset val="100"/>
        <c:noMultiLvlLbl val="0"/>
      </c:catAx>
      <c:valAx>
        <c:axId val="562697712"/>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269575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3dc02d1-602d-46d8-b432-bd087a85e07c}"/>
      </c:ext>
    </c:extLst>
  </c:chart>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it-IT" sz="1200"/>
              <a:t>IA Tankers</a:t>
            </a:r>
            <a:r>
              <a:rPr lang="it-IT" sz="1200" baseline="0"/>
              <a:t> Quarterly Trend</a:t>
            </a:r>
            <a:endParaRPr lang="it-IT" sz="1200"/>
          </a:p>
        </c:rich>
      </c:tx>
      <c:layout/>
      <c:overlay val="0"/>
    </c:title>
    <c:autoTitleDeleted val="0"/>
    <c:plotArea>
      <c:layout>
        <c:manualLayout>
          <c:layoutTarget val="inner"/>
          <c:xMode val="edge"/>
          <c:yMode val="edge"/>
          <c:x val="0.0718725717843298"/>
          <c:y val="0.111519561242976"/>
          <c:w val="0.893512046221075"/>
          <c:h val="0.738818303144359"/>
        </c:manualLayout>
      </c:layout>
      <c:barChart>
        <c:barDir val="col"/>
        <c:grouping val="clustered"/>
        <c:varyColors val="0"/>
        <c:ser>
          <c:idx val="2"/>
          <c:order val="2"/>
          <c:tx>
            <c:strRef>
              <c:f>'Int.Aud. Category'!$D$71</c:f>
              <c:strCache>
                <c:ptCount val="1"/>
                <c:pt idx="0">
                  <c:v>2022</c:v>
                </c:pt>
              </c:strCache>
            </c:strRef>
          </c:tx>
          <c:spPr>
            <a:solidFill>
              <a:srgbClr val="FF0000"/>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strRef>
              <c:f>'Int.Aud. Category'!$A$72:$A$75</c:f>
              <c:strCache>
                <c:ptCount val="4"/>
                <c:pt idx="0">
                  <c:v>Vessels</c:v>
                </c:pt>
                <c:pt idx="1">
                  <c:v>Audits</c:v>
                </c:pt>
                <c:pt idx="2">
                  <c:v>Deficiencies</c:v>
                </c:pt>
                <c:pt idx="3">
                  <c:v>Def x Insp</c:v>
                </c:pt>
              </c:strCache>
            </c:strRef>
          </c:cat>
          <c:val>
            <c:numRef>
              <c:f>'Int.Aud. Category'!$D$72:$D$75</c:f>
              <c:numCache>
                <c:formatCode>General</c:formatCode>
                <c:ptCount val="4"/>
                <c:pt idx="0">
                  <c:v>23</c:v>
                </c:pt>
                <c:pt idx="1">
                  <c:v>28</c:v>
                </c:pt>
                <c:pt idx="2">
                  <c:v>122</c:v>
                </c:pt>
                <c:pt idx="3" c:formatCode="0.00">
                  <c:v>4.35714285714286</c:v>
                </c:pt>
              </c:numCache>
            </c:numRef>
          </c:val>
        </c:ser>
        <c:ser>
          <c:idx val="0"/>
          <c:order val="3"/>
          <c:tx>
            <c:strRef>
              <c:f>'Int.Aud. Category'!$E$71</c:f>
              <c:strCache>
                <c:ptCount val="1"/>
                <c:pt idx="0">
                  <c:v>2023</c:v>
                </c:pt>
              </c:strCache>
            </c:strRef>
          </c:tx>
          <c:spPr>
            <a:ln>
              <a:solidFill>
                <a:sysClr val="windowText" lastClr="000000">
                  <a:lumMod val="75000"/>
                  <a:lumOff val="25000"/>
                </a:sysClr>
              </a:solid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strRef>
              <c:f>'Int.Aud. Category'!$A$72:$A$75</c:f>
              <c:strCache>
                <c:ptCount val="4"/>
                <c:pt idx="0">
                  <c:v>Vessels</c:v>
                </c:pt>
                <c:pt idx="1">
                  <c:v>Audits</c:v>
                </c:pt>
                <c:pt idx="2">
                  <c:v>Deficiencies</c:v>
                </c:pt>
                <c:pt idx="3">
                  <c:v>Def x Insp</c:v>
                </c:pt>
              </c:strCache>
            </c:strRef>
          </c:cat>
          <c:val>
            <c:numRef>
              <c:f>'Int.Aud. Category'!$E$72:$E$75</c:f>
              <c:numCache>
                <c:formatCode>General</c:formatCode>
                <c:ptCount val="4"/>
                <c:pt idx="0">
                  <c:v>25</c:v>
                </c:pt>
                <c:pt idx="1" c:formatCode="0">
                  <c:v>26</c:v>
                </c:pt>
                <c:pt idx="2" c:formatCode="0">
                  <c:v>77</c:v>
                </c:pt>
                <c:pt idx="3" c:formatCode="0.00">
                  <c:v>2.96153846153846</c:v>
                </c:pt>
              </c:numCache>
            </c:numRef>
          </c:val>
        </c:ser>
        <c:dLbls>
          <c:showLegendKey val="0"/>
          <c:showVal val="0"/>
          <c:showCatName val="0"/>
          <c:showSerName val="0"/>
          <c:showPercent val="0"/>
          <c:showBubbleSize val="0"/>
        </c:dLbls>
        <c:gapWidth val="150"/>
        <c:axId val="562691832"/>
        <c:axId val="562697320"/>
        <c:extLst>
          <c:ext xmlns:c15="http://schemas.microsoft.com/office/drawing/2012/chart" uri="{02D57815-91ED-43cb-92C2-25804820EDAC}">
            <c15:filteredBarSeries>
              <c15:ser>
                <c:idx val="3"/>
                <c:order val="0"/>
                <c:tx>
                  <c:strRef>
                    <c:extLst>
                      <c:ext uri="{02D57815-91ED-43cb-92C2-25804820EDAC}">
                        <c15:formulaRef>
                          <c15:sqref>'Int.Aud. Category'!$B$71</c15:sqref>
                        </c15:formulaRef>
                      </c:ext>
                    </c:extLst>
                    <c:strCache>
                      <c:ptCount val="1"/>
                      <c:pt idx="0">
                        <c:v>2020</c:v>
                      </c:pt>
                    </c:strCache>
                  </c:strRef>
                </c:tx>
                <c:spPr>
                  <a:solidFill>
                    <a:srgbClr val="92D050"/>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extLst>
                      <c:ext uri="{02D57815-91ED-43cb-92C2-25804820EDAC}">
                        <c15:fullRef>
                          <c15:sqref/>
                        </c15:fullRef>
                        <c15:formulaRef>
                          <c15:sqref>'Int.Aud. Category'!$A$72:$A$75</c15:sqref>
                        </c15:formulaRef>
                      </c:ext>
                    </c:extLst>
                    <c:strCache>
                      <c:ptCount val="4"/>
                      <c:pt idx="0">
                        <c:v>Vessels</c:v>
                      </c:pt>
                      <c:pt idx="1">
                        <c:v>Audits</c:v>
                      </c:pt>
                      <c:pt idx="2">
                        <c:v>Deficiencies</c:v>
                      </c:pt>
                      <c:pt idx="3">
                        <c:v>Def x Insp</c:v>
                      </c:pt>
                    </c:strCache>
                  </c:strRef>
                </c:cat>
                <c:val>
                  <c:numRef>
                    <c:extLst>
                      <c:ext uri="{02D57815-91ED-43cb-92C2-25804820EDAC}">
                        <c15:formulaRef>
                          <c15:sqref>'Int.Aud. Category'!$B$72:$B$75</c15:sqref>
                        </c15:formulaRef>
                      </c:ext>
                    </c:extLst>
                    <c:numCache>
                      <c:formatCode>General</c:formatCode>
                      <c:ptCount val="4"/>
                      <c:pt idx="0">
                        <c:v>17</c:v>
                      </c:pt>
                      <c:pt idx="1">
                        <c:v>21</c:v>
                      </c:pt>
                      <c:pt idx="2" c:formatCode="0">
                        <c:v>68</c:v>
                      </c:pt>
                      <c:pt idx="3" c:formatCode="0.00">
                        <c:v>3.23809523809524</c:v>
                      </c:pt>
                    </c:numCache>
                  </c:numRef>
                </c:val>
              </c15:ser>
            </c15:filteredBarSeries>
            <c15:filteredBarSeries>
              <c15:ser>
                <c:idx val="4"/>
                <c:order val="1"/>
                <c:tx>
                  <c:strRef>
                    <c:extLst>
                      <c:ext uri="{02D57815-91ED-43cb-92C2-25804820EDAC}">
                        <c15:formulaRef>
                          <c15:sqref>'Int.Aud. Category'!$C$71</c15:sqref>
                        </c15:formulaRef>
                      </c:ext>
                    </c:extLst>
                    <c:strCache>
                      <c:ptCount val="1"/>
                      <c:pt idx="0">
                        <c:v>2021</c:v>
                      </c:pt>
                    </c:strCache>
                  </c:strRef>
                </c:tx>
                <c:spPr>
                  <a:solidFill>
                    <a:srgbClr val="4F81BD">
                      <a:lumMod val="75000"/>
                    </a:srgbClr>
                  </a:solidFill>
                  <a:ln cap="rnd">
                    <a:solidFill>
                      <a:srgbClr val="8064A2">
                        <a:lumMod val="50000"/>
                      </a:srgbClr>
                    </a:solid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extLst>
                      <c:ext uri="{02D57815-91ED-43cb-92C2-25804820EDAC}">
                        <c15:fullRef>
                          <c15:sqref/>
                        </c15:fullRef>
                        <c15:formulaRef>
                          <c15:sqref>'Int.Aud. Category'!$A$72:$A$75</c15:sqref>
                        </c15:formulaRef>
                      </c:ext>
                    </c:extLst>
                    <c:strCache>
                      <c:ptCount val="4"/>
                      <c:pt idx="0">
                        <c:v>Vessels</c:v>
                      </c:pt>
                      <c:pt idx="1">
                        <c:v>Audits</c:v>
                      </c:pt>
                      <c:pt idx="2">
                        <c:v>Deficiencies</c:v>
                      </c:pt>
                      <c:pt idx="3">
                        <c:v>Def x Insp</c:v>
                      </c:pt>
                    </c:strCache>
                  </c:strRef>
                </c:cat>
                <c:val>
                  <c:numRef>
                    <c:extLst>
                      <c:ext uri="{02D57815-91ED-43cb-92C2-25804820EDAC}">
                        <c15:formulaRef>
                          <c15:sqref>'Int.Aud. Category'!$C$72:$C$75</c15:sqref>
                        </c15:formulaRef>
                      </c:ext>
                    </c:extLst>
                    <c:numCache>
                      <c:formatCode>General</c:formatCode>
                      <c:ptCount val="4"/>
                      <c:pt idx="0">
                        <c:v>16</c:v>
                      </c:pt>
                      <c:pt idx="1">
                        <c:v>26</c:v>
                      </c:pt>
                      <c:pt idx="2">
                        <c:v>93</c:v>
                      </c:pt>
                      <c:pt idx="3" c:formatCode="0.00">
                        <c:v>3.57692307692308</c:v>
                      </c:pt>
                    </c:numCache>
                  </c:numRef>
                </c:val>
              </c15:ser>
            </c15:filteredBarSeries>
          </c:ext>
        </c:extLst>
      </c:barChart>
      <c:lineChart>
        <c:grouping val="standard"/>
        <c:varyColors val="0"/>
        <c:ser>
          <c:idx val="1"/>
          <c:order val="4"/>
          <c:tx>
            <c:strRef>
              <c:f>'Int.Aud. Category'!$F$71</c:f>
              <c:strCache>
                <c:ptCount val="1"/>
                <c:pt idx="0">
                  <c:v>2024</c:v>
                </c:pt>
              </c:strCache>
            </c:strRef>
          </c:tx>
          <c:dLbls>
            <c:delete val="1"/>
          </c:dLbls>
          <c:cat>
            <c:strRef>
              <c:f>'Int.Aud. Category'!$A$72:$A$75</c:f>
              <c:strCache>
                <c:ptCount val="4"/>
                <c:pt idx="0">
                  <c:v>Vessels</c:v>
                </c:pt>
                <c:pt idx="1">
                  <c:v>Audits</c:v>
                </c:pt>
                <c:pt idx="2">
                  <c:v>Deficiencies</c:v>
                </c:pt>
                <c:pt idx="3">
                  <c:v>Def x Insp</c:v>
                </c:pt>
              </c:strCache>
            </c:strRef>
          </c:cat>
          <c:val>
            <c:numRef>
              <c:f>'Int.Aud. Category'!$F$72:$F$75</c:f>
              <c:numCache>
                <c:formatCode>General</c:formatCode>
                <c:ptCount val="4"/>
                <c:pt idx="0">
                  <c:v>26</c:v>
                </c:pt>
                <c:pt idx="1" c:formatCode="0">
                  <c:v>31</c:v>
                </c:pt>
                <c:pt idx="2" c:formatCode="0">
                  <c:v>123</c:v>
                </c:pt>
                <c:pt idx="3" c:formatCode="0.00">
                  <c:v>3.96774193548387</c:v>
                </c:pt>
              </c:numCache>
            </c:numRef>
          </c:val>
          <c:smooth val="0"/>
        </c:ser>
        <c:dLbls>
          <c:showLegendKey val="0"/>
          <c:showVal val="0"/>
          <c:showCatName val="0"/>
          <c:showSerName val="0"/>
          <c:showPercent val="0"/>
          <c:showBubbleSize val="0"/>
        </c:dLbls>
        <c:marker val="1"/>
        <c:smooth val="0"/>
        <c:axId val="562691832"/>
        <c:axId val="562697320"/>
      </c:lineChart>
      <c:catAx>
        <c:axId val="562691832"/>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2697320"/>
        <c:crosses val="autoZero"/>
        <c:auto val="1"/>
        <c:lblAlgn val="ctr"/>
        <c:lblOffset val="100"/>
        <c:noMultiLvlLbl val="0"/>
      </c:catAx>
      <c:valAx>
        <c:axId val="562697320"/>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269183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c477037-4ea2-433a-8502-048eee26d728}"/>
      </c:ext>
    </c:extLst>
  </c:chart>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it-IT" sz="1200"/>
              <a:t>IA Dr</a:t>
            </a:r>
            <a:r>
              <a:rPr lang="it-IT" sz="1200" baseline="0"/>
              <a:t>y Quarterly Trend</a:t>
            </a:r>
            <a:endParaRPr lang="it-IT" sz="1200"/>
          </a:p>
        </c:rich>
      </c:tx>
      <c:layout/>
      <c:overlay val="0"/>
    </c:title>
    <c:autoTitleDeleted val="0"/>
    <c:plotArea>
      <c:layout/>
      <c:barChart>
        <c:barDir val="col"/>
        <c:grouping val="clustered"/>
        <c:varyColors val="0"/>
        <c:ser>
          <c:idx val="3"/>
          <c:order val="2"/>
          <c:tx>
            <c:strRef>
              <c:f>'Int.Aud. Category'!$D$78</c:f>
              <c:strCache>
                <c:ptCount val="1"/>
                <c:pt idx="0">
                  <c:v>2022</c:v>
                </c:pt>
              </c:strCache>
            </c:strRef>
          </c:tx>
          <c:spPr>
            <a:solidFill>
              <a:srgbClr val="FF0000"/>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'Int.Aud. Category'!$A$79:$A$82</c:f>
              <c:strCache>
                <c:ptCount val="4"/>
                <c:pt idx="0">
                  <c:v>Vessels</c:v>
                </c:pt>
                <c:pt idx="1">
                  <c:v>Audits</c:v>
                </c:pt>
                <c:pt idx="2">
                  <c:v>Deficiencies</c:v>
                </c:pt>
                <c:pt idx="3">
                  <c:v>Def x Insp</c:v>
                </c:pt>
              </c:strCache>
            </c:strRef>
          </c:cat>
          <c:val>
            <c:numRef>
              <c:f>'Int.Aud. Category'!$D$79:$D$82</c:f>
              <c:numCache>
                <c:formatCode>General</c:formatCode>
                <c:ptCount val="4"/>
                <c:pt idx="0">
                  <c:v>13</c:v>
                </c:pt>
                <c:pt idx="1">
                  <c:v>19</c:v>
                </c:pt>
                <c:pt idx="2">
                  <c:v>79</c:v>
                </c:pt>
                <c:pt idx="3" c:formatCode="0.00">
                  <c:v>4.15789473684211</c:v>
                </c:pt>
              </c:numCache>
            </c:numRef>
          </c:val>
        </c:ser>
        <c:ser>
          <c:idx val="4"/>
          <c:order val="3"/>
          <c:tx>
            <c:strRef>
              <c:f>'Int.Aud. Category'!$E$78</c:f>
              <c:strCache>
                <c:ptCount val="1"/>
                <c:pt idx="0">
                  <c:v>2023</c:v>
                </c:pt>
              </c:strCache>
            </c:strRef>
          </c:tx>
          <c:spPr>
            <a:ln>
              <a:solidFill>
                <a:schemeClr val="accent4">
                  <a:lumMod val="50000"/>
                </a:schemeClr>
              </a:solid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'Int.Aud. Category'!$A$79:$A$82</c:f>
              <c:strCache>
                <c:ptCount val="4"/>
                <c:pt idx="0">
                  <c:v>Vessels</c:v>
                </c:pt>
                <c:pt idx="1">
                  <c:v>Audits</c:v>
                </c:pt>
                <c:pt idx="2">
                  <c:v>Deficiencies</c:v>
                </c:pt>
                <c:pt idx="3">
                  <c:v>Def x Insp</c:v>
                </c:pt>
              </c:strCache>
            </c:strRef>
          </c:cat>
          <c:val>
            <c:numRef>
              <c:f>'Int.Aud. Category'!$E$79:$E$82</c:f>
              <c:numCache>
                <c:formatCode>General</c:formatCode>
                <c:ptCount val="4"/>
                <c:pt idx="0">
                  <c:v>10</c:v>
                </c:pt>
                <c:pt idx="1">
                  <c:v>9</c:v>
                </c:pt>
                <c:pt idx="2" c:formatCode="0">
                  <c:v>27</c:v>
                </c:pt>
                <c:pt idx="3" c:formatCode="0.00">
                  <c:v>3</c:v>
                </c:pt>
              </c:numCache>
            </c:numRef>
          </c:val>
        </c:ser>
        <c:dLbls>
          <c:showLegendKey val="0"/>
          <c:showVal val="0"/>
          <c:showCatName val="0"/>
          <c:showSerName val="0"/>
          <c:showPercent val="0"/>
          <c:showBubbleSize val="0"/>
        </c:dLbls>
        <c:gapWidth val="150"/>
        <c:axId val="565613432"/>
        <c:axId val="565614216"/>
        <c:extLst>
          <c:ext xmlns:c15="http://schemas.microsoft.com/office/drawing/2012/chart" uri="{02D57815-91ED-43cb-92C2-25804820EDAC}">
            <c15:filteredBarSeries>
              <c15:ser>
                <c:idx val="0"/>
                <c:order val="0"/>
                <c:tx>
                  <c:strRef>
                    <c:extLst>
                      <c:ext uri="{02D57815-91ED-43cb-92C2-25804820EDAC}">
                        <c15:formulaRef>
                          <c15:sqref>'Int.Aud. Category'!$B$78</c15:sqref>
                        </c15:formulaRef>
                      </c:ext>
                    </c:extLst>
                    <c:strCache>
                      <c:ptCount val="1"/>
                      <c:pt idx="0">
                        <c:v>2020</c:v>
                      </c:pt>
                    </c:strCache>
                  </c:strRef>
                </c:tx>
                <c:spPr>
                  <a:solidFill>
                    <a:srgbClr val="92D050"/>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extLst>
                      <c:ext uri="{02D57815-91ED-43cb-92C2-25804820EDAC}">
                        <c15:fullRef>
                          <c15:sqref/>
                        </c15:fullRef>
                        <c15:formulaRef>
                          <c15:sqref>'Int.Aud. Category'!$A$79:$A$82</c15:sqref>
                        </c15:formulaRef>
                      </c:ext>
                    </c:extLst>
                    <c:strCache>
                      <c:ptCount val="4"/>
                      <c:pt idx="0">
                        <c:v>Vessels</c:v>
                      </c:pt>
                      <c:pt idx="1">
                        <c:v>Audits</c:v>
                      </c:pt>
                      <c:pt idx="2">
                        <c:v>Deficiencies</c:v>
                      </c:pt>
                      <c:pt idx="3">
                        <c:v>Def x Insp</c:v>
                      </c:pt>
                    </c:strCache>
                  </c:strRef>
                </c:cat>
                <c:val>
                  <c:numRef>
                    <c:extLst>
                      <c:ext uri="{02D57815-91ED-43cb-92C2-25804820EDAC}">
                        <c15:formulaRef>
                          <c15:sqref>'Int.Aud. Category'!$B$79:$B$82</c15:sqref>
                        </c15:formulaRef>
                      </c:ext>
                    </c:extLst>
                    <c:numCache>
                      <c:formatCode>General</c:formatCode>
                      <c:ptCount val="4"/>
                      <c:pt idx="0">
                        <c:v>11</c:v>
                      </c:pt>
                      <c:pt idx="1">
                        <c:v>15</c:v>
                      </c:pt>
                      <c:pt idx="2" c:formatCode="0">
                        <c:v>64</c:v>
                      </c:pt>
                      <c:pt idx="3" c:formatCode="0.00">
                        <c:v>4.26666666666667</c:v>
                      </c:pt>
                    </c:numCache>
                  </c:numRef>
                </c:val>
              </c15:ser>
            </c15:filteredBarSeries>
            <c15:filteredBarSeries>
              <c15:ser>
                <c:idx val="1"/>
                <c:order val="1"/>
                <c:tx>
                  <c:strRef>
                    <c:extLst>
                      <c:ext uri="{02D57815-91ED-43cb-92C2-25804820EDAC}">
                        <c15:formulaRef>
                          <c15:sqref>'Int.Aud. Category'!$C$78</c15:sqref>
                        </c15:formulaRef>
                      </c:ext>
                    </c:extLst>
                    <c:strCache>
                      <c:ptCount val="1"/>
                      <c:pt idx="0">
                        <c:v>2021</c:v>
                      </c:pt>
                    </c:strCache>
                  </c:strRef>
                </c:tx>
                <c:spPr>
                  <a:solidFill>
                    <a:schemeClr val="accent1"/>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extLst>
                      <c:ext uri="{02D57815-91ED-43cb-92C2-25804820EDAC}">
                        <c15:fullRef>
                          <c15:sqref/>
                        </c15:fullRef>
                        <c15:formulaRef>
                          <c15:sqref>'Int.Aud. Category'!$A$79:$A$82</c15:sqref>
                        </c15:formulaRef>
                      </c:ext>
                    </c:extLst>
                    <c:strCache>
                      <c:ptCount val="4"/>
                      <c:pt idx="0">
                        <c:v>Vessels</c:v>
                      </c:pt>
                      <c:pt idx="1">
                        <c:v>Audits</c:v>
                      </c:pt>
                      <c:pt idx="2">
                        <c:v>Deficiencies</c:v>
                      </c:pt>
                      <c:pt idx="3">
                        <c:v>Def x Insp</c:v>
                      </c:pt>
                    </c:strCache>
                  </c:strRef>
                </c:cat>
                <c:val>
                  <c:numRef>
                    <c:extLst>
                      <c:ext uri="{02D57815-91ED-43cb-92C2-25804820EDAC}">
                        <c15:formulaRef>
                          <c15:sqref>'Int.Aud. Category'!$C$79:$C$82</c15:sqref>
                        </c15:formulaRef>
                      </c:ext>
                    </c:extLst>
                    <c:numCache>
                      <c:formatCode>General</c:formatCode>
                      <c:ptCount val="4"/>
                      <c:pt idx="0">
                        <c:v>9</c:v>
                      </c:pt>
                      <c:pt idx="1">
                        <c:v>15</c:v>
                      </c:pt>
                      <c:pt idx="2">
                        <c:v>50</c:v>
                      </c:pt>
                      <c:pt idx="3" c:formatCode="0.00">
                        <c:v>3.33333333333333</c:v>
                      </c:pt>
                    </c:numCache>
                  </c:numRef>
                </c:val>
              </c15:ser>
            </c15:filteredBarSeries>
          </c:ext>
        </c:extLst>
      </c:barChart>
      <c:lineChart>
        <c:grouping val="standard"/>
        <c:varyColors val="0"/>
        <c:ser>
          <c:idx val="2"/>
          <c:order val="4"/>
          <c:tx>
            <c:strRef>
              <c:f>'Int.Aud. Category'!$F$78</c:f>
              <c:strCache>
                <c:ptCount val="1"/>
                <c:pt idx="0">
                  <c:v>2024</c:v>
                </c:pt>
              </c:strCache>
            </c:strRef>
          </c:tx>
          <c:dLbls>
            <c:delete val="1"/>
          </c:dLbls>
          <c:cat>
            <c:strRef>
              <c:f>'Int.Aud. Category'!$A$79:$A$82</c:f>
              <c:strCache>
                <c:ptCount val="4"/>
                <c:pt idx="0">
                  <c:v>Vessels</c:v>
                </c:pt>
                <c:pt idx="1">
                  <c:v>Audits</c:v>
                </c:pt>
                <c:pt idx="2">
                  <c:v>Deficiencies</c:v>
                </c:pt>
                <c:pt idx="3">
                  <c:v>Def x Insp</c:v>
                </c:pt>
              </c:strCache>
            </c:strRef>
          </c:cat>
          <c:val>
            <c:numRef>
              <c:f>'Int.Aud. Category'!$F$79:$F$82</c:f>
              <c:numCache>
                <c:formatCode>General</c:formatCode>
                <c:ptCount val="4"/>
                <c:pt idx="0">
                  <c:v>11</c:v>
                </c:pt>
                <c:pt idx="1" c:formatCode="0">
                  <c:v>10</c:v>
                </c:pt>
                <c:pt idx="2" c:formatCode="0">
                  <c:v>46</c:v>
                </c:pt>
                <c:pt idx="3" c:formatCode="0.00">
                  <c:v>4.6</c:v>
                </c:pt>
              </c:numCache>
            </c:numRef>
          </c:val>
          <c:smooth val="0"/>
        </c:ser>
        <c:dLbls>
          <c:showLegendKey val="0"/>
          <c:showVal val="0"/>
          <c:showCatName val="0"/>
          <c:showSerName val="0"/>
          <c:showPercent val="0"/>
          <c:showBubbleSize val="0"/>
        </c:dLbls>
        <c:marker val="1"/>
        <c:smooth val="0"/>
        <c:axId val="565613432"/>
        <c:axId val="565614216"/>
      </c:lineChart>
      <c:catAx>
        <c:axId val="565613432"/>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5614216"/>
        <c:crosses val="autoZero"/>
        <c:auto val="1"/>
        <c:lblAlgn val="ctr"/>
        <c:lblOffset val="100"/>
        <c:noMultiLvlLbl val="0"/>
      </c:catAx>
      <c:valAx>
        <c:axId val="565614216"/>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561343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dce9b1c-f3fa-483c-9d2a-50c6897d85bb}"/>
      </c:ext>
    </c:extLst>
  </c:chart>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en-US" sz="1200"/>
              <a:t>SI Fleet Comparison 2021-2024</a:t>
            </a:r>
            <a:endParaRPr lang="en-US" sz="1200"/>
          </a:p>
        </c:rich>
      </c:tx>
      <c:layout/>
      <c:overlay val="0"/>
    </c:title>
    <c:autoTitleDeleted val="0"/>
    <c:plotArea>
      <c:layout/>
      <c:barChart>
        <c:barDir val="col"/>
        <c:grouping val="clustered"/>
        <c:varyColors val="0"/>
        <c:ser>
          <c:idx val="0"/>
          <c:order val="0"/>
          <c:tx>
            <c:strRef>
              <c:f>Saf.Insp.category!$A$65</c:f>
              <c:strCache>
                <c:ptCount val="1"/>
                <c:pt idx="0">
                  <c:v>Vessels</c:v>
                </c:pt>
              </c:strCache>
            </c:strRef>
          </c:tx>
          <c:spPr>
            <a:solidFill>
              <a:srgbClr val="92D050"/>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extLst>
                <c:ext xmlns:c15="http://schemas.microsoft.com/office/drawing/2012/chart" uri="{02D57815-91ED-43cb-92C2-25804820EDAC}">
                  <c15:fullRef>
                    <c15:sqref>Saf.Insp.category!$B$64:$F$64</c15:sqref>
                  </c15:fullRef>
                </c:ext>
              </c:extLst>
              <c:f>Saf.Insp.category!$D$64:$F$64</c:f>
              <c:numCache>
                <c:formatCode>General</c:formatCode>
                <c:ptCount val="3"/>
                <c:pt idx="0">
                  <c:v>2022</c:v>
                </c:pt>
                <c:pt idx="1">
                  <c:v>2023</c:v>
                </c:pt>
                <c:pt idx="2">
                  <c:v>2024</c:v>
                </c:pt>
              </c:numCache>
            </c:numRef>
          </c:cat>
          <c:val>
            <c:numRef>
              <c:extLst>
                <c:ext xmlns:c15="http://schemas.microsoft.com/office/drawing/2012/chart" uri="{02D57815-91ED-43cb-92C2-25804820EDAC}">
                  <c15:fullRef>
                    <c15:sqref>Saf.Insp.category!$B$65:$F$65</c15:sqref>
                  </c15:fullRef>
                </c:ext>
              </c:extLst>
              <c:f>Saf.Insp.category!$D$65:$F$65</c:f>
              <c:numCache>
                <c:formatCode>General</c:formatCode>
                <c:ptCount val="3"/>
                <c:pt idx="0">
                  <c:v>36</c:v>
                </c:pt>
                <c:pt idx="1">
                  <c:v>35</c:v>
                </c:pt>
                <c:pt idx="2">
                  <c:v>34</c:v>
                </c:pt>
              </c:numCache>
            </c:numRef>
          </c:val>
        </c:ser>
        <c:ser>
          <c:idx val="1"/>
          <c:order val="1"/>
          <c:tx>
            <c:strRef>
              <c:f>Saf.Insp.category!$A$66</c:f>
              <c:strCache>
                <c:ptCount val="1"/>
                <c:pt idx="0">
                  <c:v>Inspections</c:v>
                </c:pt>
              </c:strCache>
            </c:strRef>
          </c:tx>
          <c:spPr>
            <a:solidFill>
              <a:schemeClr val="tx2">
                <a:lumMod val="60000"/>
                <a:lumOff val="40000"/>
              </a:schemeClr>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extLst>
                <c:ext xmlns:c15="http://schemas.microsoft.com/office/drawing/2012/chart" uri="{02D57815-91ED-43cb-92C2-25804820EDAC}">
                  <c15:fullRef>
                    <c15:sqref>Saf.Insp.category!$B$64:$F$64</c15:sqref>
                  </c15:fullRef>
                </c:ext>
              </c:extLst>
              <c:f>Saf.Insp.category!$D$64:$F$64</c:f>
              <c:numCache>
                <c:formatCode>General</c:formatCode>
                <c:ptCount val="3"/>
                <c:pt idx="0">
                  <c:v>2022</c:v>
                </c:pt>
                <c:pt idx="1">
                  <c:v>2023</c:v>
                </c:pt>
                <c:pt idx="2">
                  <c:v>2024</c:v>
                </c:pt>
              </c:numCache>
            </c:numRef>
          </c:cat>
          <c:val>
            <c:numRef>
              <c:extLst>
                <c:ext xmlns:c15="http://schemas.microsoft.com/office/drawing/2012/chart" uri="{02D57815-91ED-43cb-92C2-25804820EDAC}">
                  <c15:fullRef>
                    <c15:sqref>Saf.Insp.category!$B$66:$F$66</c15:sqref>
                  </c15:fullRef>
                </c:ext>
              </c:extLst>
              <c:f>Saf.Insp.category!$D$66:$F$66</c:f>
              <c:numCache>
                <c:formatCode>General</c:formatCode>
                <c:ptCount val="3"/>
                <c:pt idx="0">
                  <c:v>46</c:v>
                </c:pt>
                <c:pt idx="1">
                  <c:v>29</c:v>
                </c:pt>
                <c:pt idx="2" c:formatCode="0">
                  <c:v>34</c:v>
                </c:pt>
              </c:numCache>
            </c:numRef>
          </c:val>
        </c:ser>
        <c:ser>
          <c:idx val="2"/>
          <c:order val="2"/>
          <c:tx>
            <c:strRef>
              <c:f>Saf.Insp.category!$A$67</c:f>
              <c:strCache>
                <c:ptCount val="1"/>
                <c:pt idx="0">
                  <c:v>Deficiencies</c:v>
                </c:pt>
              </c:strCache>
            </c:strRef>
          </c:tx>
          <c:spPr>
            <a:solidFill>
              <a:srgbClr val="FF0000"/>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extLst>
                <c:ext xmlns:c15="http://schemas.microsoft.com/office/drawing/2012/chart" uri="{02D57815-91ED-43cb-92C2-25804820EDAC}">
                  <c15:fullRef>
                    <c15:sqref>Saf.Insp.category!$B$64:$F$64</c15:sqref>
                  </c15:fullRef>
                </c:ext>
              </c:extLst>
              <c:f>Saf.Insp.category!$D$64:$F$64</c:f>
              <c:numCache>
                <c:formatCode>General</c:formatCode>
                <c:ptCount val="3"/>
                <c:pt idx="0">
                  <c:v>2022</c:v>
                </c:pt>
                <c:pt idx="1">
                  <c:v>2023</c:v>
                </c:pt>
                <c:pt idx="2">
                  <c:v>2024</c:v>
                </c:pt>
              </c:numCache>
            </c:numRef>
          </c:cat>
          <c:val>
            <c:numRef>
              <c:extLst>
                <c:ext xmlns:c15="http://schemas.microsoft.com/office/drawing/2012/chart" uri="{02D57815-91ED-43cb-92C2-25804820EDAC}">
                  <c15:fullRef>
                    <c15:sqref>Saf.Insp.category!$B$67:$F$67</c15:sqref>
                  </c15:fullRef>
                </c:ext>
              </c:extLst>
              <c:f>Saf.Insp.category!$D$67:$F$67</c:f>
              <c:numCache>
                <c:formatCode>General</c:formatCode>
                <c:ptCount val="3"/>
                <c:pt idx="0">
                  <c:v>201</c:v>
                </c:pt>
                <c:pt idx="1">
                  <c:v>100</c:v>
                </c:pt>
                <c:pt idx="2" c:formatCode="0">
                  <c:v>170</c:v>
                </c:pt>
              </c:numCache>
            </c:numRef>
          </c:val>
        </c:ser>
        <c:dLbls>
          <c:showLegendKey val="0"/>
          <c:showVal val="0"/>
          <c:showCatName val="0"/>
          <c:showSerName val="0"/>
          <c:showPercent val="0"/>
          <c:showBubbleSize val="0"/>
        </c:dLbls>
        <c:gapWidth val="150"/>
        <c:axId val="565614608"/>
        <c:axId val="565609512"/>
      </c:barChart>
      <c:lineChart>
        <c:grouping val="standard"/>
        <c:varyColors val="0"/>
        <c:ser>
          <c:idx val="3"/>
          <c:order val="3"/>
          <c:tx>
            <c:strRef>
              <c:f>Saf.Insp.category!$A$68</c:f>
              <c:strCache>
                <c:ptCount val="1"/>
                <c:pt idx="0">
                  <c:v>Def x Insp</c:v>
                </c:pt>
              </c:strCache>
            </c:strRef>
          </c:tx>
          <c:marker>
            <c:symbol val="none"/>
          </c:marker>
          <c:dLbls>
            <c:dLbl>
              <c:idx val="0"/>
              <c:layout>
                <c:manualLayout>
                  <c:x val="0.0153846153846154"/>
                  <c:y val="-0.0134945223927255"/>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extLst>
                <c:ext xmlns:c15="http://schemas.microsoft.com/office/drawing/2012/chart" uri="{02D57815-91ED-43cb-92C2-25804820EDAC}">
                  <c15:fullRef>
                    <c15:sqref>Saf.Insp.category!$B$64:$F$64</c15:sqref>
                  </c15:fullRef>
                </c:ext>
              </c:extLst>
              <c:f>Saf.Insp.category!$D$64:$F$64</c:f>
              <c:numCache>
                <c:formatCode>General</c:formatCode>
                <c:ptCount val="3"/>
                <c:pt idx="0">
                  <c:v>2022</c:v>
                </c:pt>
                <c:pt idx="1">
                  <c:v>2023</c:v>
                </c:pt>
                <c:pt idx="2">
                  <c:v>2024</c:v>
                </c:pt>
              </c:numCache>
            </c:numRef>
          </c:cat>
          <c:val>
            <c:numRef>
              <c:extLst>
                <c:ext xmlns:c15="http://schemas.microsoft.com/office/drawing/2012/chart" uri="{02D57815-91ED-43cb-92C2-25804820EDAC}">
                  <c15:fullRef>
                    <c15:sqref>Saf.Insp.category!$B$68:$F$68</c15:sqref>
                  </c15:fullRef>
                </c:ext>
              </c:extLst>
              <c:f>Saf.Insp.category!$D$68:$F$68</c:f>
              <c:numCache>
                <c:formatCode>0.00</c:formatCode>
                <c:ptCount val="3"/>
                <c:pt idx="0">
                  <c:v>4.3695652173913</c:v>
                </c:pt>
                <c:pt idx="1">
                  <c:v>3.44827586206897</c:v>
                </c:pt>
                <c:pt idx="2">
                  <c:v>5</c:v>
                </c:pt>
              </c:numCache>
            </c:numRef>
          </c:val>
          <c:smooth val="0"/>
        </c:ser>
        <c:dLbls>
          <c:showLegendKey val="0"/>
          <c:showVal val="0"/>
          <c:showCatName val="0"/>
          <c:showSerName val="0"/>
          <c:showPercent val="0"/>
          <c:showBubbleSize val="0"/>
        </c:dLbls>
        <c:marker val="0"/>
        <c:smooth val="0"/>
        <c:axId val="565614608"/>
        <c:axId val="565609512"/>
      </c:lineChart>
      <c:catAx>
        <c:axId val="565614608"/>
        <c:scaling>
          <c:orientation val="minMax"/>
        </c:scaling>
        <c:delete val="0"/>
        <c:axPos val="b"/>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5609512"/>
        <c:crosses val="autoZero"/>
        <c:auto val="1"/>
        <c:lblAlgn val="ctr"/>
        <c:lblOffset val="100"/>
        <c:noMultiLvlLbl val="0"/>
      </c:catAx>
      <c:valAx>
        <c:axId val="565609512"/>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5614608"/>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bfb3b72-6959-4d2e-919f-cacc3a1ffc8b}"/>
      </c:ext>
    </c:extLst>
  </c:chart>
  <c:txPr>
    <a:bodyPr/>
    <a:lstStyle/>
    <a:p>
      <a:pPr>
        <a:defRPr lang="en-US"/>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en-US" sz="1200"/>
              <a:t>SI and Deficiencies x Vessels</a:t>
            </a:r>
            <a:endParaRPr lang="en-US" sz="1200"/>
          </a:p>
        </c:rich>
      </c:tx>
      <c:layout/>
      <c:overlay val="0"/>
    </c:title>
    <c:autoTitleDeleted val="0"/>
    <c:plotArea>
      <c:layout/>
      <c:barChart>
        <c:barDir val="col"/>
        <c:grouping val="clustered"/>
        <c:varyColors val="0"/>
        <c:ser>
          <c:idx val="0"/>
          <c:order val="0"/>
          <c:tx>
            <c:strRef>
              <c:f>Saf.Insp.category!$AF$18</c:f>
              <c:strCache>
                <c:ptCount val="1"/>
                <c:pt idx="0">
                  <c:v>No.  Insp.</c:v>
                </c:pt>
              </c:strCache>
            </c:strRef>
          </c:tx>
          <c:invertIfNegative val="0"/>
          <c:dLbls>
            <c:spPr>
              <a:noFill/>
              <a:ln>
                <a:noFill/>
              </a:ln>
              <a:effectLst/>
            </c:spPr>
            <c:txPr>
              <a:bodyPr rot="0" spcFirstLastPara="0" vertOverflow="ellipsis" vert="horz" wrap="square" lIns="38100" tIns="19050" rIns="38100" bIns="19050" anchor="ctr" anchorCtr="1"/>
              <a:lstStyle/>
              <a:p>
                <a:pPr>
                  <a:defRPr lang="en-US" sz="8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Saf.Insp.category!$A$19:$A$60</c:f>
              <c:strCache>
                <c:ptCount val="42"/>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pt idx="30">
                  <c:v>Cielo di Valparaiso</c:v>
                </c:pt>
                <c:pt idx="31">
                  <c:v>Cielo Dei Maronti</c:v>
                </c:pt>
                <c:pt idx="32">
                  <c:v>Medi Adriatico</c:v>
                </c:pt>
                <c:pt idx="33">
                  <c:v>Medi Atlantico</c:v>
                </c:pt>
                <c:pt idx="34">
                  <c:v>Medi Egadi</c:v>
                </c:pt>
                <c:pt idx="35">
                  <c:v>Medi Egeo</c:v>
                </c:pt>
                <c:pt idx="36">
                  <c:v>Medi Matsuura</c:v>
                </c:pt>
                <c:pt idx="37">
                  <c:v>Medi Palmarola</c:v>
                </c:pt>
                <c:pt idx="38">
                  <c:v>Medi Sydney</c:v>
                </c:pt>
                <c:pt idx="39">
                  <c:v>Medi Tirreno</c:v>
                </c:pt>
                <c:pt idx="40">
                  <c:v>Medi Zuoz</c:v>
                </c:pt>
                <c:pt idx="41">
                  <c:v>Medi Caboto</c:v>
                </c:pt>
              </c:strCache>
            </c:strRef>
          </c:cat>
          <c:val>
            <c:numRef>
              <c:f>Saf.Insp.category!$BJ$19:$BJ$60</c:f>
              <c:numCache>
                <c:formatCode>General</c:formatCode>
                <c:ptCount val="42"/>
                <c:pt idx="0">
                  <c:v>0</c:v>
                </c:pt>
                <c:pt idx="1">
                  <c:v>0</c:v>
                </c:pt>
                <c:pt idx="2">
                  <c:v>1</c:v>
                </c:pt>
                <c:pt idx="3">
                  <c:v>1</c:v>
                </c:pt>
                <c:pt idx="4">
                  <c:v>1</c:v>
                </c:pt>
                <c:pt idx="5">
                  <c:v>2</c:v>
                </c:pt>
                <c:pt idx="6">
                  <c:v>2</c:v>
                </c:pt>
                <c:pt idx="7">
                  <c:v>1</c:v>
                </c:pt>
                <c:pt idx="8">
                  <c:v>1</c:v>
                </c:pt>
                <c:pt idx="9">
                  <c:v>1</c:v>
                </c:pt>
                <c:pt idx="10">
                  <c:v>1</c:v>
                </c:pt>
                <c:pt idx="11">
                  <c:v>1</c:v>
                </c:pt>
                <c:pt idx="12">
                  <c:v>1</c:v>
                </c:pt>
                <c:pt idx="13">
                  <c:v>0</c:v>
                </c:pt>
                <c:pt idx="14">
                  <c:v>1</c:v>
                </c:pt>
                <c:pt idx="15">
                  <c:v>1</c:v>
                </c:pt>
                <c:pt idx="16">
                  <c:v>1</c:v>
                </c:pt>
                <c:pt idx="17">
                  <c:v>0</c:v>
                </c:pt>
                <c:pt idx="18">
                  <c:v>1</c:v>
                </c:pt>
                <c:pt idx="19">
                  <c:v>1</c:v>
                </c:pt>
                <c:pt idx="20">
                  <c:v>2</c:v>
                </c:pt>
                <c:pt idx="21">
                  <c:v>1</c:v>
                </c:pt>
                <c:pt idx="22">
                  <c:v>2</c:v>
                </c:pt>
                <c:pt idx="23">
                  <c:v>1</c:v>
                </c:pt>
                <c:pt idx="24">
                  <c:v>1</c:v>
                </c:pt>
                <c:pt idx="25">
                  <c:v>1</c:v>
                </c:pt>
                <c:pt idx="26">
                  <c:v>1</c:v>
                </c:pt>
                <c:pt idx="27">
                  <c:v>0</c:v>
                </c:pt>
                <c:pt idx="28">
                  <c:v>1</c:v>
                </c:pt>
                <c:pt idx="29">
                  <c:v>1</c:v>
                </c:pt>
                <c:pt idx="30">
                  <c:v>0</c:v>
                </c:pt>
                <c:pt idx="31">
                  <c:v>0</c:v>
                </c:pt>
                <c:pt idx="32">
                  <c:v>1</c:v>
                </c:pt>
                <c:pt idx="33">
                  <c:v>0</c:v>
                </c:pt>
                <c:pt idx="34">
                  <c:v>0</c:v>
                </c:pt>
                <c:pt idx="35">
                  <c:v>0</c:v>
                </c:pt>
                <c:pt idx="36">
                  <c:v>1</c:v>
                </c:pt>
                <c:pt idx="37">
                  <c:v>1</c:v>
                </c:pt>
                <c:pt idx="38">
                  <c:v>1</c:v>
                </c:pt>
                <c:pt idx="39">
                  <c:v>0</c:v>
                </c:pt>
                <c:pt idx="40">
                  <c:v>1</c:v>
                </c:pt>
                <c:pt idx="41">
                  <c:v>0</c:v>
                </c:pt>
              </c:numCache>
            </c:numRef>
          </c:val>
        </c:ser>
        <c:ser>
          <c:idx val="1"/>
          <c:order val="1"/>
          <c:tx>
            <c:strRef>
              <c:f>Saf.Insp.category!$AH$18</c:f>
              <c:strCache>
                <c:ptCount val="1"/>
                <c:pt idx="0">
                  <c:v>Def.</c:v>
                </c:pt>
              </c:strCache>
            </c:strRef>
          </c:tx>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strRef>
              <c:f>Saf.Insp.category!$A$19:$A$60</c:f>
              <c:strCache>
                <c:ptCount val="42"/>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pt idx="30">
                  <c:v>Cielo di Valparaiso</c:v>
                </c:pt>
                <c:pt idx="31">
                  <c:v>Cielo Dei Maronti</c:v>
                </c:pt>
                <c:pt idx="32">
                  <c:v>Medi Adriatico</c:v>
                </c:pt>
                <c:pt idx="33">
                  <c:v>Medi Atlantico</c:v>
                </c:pt>
                <c:pt idx="34">
                  <c:v>Medi Egadi</c:v>
                </c:pt>
                <c:pt idx="35">
                  <c:v>Medi Egeo</c:v>
                </c:pt>
                <c:pt idx="36">
                  <c:v>Medi Matsuura</c:v>
                </c:pt>
                <c:pt idx="37">
                  <c:v>Medi Palmarola</c:v>
                </c:pt>
                <c:pt idx="38">
                  <c:v>Medi Sydney</c:v>
                </c:pt>
                <c:pt idx="39">
                  <c:v>Medi Tirreno</c:v>
                </c:pt>
                <c:pt idx="40">
                  <c:v>Medi Zuoz</c:v>
                </c:pt>
                <c:pt idx="41">
                  <c:v>Medi Caboto</c:v>
                </c:pt>
              </c:strCache>
            </c:strRef>
          </c:cat>
          <c:val>
            <c:numRef>
              <c:f>Saf.Insp.category!$BL$19:$BL$60</c:f>
              <c:numCache>
                <c:formatCode>General</c:formatCode>
                <c:ptCount val="42"/>
                <c:pt idx="0">
                  <c:v>0</c:v>
                </c:pt>
                <c:pt idx="1">
                  <c:v>0</c:v>
                </c:pt>
                <c:pt idx="2">
                  <c:v>5</c:v>
                </c:pt>
                <c:pt idx="3">
                  <c:v>6</c:v>
                </c:pt>
                <c:pt idx="4">
                  <c:v>5</c:v>
                </c:pt>
                <c:pt idx="5">
                  <c:v>6</c:v>
                </c:pt>
                <c:pt idx="6">
                  <c:v>6</c:v>
                </c:pt>
                <c:pt idx="7">
                  <c:v>6</c:v>
                </c:pt>
                <c:pt idx="8">
                  <c:v>7</c:v>
                </c:pt>
                <c:pt idx="9">
                  <c:v>3</c:v>
                </c:pt>
                <c:pt idx="10">
                  <c:v>5</c:v>
                </c:pt>
                <c:pt idx="11">
                  <c:v>5</c:v>
                </c:pt>
                <c:pt idx="12">
                  <c:v>5</c:v>
                </c:pt>
                <c:pt idx="13">
                  <c:v>0</c:v>
                </c:pt>
                <c:pt idx="14">
                  <c:v>9</c:v>
                </c:pt>
                <c:pt idx="15">
                  <c:v>8</c:v>
                </c:pt>
                <c:pt idx="16">
                  <c:v>7</c:v>
                </c:pt>
                <c:pt idx="17">
                  <c:v>0</c:v>
                </c:pt>
                <c:pt idx="18">
                  <c:v>6</c:v>
                </c:pt>
                <c:pt idx="19">
                  <c:v>5</c:v>
                </c:pt>
                <c:pt idx="20">
                  <c:v>11</c:v>
                </c:pt>
                <c:pt idx="21">
                  <c:v>6</c:v>
                </c:pt>
                <c:pt idx="22">
                  <c:v>8</c:v>
                </c:pt>
                <c:pt idx="23">
                  <c:v>5</c:v>
                </c:pt>
                <c:pt idx="24">
                  <c:v>3</c:v>
                </c:pt>
                <c:pt idx="25">
                  <c:v>6</c:v>
                </c:pt>
                <c:pt idx="26">
                  <c:v>5</c:v>
                </c:pt>
                <c:pt idx="27">
                  <c:v>0</c:v>
                </c:pt>
                <c:pt idx="28">
                  <c:v>2</c:v>
                </c:pt>
                <c:pt idx="29">
                  <c:v>4</c:v>
                </c:pt>
                <c:pt idx="30">
                  <c:v>0</c:v>
                </c:pt>
                <c:pt idx="31">
                  <c:v>0</c:v>
                </c:pt>
                <c:pt idx="32">
                  <c:v>5</c:v>
                </c:pt>
                <c:pt idx="33">
                  <c:v>0</c:v>
                </c:pt>
                <c:pt idx="34">
                  <c:v>0</c:v>
                </c:pt>
                <c:pt idx="35">
                  <c:v>0</c:v>
                </c:pt>
                <c:pt idx="36">
                  <c:v>2</c:v>
                </c:pt>
                <c:pt idx="37">
                  <c:v>6</c:v>
                </c:pt>
                <c:pt idx="38">
                  <c:v>7</c:v>
                </c:pt>
                <c:pt idx="39">
                  <c:v>0</c:v>
                </c:pt>
                <c:pt idx="40">
                  <c:v>6</c:v>
                </c:pt>
                <c:pt idx="41">
                  <c:v>0</c:v>
                </c:pt>
              </c:numCache>
            </c:numRef>
          </c:val>
        </c:ser>
        <c:dLbls>
          <c:showLegendKey val="0"/>
          <c:showVal val="0"/>
          <c:showCatName val="0"/>
          <c:showSerName val="0"/>
          <c:showPercent val="0"/>
          <c:showBubbleSize val="0"/>
        </c:dLbls>
        <c:gapWidth val="150"/>
        <c:axId val="565611472"/>
        <c:axId val="565616568"/>
      </c:barChart>
      <c:catAx>
        <c:axId val="565611472"/>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5616568"/>
        <c:crosses val="autoZero"/>
        <c:auto val="1"/>
        <c:lblAlgn val="ctr"/>
        <c:lblOffset val="100"/>
        <c:noMultiLvlLbl val="0"/>
      </c:catAx>
      <c:valAx>
        <c:axId val="565616568"/>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5611472"/>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8309e61-6838-4f3a-8d83-7230a3a5b3cb}"/>
      </c:ext>
    </c:extLst>
  </c:chart>
  <c:txPr>
    <a:bodyPr/>
    <a:lstStyle/>
    <a:p>
      <a:pPr>
        <a:defRPr lang="en-US"/>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it-IT" sz="1200" baseline="0"/>
              <a:t>SI Fleet Quarterly Trend</a:t>
            </a:r>
            <a:endParaRPr lang="it-IT" sz="1200"/>
          </a:p>
        </c:rich>
      </c:tx>
      <c:layout/>
      <c:overlay val="0"/>
    </c:title>
    <c:autoTitleDeleted val="0"/>
    <c:plotArea>
      <c:layout/>
      <c:barChart>
        <c:barDir val="col"/>
        <c:grouping val="clustered"/>
        <c:varyColors val="0"/>
        <c:ser>
          <c:idx val="0"/>
          <c:order val="0"/>
          <c:tx>
            <c:strRef>
              <c:f>Saf.Insp.category!$A$10</c:f>
              <c:strCache>
                <c:ptCount val="1"/>
                <c:pt idx="0">
                  <c:v>No. Vess.</c:v>
                </c:pt>
              </c:strCache>
            </c:strRef>
          </c:tx>
          <c:spPr>
            <a:solidFill>
              <a:srgbClr val="92D050"/>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extLst>
                <c:ext xmlns:c15="http://schemas.microsoft.com/office/drawing/2012/chart" uri="{02D57815-91ED-43cb-92C2-25804820EDAC}">
                  <c15:fullRef>
                    <c15:sqref>Saf.Insp.category!$B$9:$F$9</c15:sqref>
                  </c15:fullRef>
                </c:ext>
              </c:extLst>
              <c:f>Saf.Insp.category!$B$9:$E$9</c:f>
              <c:strCache>
                <c:ptCount val="4"/>
                <c:pt idx="0">
                  <c:v>1st Quarter</c:v>
                </c:pt>
                <c:pt idx="1">
                  <c:v>2nd Quarter</c:v>
                </c:pt>
                <c:pt idx="2">
                  <c:v>3rd Quarter</c:v>
                </c:pt>
                <c:pt idx="3">
                  <c:v>4th Quarter</c:v>
                </c:pt>
              </c:strCache>
            </c:strRef>
          </c:cat>
          <c:val>
            <c:numRef>
              <c:extLst>
                <c:ext xmlns:c15="http://schemas.microsoft.com/office/drawing/2012/chart" uri="{02D57815-91ED-43cb-92C2-25804820EDAC}">
                  <c15:fullRef>
                    <c15:sqref>Saf.Insp.category!$B$10:$F$10</c15:sqref>
                  </c15:fullRef>
                </c:ext>
              </c:extLst>
              <c:f>Saf.Insp.category!$B$10:$E$10</c:f>
              <c:numCache>
                <c:formatCode>General</c:formatCode>
                <c:ptCount val="4"/>
                <c:pt idx="0">
                  <c:v>34</c:v>
                </c:pt>
                <c:pt idx="1">
                  <c:v>34</c:v>
                </c:pt>
                <c:pt idx="2">
                  <c:v>35</c:v>
                </c:pt>
                <c:pt idx="3">
                  <c:v>37</c:v>
                </c:pt>
              </c:numCache>
            </c:numRef>
          </c:val>
        </c:ser>
        <c:ser>
          <c:idx val="1"/>
          <c:order val="1"/>
          <c:tx>
            <c:strRef>
              <c:f>Saf.Insp.category!$A$11</c:f>
              <c:strCache>
                <c:ptCount val="1"/>
                <c:pt idx="0">
                  <c:v>No. Insp.</c:v>
                </c:pt>
              </c:strCache>
            </c:strRef>
          </c:tx>
          <c:spPr>
            <a:solidFill>
              <a:schemeClr val="accent1"/>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extLst>
                <c:ext xmlns:c15="http://schemas.microsoft.com/office/drawing/2012/chart" uri="{02D57815-91ED-43cb-92C2-25804820EDAC}">
                  <c15:fullRef>
                    <c15:sqref>Saf.Insp.category!$B$9:$F$9</c15:sqref>
                  </c15:fullRef>
                </c:ext>
              </c:extLst>
              <c:f>Saf.Insp.category!$B$9:$E$9</c:f>
              <c:strCache>
                <c:ptCount val="4"/>
                <c:pt idx="0">
                  <c:v>1st Quarter</c:v>
                </c:pt>
                <c:pt idx="1">
                  <c:v>2nd Quarter</c:v>
                </c:pt>
                <c:pt idx="2">
                  <c:v>3rd Quarter</c:v>
                </c:pt>
                <c:pt idx="3">
                  <c:v>4th Quarter</c:v>
                </c:pt>
              </c:strCache>
            </c:strRef>
          </c:cat>
          <c:val>
            <c:numRef>
              <c:extLst>
                <c:ext xmlns:c15="http://schemas.microsoft.com/office/drawing/2012/chart" uri="{02D57815-91ED-43cb-92C2-25804820EDAC}">
                  <c15:fullRef>
                    <c15:sqref>Saf.Insp.category!$B$11:$F$11</c15:sqref>
                  </c15:fullRef>
                </c:ext>
              </c:extLst>
              <c:f>Saf.Insp.category!$B$11:$E$11</c:f>
              <c:numCache>
                <c:formatCode>General</c:formatCode>
                <c:ptCount val="4"/>
                <c:pt idx="0">
                  <c:v>7</c:v>
                </c:pt>
                <c:pt idx="1">
                  <c:v>7</c:v>
                </c:pt>
                <c:pt idx="2">
                  <c:v>9</c:v>
                </c:pt>
                <c:pt idx="3">
                  <c:v>11</c:v>
                </c:pt>
              </c:numCache>
            </c:numRef>
          </c:val>
        </c:ser>
        <c:ser>
          <c:idx val="3"/>
          <c:order val="2"/>
          <c:tx>
            <c:strRef>
              <c:f>Saf.Insp.category!$A$12</c:f>
              <c:strCache>
                <c:ptCount val="1"/>
                <c:pt idx="0">
                  <c:v>Def.</c:v>
                </c:pt>
              </c:strCache>
            </c:strRef>
          </c:tx>
          <c:spPr>
            <a:solidFill>
              <a:srgbClr val="FF0000"/>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extLst>
                <c:ext xmlns:c15="http://schemas.microsoft.com/office/drawing/2012/chart" uri="{02D57815-91ED-43cb-92C2-25804820EDAC}">
                  <c15:fullRef>
                    <c15:sqref>Saf.Insp.category!$B$9:$F$9</c15:sqref>
                  </c15:fullRef>
                </c:ext>
              </c:extLst>
              <c:f>Saf.Insp.category!$B$9:$E$9</c:f>
              <c:strCache>
                <c:ptCount val="4"/>
                <c:pt idx="0">
                  <c:v>1st Quarter</c:v>
                </c:pt>
                <c:pt idx="1">
                  <c:v>2nd Quarter</c:v>
                </c:pt>
                <c:pt idx="2">
                  <c:v>3rd Quarter</c:v>
                </c:pt>
                <c:pt idx="3">
                  <c:v>4th Quarter</c:v>
                </c:pt>
              </c:strCache>
            </c:strRef>
          </c:cat>
          <c:val>
            <c:numRef>
              <c:extLst>
                <c:ext xmlns:c15="http://schemas.microsoft.com/office/drawing/2012/chart" uri="{02D57815-91ED-43cb-92C2-25804820EDAC}">
                  <c15:fullRef>
                    <c15:sqref>Saf.Insp.category!$B$12:$F$12</c15:sqref>
                  </c15:fullRef>
                </c:ext>
              </c:extLst>
              <c:f>Saf.Insp.category!$B$12:$E$12</c:f>
              <c:numCache>
                <c:formatCode>General</c:formatCode>
                <c:ptCount val="4"/>
                <c:pt idx="0">
                  <c:v>26</c:v>
                </c:pt>
                <c:pt idx="1">
                  <c:v>31</c:v>
                </c:pt>
                <c:pt idx="2">
                  <c:v>51</c:v>
                </c:pt>
                <c:pt idx="3">
                  <c:v>62</c:v>
                </c:pt>
              </c:numCache>
            </c:numRef>
          </c:val>
        </c:ser>
        <c:dLbls>
          <c:showLegendKey val="0"/>
          <c:showVal val="0"/>
          <c:showCatName val="0"/>
          <c:showSerName val="0"/>
          <c:showPercent val="0"/>
          <c:showBubbleSize val="0"/>
        </c:dLbls>
        <c:gapWidth val="150"/>
        <c:axId val="565609904"/>
        <c:axId val="565610296"/>
      </c:barChart>
      <c:lineChart>
        <c:grouping val="standard"/>
        <c:varyColors val="0"/>
        <c:ser>
          <c:idx val="4"/>
          <c:order val="3"/>
          <c:tx>
            <c:strRef>
              <c:f>Saf.Insp.category!$A$13</c:f>
              <c:strCache>
                <c:ptCount val="1"/>
                <c:pt idx="0">
                  <c:v>Def x Insp.</c:v>
                </c:pt>
              </c:strCache>
            </c:strRef>
          </c:tx>
          <c:spPr>
            <a:ln w="28575" cap="rnd" cmpd="sng" algn="ctr">
              <a:solidFill>
                <a:schemeClr val="accent4">
                  <a:lumMod val="50000"/>
                </a:schemeClr>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extLst>
                <c:ext xmlns:c15="http://schemas.microsoft.com/office/drawing/2012/chart" uri="{02D57815-91ED-43cb-92C2-25804820EDAC}">
                  <c15:fullRef>
                    <c15:sqref>Saf.Insp.category!$B$9:$F$9</c15:sqref>
                  </c15:fullRef>
                </c:ext>
              </c:extLst>
              <c:f>Saf.Insp.category!$B$9:$E$9</c:f>
              <c:strCache>
                <c:ptCount val="4"/>
                <c:pt idx="0">
                  <c:v>1st Quarter</c:v>
                </c:pt>
                <c:pt idx="1">
                  <c:v>2nd Quarter</c:v>
                </c:pt>
                <c:pt idx="2">
                  <c:v>3rd Quarter</c:v>
                </c:pt>
                <c:pt idx="3">
                  <c:v>4th Quarter</c:v>
                </c:pt>
              </c:strCache>
            </c:strRef>
          </c:cat>
          <c:val>
            <c:numRef>
              <c:extLst>
                <c:ext xmlns:c15="http://schemas.microsoft.com/office/drawing/2012/chart" uri="{02D57815-91ED-43cb-92C2-25804820EDAC}">
                  <c15:fullRef>
                    <c15:sqref>Saf.Insp.category!$B$13:$F$13</c15:sqref>
                  </c15:fullRef>
                </c:ext>
              </c:extLst>
              <c:f>Saf.Insp.category!$B$13:$E$13</c:f>
              <c:numCache>
                <c:formatCode>0.00</c:formatCode>
                <c:ptCount val="4"/>
                <c:pt idx="0">
                  <c:v>3.71428571428571</c:v>
                </c:pt>
                <c:pt idx="1">
                  <c:v>4.42857142857143</c:v>
                </c:pt>
                <c:pt idx="2">
                  <c:v>5.66666666666667</c:v>
                </c:pt>
                <c:pt idx="3">
                  <c:v>5.63636363636364</c:v>
                </c:pt>
              </c:numCache>
            </c:numRef>
          </c:val>
          <c:smooth val="0"/>
        </c:ser>
        <c:dLbls>
          <c:showLegendKey val="0"/>
          <c:showVal val="0"/>
          <c:showCatName val="0"/>
          <c:showSerName val="0"/>
          <c:showPercent val="0"/>
          <c:showBubbleSize val="0"/>
        </c:dLbls>
        <c:marker val="0"/>
        <c:smooth val="0"/>
        <c:axId val="565609904"/>
        <c:axId val="565610296"/>
      </c:lineChart>
      <c:catAx>
        <c:axId val="565609904"/>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5610296"/>
        <c:crosses val="autoZero"/>
        <c:auto val="1"/>
        <c:lblAlgn val="ctr"/>
        <c:lblOffset val="100"/>
        <c:noMultiLvlLbl val="0"/>
      </c:catAx>
      <c:valAx>
        <c:axId val="565610296"/>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5609904"/>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810e89b-990d-4610-9724-c136ba09102e}"/>
      </c:ext>
    </c:extLst>
  </c:chart>
  <c:txPr>
    <a:bodyPr/>
    <a:lstStyle/>
    <a:p>
      <a:pPr>
        <a:defRPr lang="en-US"/>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it-IT" sz="1200"/>
              <a:t>SI Tankers</a:t>
            </a:r>
            <a:r>
              <a:rPr lang="it-IT" sz="1200" baseline="0"/>
              <a:t> Quarterly Trend</a:t>
            </a:r>
            <a:endParaRPr lang="it-IT" sz="1200"/>
          </a:p>
        </c:rich>
      </c:tx>
      <c:layout/>
      <c:overlay val="0"/>
    </c:title>
    <c:autoTitleDeleted val="0"/>
    <c:plotArea>
      <c:layout>
        <c:manualLayout>
          <c:layoutTarget val="inner"/>
          <c:xMode val="edge"/>
          <c:yMode val="edge"/>
          <c:x val="0.0718725717843298"/>
          <c:y val="0.111519561242976"/>
          <c:w val="0.893512046221075"/>
          <c:h val="0.738818303144359"/>
        </c:manualLayout>
      </c:layout>
      <c:barChart>
        <c:barDir val="col"/>
        <c:grouping val="clustered"/>
        <c:varyColors val="0"/>
        <c:ser>
          <c:idx val="0"/>
          <c:order val="0"/>
          <c:tx>
            <c:strRef>
              <c:f>Saf.Insp.category!$Q$10</c:f>
              <c:strCache>
                <c:ptCount val="1"/>
                <c:pt idx="0">
                  <c:v>No. Vess.</c:v>
                </c:pt>
              </c:strCache>
            </c:strRef>
          </c:tx>
          <c:spPr>
            <a:solidFill>
              <a:srgbClr val="92D050"/>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extLst>
                <c:ext xmlns:c15="http://schemas.microsoft.com/office/drawing/2012/chart" uri="{02D57815-91ED-43cb-92C2-25804820EDAC}">
                  <c15:fullRef>
                    <c15:sqref>(Saf.Insp.category!$S$9,Saf.Insp.category!$T$9,Saf.Insp.category!$U$9,Saf.Insp.category!$W$9)</c15:sqref>
                  </c15:fullRef>
                </c:ext>
              </c:extLst>
              <c:f>(Saf.Insp.category!$S$9,Saf.Insp.category!$T$9,Saf.Insp.category!$U$9,Saf.Insp.category!$W$9)</c:f>
              <c:strCache>
                <c:ptCount val="4"/>
                <c:pt idx="0">
                  <c:v>1st Quarter</c:v>
                </c:pt>
                <c:pt idx="1">
                  <c:v>2nd Quarter</c:v>
                </c:pt>
                <c:pt idx="2">
                  <c:v>3rd Quarter</c:v>
                </c:pt>
                <c:pt idx="3">
                  <c:v>4th Quarter</c:v>
                </c:pt>
              </c:strCache>
            </c:strRef>
          </c:cat>
          <c:val>
            <c:numRef>
              <c:extLst>
                <c:ext xmlns:c15="http://schemas.microsoft.com/office/drawing/2012/chart" uri="{02D57815-91ED-43cb-92C2-25804820EDAC}">
                  <c15:fullRef>
                    <c15:sqref>Saf.Insp.category!$S$10:$W$10</c15:sqref>
                  </c15:fullRef>
                </c:ext>
              </c:extLst>
              <c:f>Saf.Insp.category!$S$10:$V$10</c:f>
              <c:numCache>
                <c:formatCode>General</c:formatCode>
                <c:ptCount val="4"/>
                <c:pt idx="0">
                  <c:v>25</c:v>
                </c:pt>
                <c:pt idx="1">
                  <c:v>25</c:v>
                </c:pt>
                <c:pt idx="2">
                  <c:v>25</c:v>
                </c:pt>
              </c:numCache>
            </c:numRef>
          </c:val>
        </c:ser>
        <c:ser>
          <c:idx val="1"/>
          <c:order val="1"/>
          <c:tx>
            <c:strRef>
              <c:f>Saf.Insp.category!$Q$11</c:f>
              <c:strCache>
                <c:ptCount val="1"/>
                <c:pt idx="0">
                  <c:v>No. Insp.</c:v>
                </c:pt>
              </c:strCache>
            </c:strRef>
          </c:tx>
          <c:spPr>
            <a:solidFill>
              <a:schemeClr val="accent1"/>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extLst>
                <c:ext xmlns:c15="http://schemas.microsoft.com/office/drawing/2012/chart" uri="{02D57815-91ED-43cb-92C2-25804820EDAC}">
                  <c15:fullRef>
                    <c15:sqref>(Saf.Insp.category!$S$9,Saf.Insp.category!$T$9,Saf.Insp.category!$U$9,Saf.Insp.category!$W$9)</c15:sqref>
                  </c15:fullRef>
                </c:ext>
              </c:extLst>
              <c:f>(Saf.Insp.category!$S$9,Saf.Insp.category!$T$9,Saf.Insp.category!$U$9,Saf.Insp.category!$W$9)</c:f>
              <c:strCache>
                <c:ptCount val="4"/>
                <c:pt idx="0">
                  <c:v>1st Quarter</c:v>
                </c:pt>
                <c:pt idx="1">
                  <c:v>2nd Quarter</c:v>
                </c:pt>
                <c:pt idx="2">
                  <c:v>3rd Quarter</c:v>
                </c:pt>
                <c:pt idx="3">
                  <c:v>4th Quarter</c:v>
                </c:pt>
              </c:strCache>
            </c:strRef>
          </c:cat>
          <c:val>
            <c:numRef>
              <c:extLst>
                <c:ext xmlns:c15="http://schemas.microsoft.com/office/drawing/2012/chart" uri="{02D57815-91ED-43cb-92C2-25804820EDAC}">
                  <c15:fullRef>
                    <c15:sqref>Saf.Insp.category!$S$11:$W$11</c15:sqref>
                  </c15:fullRef>
                </c:ext>
              </c:extLst>
              <c:f>Saf.Insp.category!$S$11:$V$11</c:f>
              <c:numCache>
                <c:formatCode>General</c:formatCode>
                <c:ptCount val="4"/>
                <c:pt idx="0">
                  <c:v>7</c:v>
                </c:pt>
                <c:pt idx="1" c:formatCode="0">
                  <c:v>7</c:v>
                </c:pt>
                <c:pt idx="2" c:formatCode="0">
                  <c:v>6</c:v>
                </c:pt>
              </c:numCache>
            </c:numRef>
          </c:val>
        </c:ser>
        <c:ser>
          <c:idx val="3"/>
          <c:order val="2"/>
          <c:tx>
            <c:strRef>
              <c:f>Saf.Insp.category!$Q$12</c:f>
              <c:strCache>
                <c:ptCount val="1"/>
                <c:pt idx="0">
                  <c:v>Def.</c:v>
                </c:pt>
              </c:strCache>
            </c:strRef>
          </c:tx>
          <c:spPr>
            <a:solidFill>
              <a:srgbClr val="FF0000"/>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extLst>
                <c:ext xmlns:c15="http://schemas.microsoft.com/office/drawing/2012/chart" uri="{02D57815-91ED-43cb-92C2-25804820EDAC}">
                  <c15:fullRef>
                    <c15:sqref>(Saf.Insp.category!$S$9,Saf.Insp.category!$T$9,Saf.Insp.category!$U$9,Saf.Insp.category!$W$9)</c15:sqref>
                  </c15:fullRef>
                </c:ext>
              </c:extLst>
              <c:f>(Saf.Insp.category!$S$9,Saf.Insp.category!$T$9,Saf.Insp.category!$U$9,Saf.Insp.category!$W$9)</c:f>
              <c:strCache>
                <c:ptCount val="4"/>
                <c:pt idx="0">
                  <c:v>1st Quarter</c:v>
                </c:pt>
                <c:pt idx="1">
                  <c:v>2nd Quarter</c:v>
                </c:pt>
                <c:pt idx="2">
                  <c:v>3rd Quarter</c:v>
                </c:pt>
                <c:pt idx="3">
                  <c:v>4th Quarter</c:v>
                </c:pt>
              </c:strCache>
            </c:strRef>
          </c:cat>
          <c:val>
            <c:numRef>
              <c:extLst>
                <c:ext xmlns:c15="http://schemas.microsoft.com/office/drawing/2012/chart" uri="{02D57815-91ED-43cb-92C2-25804820EDAC}">
                  <c15:fullRef>
                    <c15:sqref>Saf.Insp.category!$S$12:$W$12</c15:sqref>
                  </c15:fullRef>
                </c:ext>
              </c:extLst>
              <c:f>Saf.Insp.category!$S$12:$V$12</c:f>
              <c:numCache>
                <c:formatCode>0</c:formatCode>
                <c:ptCount val="4"/>
                <c:pt idx="0">
                  <c:v>26</c:v>
                </c:pt>
                <c:pt idx="1">
                  <c:v>31</c:v>
                </c:pt>
                <c:pt idx="2">
                  <c:v>34</c:v>
                </c:pt>
              </c:numCache>
            </c:numRef>
          </c:val>
        </c:ser>
        <c:dLbls>
          <c:showLegendKey val="0"/>
          <c:showVal val="0"/>
          <c:showCatName val="0"/>
          <c:showSerName val="0"/>
          <c:showPercent val="0"/>
          <c:showBubbleSize val="0"/>
        </c:dLbls>
        <c:gapWidth val="150"/>
        <c:axId val="565610688"/>
        <c:axId val="565616960"/>
      </c:barChart>
      <c:lineChart>
        <c:grouping val="standard"/>
        <c:varyColors val="0"/>
        <c:ser>
          <c:idx val="4"/>
          <c:order val="3"/>
          <c:tx>
            <c:strRef>
              <c:f>Saf.Insp.category!$Q$13</c:f>
              <c:strCache>
                <c:ptCount val="1"/>
                <c:pt idx="0">
                  <c:v>Def x Insp.</c:v>
                </c:pt>
              </c:strCache>
            </c:strRef>
          </c:tx>
          <c:spPr>
            <a:ln w="28575" cap="rnd" cmpd="sng" algn="ctr">
              <a:solidFill>
                <a:schemeClr val="accent4">
                  <a:lumMod val="50000"/>
                </a:schemeClr>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Lit>
              <c:ptCount val="4"/>
              <c:pt idx="0">
                <c:v>1</c:v>
              </c:pt>
              <c:pt idx="1">
                <c:v>2</c:v>
              </c:pt>
              <c:pt idx="2">
                <c:v>3</c:v>
              </c:pt>
              <c:pt idx="3">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Saf.Insp.category!$S$13:$W$13</c15:sqref>
                  </c15:fullRef>
                </c:ext>
              </c:extLst>
              <c:f>Saf.Insp.category!$S$13:$V$13</c:f>
              <c:numCache>
                <c:formatCode>0.00</c:formatCode>
                <c:ptCount val="4"/>
                <c:pt idx="0">
                  <c:v>3.71428571428571</c:v>
                </c:pt>
                <c:pt idx="1">
                  <c:v>4.42857142857143</c:v>
                </c:pt>
                <c:pt idx="2">
                  <c:v>5.66666666666667</c:v>
                </c:pt>
              </c:numCache>
            </c:numRef>
          </c:val>
          <c:smooth val="0"/>
        </c:ser>
        <c:dLbls>
          <c:showLegendKey val="0"/>
          <c:showVal val="0"/>
          <c:showCatName val="0"/>
          <c:showSerName val="0"/>
          <c:showPercent val="0"/>
          <c:showBubbleSize val="0"/>
        </c:dLbls>
        <c:marker val="0"/>
        <c:smooth val="0"/>
        <c:axId val="565610688"/>
        <c:axId val="565616960"/>
      </c:lineChart>
      <c:catAx>
        <c:axId val="565610688"/>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5616960"/>
        <c:crosses val="autoZero"/>
        <c:auto val="1"/>
        <c:lblAlgn val="ctr"/>
        <c:lblOffset val="100"/>
        <c:noMultiLvlLbl val="0"/>
      </c:catAx>
      <c:valAx>
        <c:axId val="565616960"/>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5610688"/>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34c08e9-b10a-4c84-acaf-80b5fc595a09}"/>
      </c:ext>
    </c:extLst>
  </c:chart>
  <c:txPr>
    <a:bodyPr/>
    <a:lstStyle/>
    <a:p>
      <a:pPr>
        <a:defRPr lang="en-US"/>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it-IT" sz="1200"/>
              <a:t>SI Dr</a:t>
            </a:r>
            <a:r>
              <a:rPr lang="it-IT" sz="1200" baseline="0"/>
              <a:t>y Quarterly Trend</a:t>
            </a:r>
            <a:endParaRPr lang="it-IT" sz="1200"/>
          </a:p>
        </c:rich>
      </c:tx>
      <c:layout/>
      <c:overlay val="0"/>
    </c:title>
    <c:autoTitleDeleted val="0"/>
    <c:plotArea>
      <c:layout/>
      <c:barChart>
        <c:barDir val="col"/>
        <c:grouping val="clustered"/>
        <c:varyColors val="0"/>
        <c:ser>
          <c:idx val="0"/>
          <c:order val="0"/>
          <c:tx>
            <c:strRef>
              <c:f>Saf.Insp.category!$AF$10</c:f>
              <c:strCache>
                <c:ptCount val="1"/>
                <c:pt idx="0">
                  <c:v>No. Vess.</c:v>
                </c:pt>
              </c:strCache>
            </c:strRef>
          </c:tx>
          <c:spPr>
            <a:solidFill>
              <a:srgbClr val="92D050"/>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extLst>
                <c:ext xmlns:c15="http://schemas.microsoft.com/office/drawing/2012/chart" uri="{02D57815-91ED-43cb-92C2-25804820EDAC}">
                  <c15:fullRef>
                    <c15:sqref>Saf.Insp.category!$AG$9:$AJ$9</c15:sqref>
                  </c15:fullRef>
                </c:ext>
              </c:extLst>
              <c:f>Saf.Insp.category!$AG$9:$AJ$9</c:f>
              <c:strCache>
                <c:ptCount val="4"/>
                <c:pt idx="0">
                  <c:v>1st Quarter</c:v>
                </c:pt>
                <c:pt idx="1">
                  <c:v>2nd Quarter</c:v>
                </c:pt>
                <c:pt idx="2">
                  <c:v>3rd Quarter</c:v>
                </c:pt>
                <c:pt idx="3">
                  <c:v>4th Quarter</c:v>
                </c:pt>
              </c:strCache>
            </c:strRef>
          </c:cat>
          <c:val>
            <c:numRef>
              <c:extLst>
                <c:ext xmlns:c15="http://schemas.microsoft.com/office/drawing/2012/chart" uri="{02D57815-91ED-43cb-92C2-25804820EDAC}">
                  <c15:fullRef>
                    <c15:sqref>Saf.Insp.category!$AG$10:$AL$10</c15:sqref>
                  </c15:fullRef>
                </c:ext>
              </c:extLst>
              <c:f>Saf.Insp.category!$AG$10:$AJ$10</c:f>
              <c:numCache>
                <c:formatCode>General</c:formatCode>
                <c:ptCount val="4"/>
                <c:pt idx="0">
                  <c:v>9</c:v>
                </c:pt>
                <c:pt idx="1">
                  <c:v>9</c:v>
                </c:pt>
                <c:pt idx="2">
                  <c:v>10</c:v>
                </c:pt>
                <c:pt idx="3">
                  <c:v>11</c:v>
                </c:pt>
              </c:numCache>
            </c:numRef>
          </c:val>
        </c:ser>
        <c:ser>
          <c:idx val="1"/>
          <c:order val="1"/>
          <c:tx>
            <c:strRef>
              <c:f>Saf.Insp.category!$AF$11</c:f>
              <c:strCache>
                <c:ptCount val="1"/>
                <c:pt idx="0">
                  <c:v>No. Insp.</c:v>
                </c:pt>
              </c:strCache>
            </c:strRef>
          </c:tx>
          <c:spPr>
            <a:solidFill>
              <a:schemeClr val="accent1"/>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extLst>
                <c:ext xmlns:c15="http://schemas.microsoft.com/office/drawing/2012/chart" uri="{02D57815-91ED-43cb-92C2-25804820EDAC}">
                  <c15:fullRef>
                    <c15:sqref>Saf.Insp.category!$AG$9:$AJ$9</c15:sqref>
                  </c15:fullRef>
                </c:ext>
              </c:extLst>
              <c:f>Saf.Insp.category!$AG$9:$AJ$9</c:f>
              <c:strCache>
                <c:ptCount val="4"/>
                <c:pt idx="0">
                  <c:v>1st Quarter</c:v>
                </c:pt>
                <c:pt idx="1">
                  <c:v>2nd Quarter</c:v>
                </c:pt>
                <c:pt idx="2">
                  <c:v>3rd Quarter</c:v>
                </c:pt>
                <c:pt idx="3">
                  <c:v>4th Quarter</c:v>
                </c:pt>
              </c:strCache>
            </c:strRef>
          </c:cat>
          <c:val>
            <c:numRef>
              <c:extLst>
                <c:ext xmlns:c15="http://schemas.microsoft.com/office/drawing/2012/chart" uri="{02D57815-91ED-43cb-92C2-25804820EDAC}">
                  <c15:fullRef>
                    <c15:sqref>Saf.Insp.category!$AG$11:$AL$11</c15:sqref>
                  </c15:fullRef>
                </c:ext>
              </c:extLst>
              <c:f>Saf.Insp.category!$AG$11:$AJ$11</c:f>
              <c:numCache>
                <c:formatCode>General</c:formatCode>
                <c:ptCount val="4"/>
                <c:pt idx="0">
                  <c:v>0</c:v>
                </c:pt>
                <c:pt idx="1">
                  <c:v>0</c:v>
                </c:pt>
                <c:pt idx="2">
                  <c:v>3</c:v>
                </c:pt>
                <c:pt idx="3">
                  <c:v>2</c:v>
                </c:pt>
              </c:numCache>
            </c:numRef>
          </c:val>
        </c:ser>
        <c:ser>
          <c:idx val="3"/>
          <c:order val="2"/>
          <c:tx>
            <c:strRef>
              <c:f>Saf.Insp.category!$AF$12</c:f>
              <c:strCache>
                <c:ptCount val="1"/>
                <c:pt idx="0">
                  <c:v>Def.</c:v>
                </c:pt>
              </c:strCache>
            </c:strRef>
          </c:tx>
          <c:spPr>
            <a:solidFill>
              <a:srgbClr val="FF0000"/>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extLst>
                <c:ext xmlns:c15="http://schemas.microsoft.com/office/drawing/2012/chart" uri="{02D57815-91ED-43cb-92C2-25804820EDAC}">
                  <c15:fullRef>
                    <c15:sqref>Saf.Insp.category!$AG$9:$AJ$9</c15:sqref>
                  </c15:fullRef>
                </c:ext>
              </c:extLst>
              <c:f>Saf.Insp.category!$AG$9:$AJ$9</c:f>
              <c:strCache>
                <c:ptCount val="4"/>
                <c:pt idx="0">
                  <c:v>1st Quarter</c:v>
                </c:pt>
                <c:pt idx="1">
                  <c:v>2nd Quarter</c:v>
                </c:pt>
                <c:pt idx="2">
                  <c:v>3rd Quarter</c:v>
                </c:pt>
                <c:pt idx="3">
                  <c:v>4th Quarter</c:v>
                </c:pt>
              </c:strCache>
            </c:strRef>
          </c:cat>
          <c:val>
            <c:numRef>
              <c:extLst>
                <c:ext xmlns:c15="http://schemas.microsoft.com/office/drawing/2012/chart" uri="{02D57815-91ED-43cb-92C2-25804820EDAC}">
                  <c15:fullRef>
                    <c15:sqref>Saf.Insp.category!$AG$12:$AL$12</c15:sqref>
                  </c15:fullRef>
                </c:ext>
              </c:extLst>
              <c:f>Saf.Insp.category!$AG$12:$AJ$12</c:f>
              <c:numCache>
                <c:formatCode>0</c:formatCode>
                <c:ptCount val="4"/>
                <c:pt idx="0">
                  <c:v>0</c:v>
                </c:pt>
                <c:pt idx="1">
                  <c:v>0</c:v>
                </c:pt>
                <c:pt idx="2">
                  <c:v>17</c:v>
                </c:pt>
                <c:pt idx="3">
                  <c:v>9</c:v>
                </c:pt>
              </c:numCache>
            </c:numRef>
          </c:val>
        </c:ser>
        <c:dLbls>
          <c:showLegendKey val="0"/>
          <c:showVal val="0"/>
          <c:showCatName val="0"/>
          <c:showSerName val="0"/>
          <c:showPercent val="0"/>
          <c:showBubbleSize val="0"/>
        </c:dLbls>
        <c:gapWidth val="150"/>
        <c:axId val="565615784"/>
        <c:axId val="565612256"/>
      </c:barChart>
      <c:lineChart>
        <c:grouping val="standard"/>
        <c:varyColors val="0"/>
        <c:ser>
          <c:idx val="4"/>
          <c:order val="3"/>
          <c:tx>
            <c:strRef>
              <c:f>Saf.Insp.category!$AF$13</c:f>
              <c:strCache>
                <c:ptCount val="1"/>
                <c:pt idx="0">
                  <c:v>Def x Insp.</c:v>
                </c:pt>
              </c:strCache>
            </c:strRef>
          </c:tx>
          <c:spPr>
            <a:ln w="28575" cap="rnd" cmpd="sng" algn="ctr">
              <a:solidFill>
                <a:schemeClr val="accent4">
                  <a:lumMod val="50000"/>
                </a:schemeClr>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Lit>
              <c:ptCount val="4"/>
              <c:pt idx="0">
                <c:v>1</c:v>
              </c:pt>
              <c:pt idx="1">
                <c:v>2</c:v>
              </c:pt>
              <c:pt idx="2">
                <c:v>3</c:v>
              </c:pt>
              <c:pt idx="3">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Saf.Insp.category!$AG$13:$AL$13</c15:sqref>
                  </c15:fullRef>
                </c:ext>
              </c:extLst>
              <c:f>Saf.Insp.category!$AG$13:$AJ$13</c:f>
              <c:numCache>
                <c:formatCode>0.00</c:formatCode>
                <c:ptCount val="4"/>
                <c:pt idx="0">
                  <c:v>0</c:v>
                </c:pt>
                <c:pt idx="1">
                  <c:v>0</c:v>
                </c:pt>
                <c:pt idx="2">
                  <c:v>5.66666666666667</c:v>
                </c:pt>
                <c:pt idx="3">
                  <c:v>4.5</c:v>
                </c:pt>
              </c:numCache>
            </c:numRef>
          </c:val>
          <c:smooth val="0"/>
        </c:ser>
        <c:dLbls>
          <c:showLegendKey val="0"/>
          <c:showVal val="0"/>
          <c:showCatName val="0"/>
          <c:showSerName val="0"/>
          <c:showPercent val="0"/>
          <c:showBubbleSize val="0"/>
        </c:dLbls>
        <c:marker val="0"/>
        <c:smooth val="0"/>
        <c:axId val="565615784"/>
        <c:axId val="565612256"/>
      </c:lineChart>
      <c:catAx>
        <c:axId val="565615784"/>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5612256"/>
        <c:crosses val="autoZero"/>
        <c:auto val="1"/>
        <c:lblAlgn val="ctr"/>
        <c:lblOffset val="100"/>
        <c:noMultiLvlLbl val="0"/>
      </c:catAx>
      <c:valAx>
        <c:axId val="565612256"/>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5615784"/>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c1ccd76-efbc-4fb6-82ab-a8d907d7b53e}"/>
      </c:ext>
    </c:extLst>
  </c:chart>
  <c:txPr>
    <a:bodyPr/>
    <a:lstStyle/>
    <a:p>
      <a:pPr>
        <a:defRPr lang="en-US"/>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cap="all" baseline="0">
                <a:solidFill>
                  <a:schemeClr val="tx1">
                    <a:lumMod val="65000"/>
                    <a:lumOff val="35000"/>
                  </a:schemeClr>
                </a:solidFill>
                <a:latin typeface="+mn-lt"/>
                <a:ea typeface="+mn-ea"/>
                <a:cs typeface="+mn-cs"/>
              </a:defRPr>
            </a:pPr>
            <a:r>
              <a:rPr lang="en-US"/>
              <a:t>Fleet:  Yearly Deficiencies perArea</a:t>
            </a:r>
            <a:endParaRPr lang="en-US"/>
          </a:p>
        </c:rich>
      </c:tx>
      <c:layout>
        <c:manualLayout>
          <c:xMode val="edge"/>
          <c:yMode val="edge"/>
          <c:x val="0.200431828886204"/>
          <c:y val="0.0250783616523547"/>
        </c:manualLayout>
      </c:layout>
      <c:overlay val="0"/>
      <c:spPr>
        <a:noFill/>
        <a:ln>
          <a:noFill/>
        </a:ln>
        <a:effectLst/>
      </c:spPr>
    </c:title>
    <c:autoTitleDeleted val="0"/>
    <c:view3D>
      <c:rotX val="3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pie3DChart>
        <c:varyColors val="1"/>
        <c:ser>
          <c:idx val="0"/>
          <c:order val="0"/>
          <c:spPr/>
          <c:explosion val="25"/>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dLbl>
              <c:idx val="0"/>
              <c:layout/>
              <c:numFmt formatCode="General" sourceLinked="1"/>
              <c:spPr>
                <a:noFill/>
                <a:ln>
                  <a:noFill/>
                </a:ln>
                <a:effectLst/>
              </c:spPr>
              <c:txPr>
                <a:bodyPr rot="0" spcFirstLastPara="1" vertOverflow="ellipsis" vert="horz" wrap="square" lIns="38100" tIns="19050" rIns="38100" bIns="19050" anchor="ctr" anchorCtr="1">
                  <a:noAutofit/>
                </a:bodyPr>
                <a:lstStyle/>
                <a:p>
                  <a:pPr>
                    <a:defRPr lang="en-US" sz="700" b="1" i="0" u="none" strike="noStrike" kern="1200" spc="0" baseline="0">
                      <a:solidFill>
                        <a:schemeClr val="accent1"/>
                      </a:solidFill>
                      <a:latin typeface="+mn-lt"/>
                      <a:ea typeface="+mn-ea"/>
                      <a:cs typeface="+mn-cs"/>
                    </a:defRPr>
                  </a:pPr>
                </a:p>
              </c:txPr>
              <c:dLblPos val="outEnd"/>
              <c:showLegendKey val="0"/>
              <c:showVal val="0"/>
              <c:showCatName val="1"/>
              <c:showSerName val="0"/>
              <c:showPercent val="1"/>
              <c:showBubbleSize val="0"/>
              <c:separator>
</c:separator>
              <c:extLst>
                <c:ext xmlns:c15="http://schemas.microsoft.com/office/drawing/2012/chart" uri="{CE6537A1-D6FC-4f65-9D91-7224C49458BB}">
                  <c15:layout>
                    <c:manualLayout>
                      <c:w val="0.358664442370645"/>
                      <c:h val="0.1196030510032"/>
                    </c:manualLayout>
                  </c15:layout>
                </c:ext>
              </c:extLst>
            </c:dLbl>
            <c:dLbl>
              <c:idx val="1"/>
              <c:layout>
                <c:manualLayout>
                  <c:x val="0.0325087543259681"/>
                  <c:y val="0.0292580885944138"/>
                </c:manualLayout>
              </c:layout>
              <c:numFmt formatCode="General" sourceLinked="1"/>
              <c:spPr>
                <a:noFill/>
                <a:ln>
                  <a:noFill/>
                </a:ln>
                <a:effectLst/>
              </c:spPr>
              <c:txPr>
                <a:bodyPr rot="0" spcFirstLastPara="1" vertOverflow="ellipsis" vert="horz" wrap="square" lIns="38100" tIns="19050" rIns="38100" bIns="19050" anchor="ctr" anchorCtr="1">
                  <a:noAutofit/>
                </a:bodyPr>
                <a:lstStyle/>
                <a:p>
                  <a:pPr>
                    <a:defRPr lang="en-US" sz="700" b="1" i="0" u="none" strike="noStrike" kern="1200" spc="0" baseline="0">
                      <a:solidFill>
                        <a:schemeClr val="accent2"/>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43226733385796"/>
                      <c:h val="0.115423324061141"/>
                    </c:manualLayout>
                  </c15:layout>
                </c:ext>
              </c:extLst>
            </c:dLbl>
            <c:dLbl>
              <c:idx val="2"/>
              <c:layout>
                <c:manualLayout>
                  <c:x val="0.00464410776085258"/>
                  <c:y val="0.14211071603001"/>
                </c:manualLayout>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spc="0" baseline="0">
                      <a:solidFill>
                        <a:schemeClr val="accent3"/>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dLbl>
              <c:idx val="3"/>
              <c:layout>
                <c:manualLayout>
                  <c:x val="0.181120294092695"/>
                  <c:y val="0.108672900493537"/>
                </c:manualLayout>
              </c:layout>
              <c:numFmt formatCode="General" sourceLinked="1"/>
              <c:spPr>
                <a:noFill/>
                <a:ln>
                  <a:noFill/>
                </a:ln>
                <a:effectLst/>
              </c:spPr>
              <c:txPr>
                <a:bodyPr rot="0" spcFirstLastPara="1" vertOverflow="ellipsis" vert="horz" wrap="square" lIns="38100" tIns="19050" rIns="38100" bIns="19050" anchor="ctr" anchorCtr="1">
                  <a:noAutofit/>
                </a:bodyPr>
                <a:lstStyle/>
                <a:p>
                  <a:pPr>
                    <a:defRPr lang="en-US" sz="700" b="1" i="0" u="none" strike="noStrike" kern="1200" spc="0" baseline="0">
                      <a:solidFill>
                        <a:schemeClr val="accent4"/>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8279142324716"/>
                      <c:h val="0.115423324061141"/>
                    </c:manualLayout>
                  </c15:layout>
                </c:ext>
              </c:extLst>
            </c:dLbl>
            <c:dLbl>
              <c:idx val="4"/>
              <c:layout>
                <c:manualLayout>
                  <c:x val="-0.146289394466856"/>
                  <c:y val="0.359456846129441"/>
                </c:manualLayout>
              </c:layout>
              <c:numFmt formatCode="General" sourceLinked="1"/>
              <c:spPr>
                <a:noFill/>
                <a:ln>
                  <a:noFill/>
                </a:ln>
                <a:effectLst/>
              </c:spPr>
              <c:txPr>
                <a:bodyPr rot="0" spcFirstLastPara="1" vertOverflow="ellipsis" vert="horz" wrap="square" lIns="38100" tIns="19050" rIns="38100" bIns="19050" anchor="ctr" anchorCtr="1">
                  <a:noAutofit/>
                </a:bodyPr>
                <a:lstStyle/>
                <a:p>
                  <a:pPr>
                    <a:defRPr lang="en-US" sz="700" b="1" i="0" u="none" strike="noStrike" kern="1200" spc="0" baseline="0">
                      <a:solidFill>
                        <a:schemeClr val="accent5"/>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89711802030828"/>
                      <c:h val="0.115423324061141"/>
                    </c:manualLayout>
                  </c15:layout>
                </c:ext>
              </c:extLst>
            </c:dLbl>
            <c:dLbl>
              <c:idx val="5"/>
              <c:layout>
                <c:manualLayout>
                  <c:x val="-0.0103806778788349"/>
                  <c:y val="0.140021017115159"/>
                </c:manualLayout>
              </c:layout>
              <c:numFmt formatCode="General" sourceLinked="1"/>
              <c:spPr>
                <a:noFill/>
                <a:ln>
                  <a:noFill/>
                </a:ln>
                <a:effectLst/>
              </c:spPr>
              <c:txPr>
                <a:bodyPr rot="0" spcFirstLastPara="1" vertOverflow="ellipsis" vert="horz" wrap="square" lIns="38100" tIns="19050" rIns="38100" bIns="19050" anchor="ctr" anchorCtr="1">
                  <a:noAutofit/>
                </a:bodyPr>
                <a:lstStyle/>
                <a:p>
                  <a:pPr>
                    <a:defRPr lang="en-US" sz="700" b="1" i="0" u="none" strike="noStrike" kern="1200" spc="0" baseline="0">
                      <a:solidFill>
                        <a:schemeClr val="accent6"/>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69753840348008"/>
                      <c:h val="0.111243597119082"/>
                    </c:manualLayout>
                  </c15:layout>
                </c:ext>
              </c:extLst>
            </c:dLbl>
            <c:dLbl>
              <c:idx val="6"/>
              <c:layout>
                <c:manualLayout>
                  <c:x val="-0.176476094912398"/>
                  <c:y val="0.13793115364413"/>
                </c:manualLayout>
              </c:layout>
              <c:numFmt formatCode="General" sourceLinked="1"/>
              <c:spPr>
                <a:noFill/>
                <a:ln>
                  <a:noFill/>
                </a:ln>
                <a:effectLst/>
              </c:spPr>
              <c:txPr>
                <a:bodyPr rot="0" spcFirstLastPara="1" vertOverflow="ellipsis" vert="horz" wrap="square" lIns="38100" tIns="19050" rIns="38100" bIns="19050" anchor="ctr" anchorCtr="1">
                  <a:noAutofit/>
                </a:bodyPr>
                <a:lstStyle/>
                <a:p>
                  <a:pPr>
                    <a:defRPr lang="en-US" sz="700" b="1" i="0" u="none" strike="noStrike" kern="1200" spc="0" baseline="0">
                      <a:solidFill>
                        <a:schemeClr val="accent1">
                          <a:lumMod val="60000"/>
                        </a:schemeClr>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72157074694805"/>
                      <c:h val="0.125767983686559"/>
                    </c:manualLayout>
                  </c15:layout>
                </c:ext>
              </c:extLst>
            </c:dLbl>
            <c:dLbl>
              <c:idx val="7"/>
              <c:layout>
                <c:manualLayout>
                  <c:x val="-0.0417968784282292"/>
                  <c:y val="-0.00835945388411822"/>
                </c:manualLayout>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spc="0" baseline="0">
                      <a:solidFill>
                        <a:schemeClr val="accent2">
                          <a:lumMod val="60000"/>
                        </a:schemeClr>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85613285512432"/>
                      <c:h val="0.11456631548184"/>
                    </c:manualLayout>
                  </c15:layout>
                </c:ext>
              </c:extLst>
            </c:dLbl>
            <c:dLbl>
              <c:idx val="8"/>
              <c:layout>
                <c:manualLayout>
                  <c:x val="-0.148611448347283"/>
                  <c:y val="0.03019951449345"/>
                </c:manualLayout>
              </c:layout>
              <c:numFmt formatCode="General" sourceLinked="1"/>
              <c:spPr>
                <a:noFill/>
                <a:ln>
                  <a:noFill/>
                </a:ln>
                <a:effectLst/>
              </c:spPr>
              <c:txPr>
                <a:bodyPr rot="0" spcFirstLastPara="1" vertOverflow="ellipsis" vert="horz" wrap="square" lIns="38100" tIns="19050" rIns="38100" bIns="19050" anchor="ctr" anchorCtr="1">
                  <a:noAutofit/>
                </a:bodyPr>
                <a:lstStyle/>
                <a:p>
                  <a:pPr>
                    <a:defRPr lang="en-US" sz="700" b="1" i="0" u="none" strike="noStrike" kern="1200" spc="0" baseline="0">
                      <a:solidFill>
                        <a:schemeClr val="accent3">
                          <a:lumMod val="60000"/>
                        </a:schemeClr>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46404656101992"/>
                      <c:h val="0.166436726832794"/>
                    </c:manualLayout>
                  </c15:layout>
                </c:ext>
              </c:extLst>
            </c:dLbl>
            <c:dLbl>
              <c:idx val="9"/>
              <c:layout>
                <c:manualLayout>
                  <c:x val="-0.0301867004455418"/>
                  <c:y val="0.0208986347102956"/>
                </c:manualLayout>
              </c:layout>
              <c:numFmt formatCode="General" sourceLinked="1"/>
              <c:spPr>
                <a:noFill/>
                <a:ln>
                  <a:noFill/>
                </a:ln>
                <a:effectLst/>
              </c:spPr>
              <c:txPr>
                <a:bodyPr rot="0" spcFirstLastPara="1" vertOverflow="ellipsis" vert="horz" wrap="square" lIns="38100" tIns="19050" rIns="38100" bIns="19050" anchor="ctr" anchorCtr="1">
                  <a:noAutofit/>
                </a:bodyPr>
                <a:lstStyle/>
                <a:p>
                  <a:pPr>
                    <a:defRPr lang="en-US" sz="600" b="1" i="0" u="none" strike="noStrike" kern="1200" spc="0" baseline="0">
                      <a:solidFill>
                        <a:schemeClr val="accent4">
                          <a:lumMod val="60000"/>
                        </a:schemeClr>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29651786994158"/>
                      <c:h val="0.162256999890735"/>
                    </c:manualLayout>
                  </c15:layout>
                </c:ext>
              </c:extLst>
            </c:dLbl>
            <c:dLbl>
              <c:idx val="10"/>
              <c:layout>
                <c:manualLayout>
                  <c:x val="0.0232205388042629"/>
                  <c:y val="-0.0250783616523547"/>
                </c:manualLayout>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spc="0" baseline="0">
                      <a:solidFill>
                        <a:schemeClr val="accent5">
                          <a:lumMod val="60000"/>
                        </a:schemeClr>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p>
            </c:txPr>
            <c:dLblPos val="outEnd"/>
            <c:showLegendKey val="0"/>
            <c:showVal val="0"/>
            <c:showCatName val="1"/>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'Int.Aud. Category'!$A$88:$A$98</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'Int.Aud. Category'!$H$88:$H$98</c:f>
              <c:numCache>
                <c:formatCode>0.00</c:formatCode>
                <c:ptCount val="11"/>
                <c:pt idx="0">
                  <c:v>0.439024390243902</c:v>
                </c:pt>
                <c:pt idx="1">
                  <c:v>0.0731707317073171</c:v>
                </c:pt>
                <c:pt idx="2">
                  <c:v>0.414634146341463</c:v>
                </c:pt>
                <c:pt idx="3">
                  <c:v>2.1219512195122</c:v>
                </c:pt>
                <c:pt idx="4">
                  <c:v>0.341463414634146</c:v>
                </c:pt>
                <c:pt idx="5">
                  <c:v>0.0487804878048781</c:v>
                </c:pt>
                <c:pt idx="6">
                  <c:v>0.170731707317073</c:v>
                </c:pt>
                <c:pt idx="7">
                  <c:v>0.0731707317073171</c:v>
                </c:pt>
                <c:pt idx="8">
                  <c:v>0.146341463414634</c:v>
                </c:pt>
                <c:pt idx="9">
                  <c:v>0.292682926829268</c:v>
                </c:pt>
                <c:pt idx="10">
                  <c:v>0</c:v>
                </c:pt>
              </c:numCache>
            </c:numRef>
          </c:val>
        </c:ser>
        <c:dLbls>
          <c:showLegendKey val="0"/>
          <c:showVal val="0"/>
          <c:showCatName val="1"/>
          <c:showSerName val="0"/>
          <c:showPercent val="0"/>
          <c:showBubbleSize val="0"/>
        </c:dLbls>
      </c:pie3DChart>
      <c:spPr>
        <a:noFill/>
        <a:ln>
          <a:noFill/>
        </a:ln>
        <a:effectLst/>
      </c:spPr>
    </c:plotArea>
    <c:plotVisOnly val="1"/>
    <c:dispBlanksAs val="gap"/>
    <c:showDLblsOverMax val="0"/>
    <c:extLst>
      <c:ext uri="{0b15fc19-7d7d-44ad-8c2d-2c3a37ce22c3}">
        <chartProps xmlns="https://web.wps.cn/et/2018/main" chartId="{992c2efd-d4b3-4778-91c9-f57f03ea8bdd}"/>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en-US" sz="1200"/>
              <a:t>Fleet:</a:t>
            </a:r>
            <a:r>
              <a:rPr lang="en-US" sz="1200" baseline="0"/>
              <a:t> Quarterly Deficiencies per Area</a:t>
            </a:r>
            <a:endParaRPr lang="en-US" sz="1200"/>
          </a:p>
        </c:rich>
      </c:tx>
      <c:layout/>
      <c:overlay val="0"/>
    </c:title>
    <c:autoTitleDeleted val="0"/>
    <c:plotArea>
      <c:layout/>
      <c:barChart>
        <c:barDir val="col"/>
        <c:grouping val="clustered"/>
        <c:varyColors val="0"/>
        <c:ser>
          <c:idx val="0"/>
          <c:order val="0"/>
          <c:tx>
            <c:strRef>
              <c:f>'Int.Aud. Category'!$B$87</c:f>
              <c:strCache>
                <c:ptCount val="1"/>
                <c:pt idx="0">
                  <c:v>1st quarter</c:v>
                </c:pt>
              </c:strCache>
            </c:strRef>
          </c:tx>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'Int.Aud. Category'!$A$88:$A$98</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'Int.Aud. Category'!$B$88:$B$98</c:f>
              <c:numCache>
                <c:formatCode>0</c:formatCode>
                <c:ptCount val="11"/>
                <c:pt idx="0">
                  <c:v>2</c:v>
                </c:pt>
                <c:pt idx="1">
                  <c:v>1</c:v>
                </c:pt>
                <c:pt idx="2">
                  <c:v>4</c:v>
                </c:pt>
                <c:pt idx="3">
                  <c:v>13</c:v>
                </c:pt>
                <c:pt idx="4">
                  <c:v>0</c:v>
                </c:pt>
                <c:pt idx="5">
                  <c:v>0</c:v>
                </c:pt>
                <c:pt idx="6">
                  <c:v>1</c:v>
                </c:pt>
                <c:pt idx="7">
                  <c:v>0</c:v>
                </c:pt>
                <c:pt idx="8">
                  <c:v>0</c:v>
                </c:pt>
                <c:pt idx="9">
                  <c:v>1</c:v>
                </c:pt>
                <c:pt idx="10">
                  <c:v>0</c:v>
                </c:pt>
              </c:numCache>
            </c:numRef>
          </c:val>
        </c:ser>
        <c:ser>
          <c:idx val="1"/>
          <c:order val="1"/>
          <c:tx>
            <c:strRef>
              <c:f>'Int.Aud. Category'!$C$87</c:f>
              <c:strCache>
                <c:ptCount val="1"/>
                <c:pt idx="0">
                  <c:v>2nd quarter</c:v>
                </c:pt>
              </c:strCache>
            </c:strRef>
          </c:tx>
          <c:invertIfNegative val="0"/>
          <c:dLbls>
            <c:delete val="1"/>
          </c:dLbls>
          <c:cat>
            <c:strRef>
              <c:f>'Int.Aud. Category'!$A$88:$A$98</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'Int.Aud. Category'!$C$88:$C$98</c:f>
              <c:numCache>
                <c:formatCode>0</c:formatCode>
                <c:ptCount val="11"/>
                <c:pt idx="0">
                  <c:v>9</c:v>
                </c:pt>
                <c:pt idx="1" c:formatCode="General">
                  <c:v>2</c:v>
                </c:pt>
                <c:pt idx="2">
                  <c:v>1</c:v>
                </c:pt>
                <c:pt idx="3" c:formatCode="General">
                  <c:v>19</c:v>
                </c:pt>
                <c:pt idx="4" c:formatCode="General">
                  <c:v>8</c:v>
                </c:pt>
                <c:pt idx="5" c:formatCode="General">
                  <c:v>0</c:v>
                </c:pt>
                <c:pt idx="6" c:formatCode="General">
                  <c:v>0</c:v>
                </c:pt>
                <c:pt idx="7" c:formatCode="General">
                  <c:v>0</c:v>
                </c:pt>
                <c:pt idx="8" c:formatCode="General">
                  <c:v>3</c:v>
                </c:pt>
                <c:pt idx="9" c:formatCode="General">
                  <c:v>2</c:v>
                </c:pt>
                <c:pt idx="10" c:formatCode="General">
                  <c:v>0</c:v>
                </c:pt>
              </c:numCache>
            </c:numRef>
          </c:val>
        </c:ser>
        <c:ser>
          <c:idx val="2"/>
          <c:order val="2"/>
          <c:tx>
            <c:strRef>
              <c:f>'Int.Aud. Category'!$D$87</c:f>
              <c:strCache>
                <c:ptCount val="1"/>
                <c:pt idx="0">
                  <c:v>3rd quarter</c:v>
                </c:pt>
              </c:strCache>
            </c:strRef>
          </c:tx>
          <c:invertIfNegative val="0"/>
          <c:dLbls>
            <c:delete val="1"/>
          </c:dLbls>
          <c:cat>
            <c:strRef>
              <c:f>'Int.Aud. Category'!$A$88:$A$98</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'Int.Aud. Category'!$D$88:$D$98</c:f>
              <c:numCache>
                <c:formatCode>General</c:formatCode>
                <c:ptCount val="11"/>
                <c:pt idx="0">
                  <c:v>6</c:v>
                </c:pt>
                <c:pt idx="1">
                  <c:v>0</c:v>
                </c:pt>
                <c:pt idx="2">
                  <c:v>8</c:v>
                </c:pt>
                <c:pt idx="3">
                  <c:v>31</c:v>
                </c:pt>
                <c:pt idx="4">
                  <c:v>2</c:v>
                </c:pt>
                <c:pt idx="5">
                  <c:v>1</c:v>
                </c:pt>
                <c:pt idx="6">
                  <c:v>4</c:v>
                </c:pt>
                <c:pt idx="7">
                  <c:v>1</c:v>
                </c:pt>
                <c:pt idx="8">
                  <c:v>1</c:v>
                </c:pt>
                <c:pt idx="9">
                  <c:v>3</c:v>
                </c:pt>
                <c:pt idx="10">
                  <c:v>0</c:v>
                </c:pt>
              </c:numCache>
            </c:numRef>
          </c:val>
        </c:ser>
        <c:ser>
          <c:idx val="3"/>
          <c:order val="3"/>
          <c:tx>
            <c:strRef>
              <c:f>'Int.Aud. Category'!$E$87</c:f>
              <c:strCache>
                <c:ptCount val="1"/>
                <c:pt idx="0">
                  <c:v>4th quarter</c:v>
                </c:pt>
              </c:strCache>
            </c:strRef>
          </c:tx>
          <c:invertIfNegative val="0"/>
          <c:dLbls>
            <c:delete val="1"/>
          </c:dLbls>
          <c:cat>
            <c:strRef>
              <c:f>'Int.Aud. Category'!$A$88:$A$98</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'Int.Aud. Category'!$E$88:$E$98</c:f>
              <c:numCache>
                <c:formatCode>General</c:formatCode>
                <c:ptCount val="11"/>
                <c:pt idx="0">
                  <c:v>1</c:v>
                </c:pt>
                <c:pt idx="1">
                  <c:v>0</c:v>
                </c:pt>
                <c:pt idx="2">
                  <c:v>4</c:v>
                </c:pt>
                <c:pt idx="3">
                  <c:v>24</c:v>
                </c:pt>
                <c:pt idx="4">
                  <c:v>4</c:v>
                </c:pt>
                <c:pt idx="5">
                  <c:v>1</c:v>
                </c:pt>
                <c:pt idx="6">
                  <c:v>2</c:v>
                </c:pt>
                <c:pt idx="7">
                  <c:v>2</c:v>
                </c:pt>
                <c:pt idx="8">
                  <c:v>2</c:v>
                </c:pt>
                <c:pt idx="9">
                  <c:v>6</c:v>
                </c:pt>
                <c:pt idx="10">
                  <c:v>0</c:v>
                </c:pt>
              </c:numCache>
            </c:numRef>
          </c:val>
        </c:ser>
        <c:dLbls>
          <c:showLegendKey val="0"/>
          <c:showVal val="0"/>
          <c:showCatName val="0"/>
          <c:showSerName val="0"/>
          <c:showPercent val="0"/>
          <c:showBubbleSize val="0"/>
        </c:dLbls>
        <c:gapWidth val="150"/>
        <c:axId val="565613824"/>
        <c:axId val="562691440"/>
      </c:barChart>
      <c:catAx>
        <c:axId val="565613824"/>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800" b="0" i="0" u="none" strike="noStrike" kern="1200" baseline="0">
                <a:solidFill>
                  <a:schemeClr val="tx1"/>
                </a:solidFill>
                <a:latin typeface="+mn-lt"/>
                <a:ea typeface="+mn-ea"/>
                <a:cs typeface="+mn-cs"/>
              </a:defRPr>
            </a:pPr>
          </a:p>
        </c:txPr>
        <c:crossAx val="562691440"/>
        <c:crosses val="autoZero"/>
        <c:auto val="1"/>
        <c:lblAlgn val="ctr"/>
        <c:lblOffset val="100"/>
        <c:noMultiLvlLbl val="0"/>
      </c:catAx>
      <c:valAx>
        <c:axId val="562691440"/>
        <c:scaling>
          <c:orientation val="minMax"/>
        </c:scaling>
        <c:delete val="0"/>
        <c:axPos val="l"/>
        <c:majorGridlines/>
        <c:numFmt formatCode="0"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5613824"/>
        <c:crosses val="autoZero"/>
        <c:crossBetween val="between"/>
      </c:valAx>
      <c:spPr>
        <a:solidFill>
          <a:schemeClr val="bg1"/>
        </a:solidFill>
        <a:ln>
          <a:noFill/>
        </a:ln>
        <a:effectLst/>
      </c:spPr>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1fdfad0-d32f-4849-8d41-d98aa643cd1f}"/>
      </c:ext>
    </c:extLst>
  </c:chart>
  <c:txPr>
    <a:bodyPr/>
    <a:lstStyle/>
    <a:p>
      <a:pPr>
        <a:defRPr lang="en-US"/>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cap="all" baseline="0">
                <a:solidFill>
                  <a:schemeClr val="tx1">
                    <a:lumMod val="65000"/>
                    <a:lumOff val="35000"/>
                  </a:schemeClr>
                </a:solidFill>
                <a:latin typeface="+mn-lt"/>
                <a:ea typeface="+mn-ea"/>
                <a:cs typeface="+mn-cs"/>
              </a:defRPr>
            </a:pPr>
            <a:r>
              <a:rPr lang="en-US"/>
              <a:t>Tankers: Yearly Deficiencies per Area</a:t>
            </a:r>
            <a:endParaRPr lang="en-US"/>
          </a:p>
        </c:rich>
      </c:tx>
      <c:layout/>
      <c:overlay val="0"/>
      <c:spPr>
        <a:noFill/>
        <a:ln>
          <a:noFill/>
        </a:ln>
        <a:effectLst/>
      </c:spPr>
    </c:title>
    <c:autoTitleDeleted val="0"/>
    <c:view3D>
      <c:rotX val="3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0"/>
          <c:y val="0.333658172565725"/>
          <c:w val="1"/>
          <c:h val="0.561574455939102"/>
        </c:manualLayout>
      </c:layout>
      <c:pie3DChart>
        <c:varyColors val="1"/>
        <c:ser>
          <c:idx val="0"/>
          <c:order val="0"/>
          <c:tx>
            <c:strRef>
              <c:f>'Int.Aud. Category'!$F$103:$G$103</c:f>
              <c:strCache>
                <c:ptCount val="1"/>
                <c:pt idx="0">
                  <c:v>Total</c:v>
                </c:pt>
              </c:strCache>
            </c:strRef>
          </c:tx>
          <c:spPr/>
          <c:explosion val="10"/>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dLbl>
              <c:idx val="0"/>
              <c:layout>
                <c:manualLayout>
                  <c:x val="0.0460115003390178"/>
                  <c:y val="-0.033907876038679"/>
                </c:manualLayout>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spc="0" baseline="0">
                      <a:solidFill>
                        <a:schemeClr val="accent1"/>
                      </a:solidFill>
                      <a:latin typeface="+mn-lt"/>
                      <a:ea typeface="+mn-ea"/>
                      <a:cs typeface="+mn-cs"/>
                    </a:defRPr>
                  </a:pPr>
                </a:p>
              </c:txPr>
              <c:dLblPos val="bestFit"/>
              <c:showLegendKey val="0"/>
              <c:showVal val="0"/>
              <c:showCatName val="1"/>
              <c:showSerName val="0"/>
              <c:showPercent val="0"/>
              <c:showBubbleSize val="0"/>
              <c:extLst>
                <c:ext xmlns:c15="http://schemas.microsoft.com/office/drawing/2012/chart" uri="{CE6537A1-D6FC-4f65-9D91-7224C49458BB}">
                  <c15:layout/>
                </c:ext>
              </c:extLst>
            </c:dLbl>
            <c:dLbl>
              <c:idx val="1"/>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spc="0" baseline="0">
                      <a:solidFill>
                        <a:schemeClr val="accent2"/>
                      </a:solidFill>
                      <a:latin typeface="+mn-lt"/>
                      <a:ea typeface="+mn-ea"/>
                      <a:cs typeface="+mn-cs"/>
                    </a:defRPr>
                  </a:pPr>
                </a:p>
              </c:txPr>
              <c:dLblPos val="outEnd"/>
              <c:showLegendKey val="0"/>
              <c:showVal val="0"/>
              <c:showCatName val="1"/>
              <c:showSerName val="0"/>
              <c:showPercent val="0"/>
              <c:showBubbleSize val="0"/>
              <c:extLst>
                <c:ext xmlns:c15="http://schemas.microsoft.com/office/drawing/2012/chart" uri="{CE6537A1-D6FC-4f65-9D91-7224C49458BB}"/>
              </c:extLst>
            </c:dLbl>
            <c:dLbl>
              <c:idx val="2"/>
              <c:layout>
                <c:manualLayout>
                  <c:x val="0.0391097752881651"/>
                  <c:y val="0.0635772675725231"/>
                </c:manualLayout>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spc="0" baseline="0">
                      <a:solidFill>
                        <a:schemeClr val="accent3"/>
                      </a:solidFill>
                      <a:latin typeface="+mn-lt"/>
                      <a:ea typeface="+mn-ea"/>
                      <a:cs typeface="+mn-cs"/>
                    </a:defRPr>
                  </a:pPr>
                </a:p>
              </c:txPr>
              <c:dLblPos val="bestFit"/>
              <c:showLegendKey val="0"/>
              <c:showVal val="0"/>
              <c:showCatName val="1"/>
              <c:showSerName val="0"/>
              <c:showPercent val="0"/>
              <c:showBubbleSize val="0"/>
              <c:extLst>
                <c:ext xmlns:c15="http://schemas.microsoft.com/office/drawing/2012/chart" uri="{CE6537A1-D6FC-4f65-9D91-7224C49458BB}">
                  <c15:layout/>
                </c:ext>
              </c:extLst>
            </c:dLbl>
            <c:dLbl>
              <c:idx val="3"/>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spc="0" baseline="0">
                      <a:solidFill>
                        <a:schemeClr val="accent4"/>
                      </a:solidFill>
                      <a:latin typeface="+mn-lt"/>
                      <a:ea typeface="+mn-ea"/>
                      <a:cs typeface="+mn-cs"/>
                    </a:defRPr>
                  </a:pPr>
                </a:p>
              </c:txPr>
              <c:dLblPos val="outEnd"/>
              <c:showLegendKey val="0"/>
              <c:showVal val="0"/>
              <c:showCatName val="1"/>
              <c:showSerName val="0"/>
              <c:showPercent val="0"/>
              <c:showBubbleSize val="0"/>
              <c:extLst>
                <c:ext xmlns:c15="http://schemas.microsoft.com/office/drawing/2012/chart" uri="{CE6537A1-D6FC-4f65-9D91-7224C49458BB}"/>
              </c:extLst>
            </c:dLbl>
            <c:dLbl>
              <c:idx val="4"/>
              <c:layout>
                <c:manualLayout>
                  <c:x val="-0.0759189755593794"/>
                  <c:y val="0.0635772675725231"/>
                </c:manualLayout>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spc="0" baseline="0">
                      <a:solidFill>
                        <a:schemeClr val="accent5"/>
                      </a:solidFill>
                      <a:latin typeface="+mn-lt"/>
                      <a:ea typeface="+mn-ea"/>
                      <a:cs typeface="+mn-cs"/>
                    </a:defRPr>
                  </a:pPr>
                </a:p>
              </c:txPr>
              <c:dLblPos val="bestFit"/>
              <c:showLegendKey val="0"/>
              <c:showVal val="0"/>
              <c:showCatName val="1"/>
              <c:showSerName val="0"/>
              <c:showPercent val="0"/>
              <c:showBubbleSize val="0"/>
              <c:extLst>
                <c:ext xmlns:c15="http://schemas.microsoft.com/office/drawing/2012/chart" uri="{CE6537A1-D6FC-4f65-9D91-7224C49458BB}">
                  <c15:layout/>
                </c:ext>
              </c:extLst>
            </c:dLbl>
            <c:dLbl>
              <c:idx val="5"/>
              <c:layout>
                <c:manualLayout>
                  <c:x val="-0.101225300745839"/>
                  <c:y val="0.110200597125707"/>
                </c:manualLayout>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spc="0" baseline="0">
                      <a:solidFill>
                        <a:schemeClr val="accent6"/>
                      </a:solidFill>
                      <a:latin typeface="+mn-lt"/>
                      <a:ea typeface="+mn-ea"/>
                      <a:cs typeface="+mn-cs"/>
                    </a:defRPr>
                  </a:pPr>
                </a:p>
              </c:txPr>
              <c:dLblPos val="bestFit"/>
              <c:showLegendKey val="0"/>
              <c:showVal val="0"/>
              <c:showCatName val="1"/>
              <c:showSerName val="0"/>
              <c:showPercent val="0"/>
              <c:showBubbleSize val="0"/>
              <c:extLst>
                <c:ext xmlns:c15="http://schemas.microsoft.com/office/drawing/2012/chart" uri="{CE6537A1-D6FC-4f65-9D91-7224C49458BB}">
                  <c15:layout/>
                </c:ext>
              </c:extLst>
            </c:dLbl>
            <c:dLbl>
              <c:idx val="6"/>
              <c:layout>
                <c:manualLayout>
                  <c:x val="-0.085121275627183"/>
                  <c:y val="0.033907876038679"/>
                </c:manualLayout>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spc="0" baseline="0">
                      <a:solidFill>
                        <a:schemeClr val="accent1">
                          <a:lumMod val="60000"/>
                        </a:schemeClr>
                      </a:solidFill>
                      <a:latin typeface="+mn-lt"/>
                      <a:ea typeface="+mn-ea"/>
                      <a:cs typeface="+mn-cs"/>
                    </a:defRPr>
                  </a:pPr>
                </a:p>
              </c:txPr>
              <c:dLblPos val="bestFit"/>
              <c:showLegendKey val="0"/>
              <c:showVal val="0"/>
              <c:showCatName val="1"/>
              <c:showSerName val="0"/>
              <c:showPercent val="0"/>
              <c:showBubbleSize val="0"/>
              <c:extLst>
                <c:ext xmlns:c15="http://schemas.microsoft.com/office/drawing/2012/chart" uri="{CE6537A1-D6FC-4f65-9D91-7224C49458BB}">
                  <c15:layout/>
                </c:ext>
              </c:extLst>
            </c:dLbl>
            <c:dLbl>
              <c:idx val="7"/>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spc="0" baseline="0">
                      <a:solidFill>
                        <a:schemeClr val="accent2">
                          <a:lumMod val="60000"/>
                        </a:schemeClr>
                      </a:solidFill>
                      <a:latin typeface="+mn-lt"/>
                      <a:ea typeface="+mn-ea"/>
                      <a:cs typeface="+mn-cs"/>
                    </a:defRPr>
                  </a:pPr>
                </a:p>
              </c:txPr>
              <c:dLblPos val="outEnd"/>
              <c:showLegendKey val="0"/>
              <c:showVal val="0"/>
              <c:showCatName val="1"/>
              <c:showSerName val="0"/>
              <c:showPercent val="0"/>
              <c:showBubbleSize val="0"/>
              <c:extLst>
                <c:ext xmlns:c15="http://schemas.microsoft.com/office/drawing/2012/chart" uri="{CE6537A1-D6FC-4f65-9D91-7224C49458BB}"/>
              </c:extLst>
            </c:dLbl>
            <c:dLbl>
              <c:idx val="8"/>
              <c:layout>
                <c:manualLayout>
                  <c:x val="-0.0989247257288883"/>
                  <c:y val="-0.00847696900966979"/>
                </c:manualLayout>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spc="0" baseline="0">
                      <a:solidFill>
                        <a:schemeClr val="accent3">
                          <a:lumMod val="60000"/>
                        </a:schemeClr>
                      </a:solidFill>
                      <a:latin typeface="+mn-lt"/>
                      <a:ea typeface="+mn-ea"/>
                      <a:cs typeface="+mn-cs"/>
                    </a:defRPr>
                  </a:pPr>
                </a:p>
              </c:txPr>
              <c:dLblPos val="bestFit"/>
              <c:showLegendKey val="0"/>
              <c:showVal val="0"/>
              <c:showCatName val="1"/>
              <c:showSerName val="0"/>
              <c:showPercent val="0"/>
              <c:showBubbleSize val="0"/>
              <c:extLst>
                <c:ext xmlns:c15="http://schemas.microsoft.com/office/drawing/2012/chart" uri="{CE6537A1-D6FC-4f65-9D91-7224C49458BB}">
                  <c15:layout/>
                </c:ext>
              </c:extLst>
            </c:dLbl>
            <c:dLbl>
              <c:idx val="9"/>
              <c:layout>
                <c:manualLayout>
                  <c:x val="0.041410350305116"/>
                  <c:y val="-0.0762927210870278"/>
                </c:manualLayout>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spc="0" baseline="0">
                      <a:solidFill>
                        <a:schemeClr val="accent4">
                          <a:lumMod val="60000"/>
                        </a:schemeClr>
                      </a:solidFill>
                      <a:latin typeface="+mn-lt"/>
                      <a:ea typeface="+mn-ea"/>
                      <a:cs typeface="+mn-cs"/>
                    </a:defRPr>
                  </a:pPr>
                </a:p>
              </c:txPr>
              <c:dLblPos val="bestFit"/>
              <c:showLegendKey val="0"/>
              <c:showVal val="0"/>
              <c:showCatName val="1"/>
              <c:showSerName val="0"/>
              <c:showPercent val="0"/>
              <c:showBubbleSize val="0"/>
              <c:extLst>
                <c:ext xmlns:c15="http://schemas.microsoft.com/office/drawing/2012/chart" uri="{CE6537A1-D6FC-4f65-9D91-7224C49458BB}">
                  <c15:layout/>
                </c:ext>
              </c:extLst>
            </c:dLbl>
            <c:dLbl>
              <c:idx val="10"/>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spc="0" baseline="0">
                      <a:solidFill>
                        <a:schemeClr val="accent5">
                          <a:lumMod val="60000"/>
                        </a:schemeClr>
                      </a:solidFill>
                      <a:latin typeface="+mn-lt"/>
                      <a:ea typeface="+mn-ea"/>
                      <a:cs typeface="+mn-cs"/>
                    </a:defRPr>
                  </a:pPr>
                </a:p>
              </c:txPr>
              <c:dLblPos val="outEnd"/>
              <c:showLegendKey val="0"/>
              <c:showVal val="0"/>
              <c:showCatName val="1"/>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spc="0" baseline="0">
                    <a:solidFill>
                      <a:schemeClr val="accent1"/>
                    </a:solidFill>
                    <a:latin typeface="+mn-lt"/>
                    <a:ea typeface="+mn-ea"/>
                    <a:cs typeface="+mn-cs"/>
                  </a:defRPr>
                </a:pPr>
              </a:p>
            </c:txPr>
            <c:dLblPos val="outEnd"/>
            <c:showLegendKey val="0"/>
            <c:showVal val="0"/>
            <c:showCatName val="1"/>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'Int.Aud. Category'!$A$104:$A$114</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'Int.Aud. Category'!$H$104:$H$114</c:f>
              <c:numCache>
                <c:formatCode>0.00</c:formatCode>
                <c:ptCount val="11"/>
                <c:pt idx="0">
                  <c:v>0.451612903225806</c:v>
                </c:pt>
                <c:pt idx="1">
                  <c:v>0.0967741935483871</c:v>
                </c:pt>
                <c:pt idx="2">
                  <c:v>0.258064516129032</c:v>
                </c:pt>
                <c:pt idx="3">
                  <c:v>2.16129032258064</c:v>
                </c:pt>
                <c:pt idx="4">
                  <c:v>0.290322580645161</c:v>
                </c:pt>
                <c:pt idx="5">
                  <c:v>0</c:v>
                </c:pt>
                <c:pt idx="6">
                  <c:v>0.161290322580645</c:v>
                </c:pt>
                <c:pt idx="7">
                  <c:v>0.0967741935483871</c:v>
                </c:pt>
                <c:pt idx="8">
                  <c:v>0.193548387096774</c:v>
                </c:pt>
                <c:pt idx="9">
                  <c:v>0.258064516129032</c:v>
                </c:pt>
                <c:pt idx="10">
                  <c:v>0</c:v>
                </c:pt>
              </c:numCache>
            </c:numRef>
          </c:val>
        </c:ser>
        <c:dLbls>
          <c:showLegendKey val="0"/>
          <c:showVal val="0"/>
          <c:showCatName val="1"/>
          <c:showSerName val="0"/>
          <c:showPercent val="0"/>
          <c:showBubbleSize val="0"/>
        </c:dLbls>
      </c:pie3DChart>
      <c:spPr>
        <a:noFill/>
        <a:ln>
          <a:noFill/>
        </a:ln>
        <a:effectLst/>
      </c:spPr>
    </c:plotArea>
    <c:plotVisOnly val="1"/>
    <c:dispBlanksAs val="gap"/>
    <c:showDLblsOverMax val="0"/>
    <c:extLst>
      <c:ext uri="{0b15fc19-7d7d-44ad-8c2d-2c3a37ce22c3}">
        <chartProps xmlns="https://web.wps.cn/et/2018/main" chartId="{cf54eb9b-77d2-4853-81fd-53889bbd7510}"/>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en-US" sz="1200"/>
              <a:t>Tankers: Quarterly Deficiencies</a:t>
            </a:r>
            <a:r>
              <a:rPr lang="en-US" sz="1200" baseline="0"/>
              <a:t> per Area</a:t>
            </a:r>
            <a:endParaRPr lang="en-US" sz="1200"/>
          </a:p>
        </c:rich>
      </c:tx>
      <c:layout/>
      <c:overlay val="0"/>
    </c:title>
    <c:autoTitleDeleted val="0"/>
    <c:plotArea>
      <c:layout/>
      <c:barChart>
        <c:barDir val="col"/>
        <c:grouping val="clustered"/>
        <c:varyColors val="0"/>
        <c:ser>
          <c:idx val="0"/>
          <c:order val="0"/>
          <c:tx>
            <c:strRef>
              <c:f>'Int.Aud. Category'!$B$103</c:f>
              <c:strCache>
                <c:ptCount val="1"/>
                <c:pt idx="0">
                  <c:v>1st quarter</c:v>
                </c:pt>
              </c:strCache>
            </c:strRef>
          </c:tx>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'Int.Aud. Category'!$A$104:$A$114</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'Int.Aud. Category'!$B$104:$B$114</c:f>
              <c:numCache>
                <c:formatCode>0</c:formatCode>
                <c:ptCount val="11"/>
                <c:pt idx="0">
                  <c:v>1</c:v>
                </c:pt>
                <c:pt idx="1">
                  <c:v>1</c:v>
                </c:pt>
                <c:pt idx="2">
                  <c:v>4</c:v>
                </c:pt>
                <c:pt idx="3">
                  <c:v>11</c:v>
                </c:pt>
                <c:pt idx="4">
                  <c:v>0</c:v>
                </c:pt>
                <c:pt idx="5">
                  <c:v>0</c:v>
                </c:pt>
                <c:pt idx="6">
                  <c:v>1</c:v>
                </c:pt>
                <c:pt idx="7">
                  <c:v>0</c:v>
                </c:pt>
                <c:pt idx="8">
                  <c:v>0</c:v>
                </c:pt>
                <c:pt idx="9">
                  <c:v>1</c:v>
                </c:pt>
                <c:pt idx="10">
                  <c:v>0</c:v>
                </c:pt>
              </c:numCache>
            </c:numRef>
          </c:val>
        </c:ser>
        <c:ser>
          <c:idx val="1"/>
          <c:order val="1"/>
          <c:tx>
            <c:strRef>
              <c:f>'Int.Aud. Category'!$C$103</c:f>
              <c:strCache>
                <c:ptCount val="1"/>
                <c:pt idx="0">
                  <c:v>2nd quarter</c:v>
                </c:pt>
              </c:strCache>
            </c:strRef>
          </c:tx>
          <c:invertIfNegative val="0"/>
          <c:dLbls>
            <c:delete val="1"/>
          </c:dLbls>
          <c:cat>
            <c:strRef>
              <c:f>'Int.Aud. Category'!$A$104:$A$114</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'Int.Aud. Category'!$C$104:$C$114</c:f>
              <c:numCache>
                <c:formatCode>0</c:formatCode>
                <c:ptCount val="11"/>
                <c:pt idx="0">
                  <c:v>9</c:v>
                </c:pt>
                <c:pt idx="1">
                  <c:v>2</c:v>
                </c:pt>
                <c:pt idx="2">
                  <c:v>1</c:v>
                </c:pt>
                <c:pt idx="3">
                  <c:v>18</c:v>
                </c:pt>
                <c:pt idx="4">
                  <c:v>5</c:v>
                </c:pt>
                <c:pt idx="5">
                  <c:v>0</c:v>
                </c:pt>
                <c:pt idx="6">
                  <c:v>0</c:v>
                </c:pt>
                <c:pt idx="7">
                  <c:v>0</c:v>
                </c:pt>
                <c:pt idx="8">
                  <c:v>3</c:v>
                </c:pt>
                <c:pt idx="9">
                  <c:v>1</c:v>
                </c:pt>
                <c:pt idx="10">
                  <c:v>0</c:v>
                </c:pt>
              </c:numCache>
            </c:numRef>
          </c:val>
        </c:ser>
        <c:ser>
          <c:idx val="2"/>
          <c:order val="2"/>
          <c:tx>
            <c:strRef>
              <c:f>'Int.Aud. Category'!$D$103</c:f>
              <c:strCache>
                <c:ptCount val="1"/>
                <c:pt idx="0">
                  <c:v>3rd quarter</c:v>
                </c:pt>
              </c:strCache>
            </c:strRef>
          </c:tx>
          <c:invertIfNegative val="0"/>
          <c:dLbls>
            <c:delete val="1"/>
          </c:dLbls>
          <c:cat>
            <c:strRef>
              <c:f>'Int.Aud. Category'!$A$104:$A$114</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'Int.Aud. Category'!$D$104:$D$114</c:f>
              <c:numCache>
                <c:formatCode>0</c:formatCode>
                <c:ptCount val="11"/>
                <c:pt idx="0">
                  <c:v>3</c:v>
                </c:pt>
                <c:pt idx="1">
                  <c:v>0</c:v>
                </c:pt>
                <c:pt idx="2">
                  <c:v>1</c:v>
                </c:pt>
                <c:pt idx="3">
                  <c:v>19</c:v>
                </c:pt>
                <c:pt idx="4">
                  <c:v>2</c:v>
                </c:pt>
                <c:pt idx="5">
                  <c:v>0</c:v>
                </c:pt>
                <c:pt idx="6">
                  <c:v>2</c:v>
                </c:pt>
                <c:pt idx="7">
                  <c:v>1</c:v>
                </c:pt>
                <c:pt idx="8">
                  <c:v>1</c:v>
                </c:pt>
                <c:pt idx="9">
                  <c:v>0</c:v>
                </c:pt>
                <c:pt idx="10">
                  <c:v>0</c:v>
                </c:pt>
              </c:numCache>
            </c:numRef>
          </c:val>
        </c:ser>
        <c:ser>
          <c:idx val="3"/>
          <c:order val="3"/>
          <c:tx>
            <c:strRef>
              <c:f>'Int.Aud. Category'!$E$103</c:f>
              <c:strCache>
                <c:ptCount val="1"/>
                <c:pt idx="0">
                  <c:v>4th quarter</c:v>
                </c:pt>
              </c:strCache>
            </c:strRef>
          </c:tx>
          <c:invertIfNegative val="0"/>
          <c:dLbls>
            <c:delete val="1"/>
          </c:dLbls>
          <c:cat>
            <c:strRef>
              <c:f>'Int.Aud. Category'!$A$104:$A$114</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'Int.Aud. Category'!$E$104:$E$114</c:f>
              <c:numCache>
                <c:formatCode>0</c:formatCode>
                <c:ptCount val="11"/>
                <c:pt idx="0">
                  <c:v>1</c:v>
                </c:pt>
                <c:pt idx="1">
                  <c:v>0</c:v>
                </c:pt>
                <c:pt idx="2">
                  <c:v>2</c:v>
                </c:pt>
                <c:pt idx="3">
                  <c:v>19</c:v>
                </c:pt>
                <c:pt idx="4">
                  <c:v>2</c:v>
                </c:pt>
                <c:pt idx="5">
                  <c:v>0</c:v>
                </c:pt>
                <c:pt idx="6">
                  <c:v>2</c:v>
                </c:pt>
                <c:pt idx="7">
                  <c:v>2</c:v>
                </c:pt>
                <c:pt idx="8">
                  <c:v>2</c:v>
                </c:pt>
                <c:pt idx="9">
                  <c:v>6</c:v>
                </c:pt>
                <c:pt idx="10">
                  <c:v>0</c:v>
                </c:pt>
              </c:numCache>
            </c:numRef>
          </c:val>
        </c:ser>
        <c:dLbls>
          <c:showLegendKey val="0"/>
          <c:showVal val="0"/>
          <c:showCatName val="0"/>
          <c:showSerName val="0"/>
          <c:showPercent val="0"/>
          <c:showBubbleSize val="0"/>
        </c:dLbls>
        <c:gapWidth val="150"/>
        <c:axId val="150724848"/>
        <c:axId val="566938976"/>
      </c:barChart>
      <c:catAx>
        <c:axId val="150724848"/>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800" b="0" i="0" u="none" strike="noStrike" kern="1200" baseline="0">
                <a:solidFill>
                  <a:schemeClr val="tx1"/>
                </a:solidFill>
                <a:latin typeface="+mn-lt"/>
                <a:ea typeface="+mn-ea"/>
                <a:cs typeface="+mn-cs"/>
              </a:defRPr>
            </a:pPr>
          </a:p>
        </c:txPr>
        <c:crossAx val="566938976"/>
        <c:crosses val="autoZero"/>
        <c:auto val="1"/>
        <c:lblAlgn val="ctr"/>
        <c:lblOffset val="100"/>
        <c:noMultiLvlLbl val="0"/>
      </c:catAx>
      <c:valAx>
        <c:axId val="566938976"/>
        <c:scaling>
          <c:orientation val="minMax"/>
        </c:scaling>
        <c:delete val="0"/>
        <c:axPos val="l"/>
        <c:majorGridlines/>
        <c:numFmt formatCode="0"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50724848"/>
        <c:crosses val="autoZero"/>
        <c:crossBetween val="between"/>
      </c:valAx>
      <c:spPr>
        <a:solidFill>
          <a:schemeClr val="bg1"/>
        </a:solidFill>
        <a:ln>
          <a:noFill/>
        </a:ln>
        <a:effectLst/>
      </c:spPr>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a953bee-018a-46d7-a474-f1dd2aa9b9f9}"/>
      </c:ext>
    </c:extLst>
  </c:chart>
  <c:txPr>
    <a:bodyPr/>
    <a:lstStyle/>
    <a:p>
      <a:pPr>
        <a:defRPr lang="en-US"/>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cap="all" baseline="0">
                <a:solidFill>
                  <a:schemeClr val="tx1">
                    <a:lumMod val="65000"/>
                    <a:lumOff val="35000"/>
                  </a:schemeClr>
                </a:solidFill>
                <a:latin typeface="+mn-lt"/>
                <a:ea typeface="+mn-ea"/>
                <a:cs typeface="+mn-cs"/>
              </a:defRPr>
            </a:pPr>
            <a:r>
              <a:rPr lang="en-US"/>
              <a:t>Dry: Yearly Deficiencies per Area</a:t>
            </a:r>
            <a:endParaRPr lang="en-US"/>
          </a:p>
        </c:rich>
      </c:tx>
      <c:layout>
        <c:manualLayout>
          <c:xMode val="edge"/>
          <c:yMode val="edge"/>
          <c:x val="0.209612283559878"/>
          <c:y val="0.0324074192211356"/>
        </c:manualLayout>
      </c:layout>
      <c:overlay val="0"/>
      <c:spPr>
        <a:noFill/>
        <a:ln>
          <a:noFill/>
        </a:ln>
        <a:effectLst/>
      </c:spPr>
    </c:title>
    <c:autoTitleDeleted val="0"/>
    <c:view3D>
      <c:rotX val="3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0.0592148076035519"/>
          <c:y val="0.290054125358682"/>
          <c:w val="0.901980456807878"/>
          <c:h val="0.556324356711833"/>
        </c:manualLayout>
      </c:layout>
      <c:pie3DChart>
        <c:varyColors val="1"/>
        <c:ser>
          <c:idx val="0"/>
          <c:order val="0"/>
          <c:tx>
            <c:strRef>
              <c:f>'Int.Aud. Category'!$F$119:$G$119</c:f>
              <c:strCache>
                <c:ptCount val="1"/>
                <c:pt idx="0">
                  <c:v>Total</c:v>
                </c:pt>
              </c:strCache>
            </c:strRef>
          </c:tx>
          <c:spPr/>
          <c:explosion val="25"/>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dLbl>
              <c:idx val="0"/>
              <c:layout>
                <c:manualLayout>
                  <c:x val="0.100704045264198"/>
                  <c:y val="0.103626943005181"/>
                </c:manualLayout>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spc="0" baseline="0">
                      <a:solidFill>
                        <a:schemeClr val="accent1"/>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dLbl>
              <c:idx val="1"/>
              <c:layout>
                <c:manualLayout>
                  <c:x val="0.0295820836185984"/>
                  <c:y val="-0.0949913644214163"/>
                </c:manualLayout>
              </c:layout>
              <c:numFmt formatCode="General" sourceLinked="1"/>
              <c:spPr>
                <a:noFill/>
                <a:ln>
                  <a:noFill/>
                </a:ln>
                <a:effectLst/>
              </c:spPr>
              <c:txPr>
                <a:bodyPr rot="0" spcFirstLastPara="1" vertOverflow="ellipsis" vert="horz" wrap="square" lIns="38100" tIns="19050" rIns="38100" bIns="19050" anchor="ctr" anchorCtr="1">
                  <a:noAutofit/>
                </a:bodyPr>
                <a:lstStyle/>
                <a:p>
                  <a:pPr>
                    <a:defRPr lang="en-US" sz="700" b="1" i="0" u="none" strike="noStrike" kern="1200" spc="0" baseline="0">
                      <a:solidFill>
                        <a:schemeClr val="accent2"/>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24676347687024"/>
                      <c:h val="0.112651122625216"/>
                    </c:manualLayout>
                  </c15:layout>
                </c:ext>
              </c:extLst>
            </c:dLbl>
            <c:dLbl>
              <c:idx val="2"/>
              <c:layout>
                <c:manualLayout>
                  <c:x val="0.0526407509335579"/>
                  <c:y val="0.0690846286701209"/>
                </c:manualLayout>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spc="0" baseline="0">
                      <a:solidFill>
                        <a:schemeClr val="accent3"/>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99622882453257"/>
                      <c:h val="0.123640066364761"/>
                    </c:manualLayout>
                  </c15:layout>
                </c:ext>
              </c:extLst>
            </c:dLbl>
            <c:dLbl>
              <c:idx val="3"/>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spc="0" baseline="0">
                      <a:solidFill>
                        <a:schemeClr val="accent4"/>
                      </a:solidFill>
                      <a:latin typeface="+mn-lt"/>
                      <a:ea typeface="+mn-ea"/>
                      <a:cs typeface="+mn-cs"/>
                    </a:defRPr>
                  </a:pPr>
                </a:p>
              </c:txPr>
              <c:dLblPos val="outEnd"/>
              <c:showLegendKey val="0"/>
              <c:showVal val="0"/>
              <c:showCatName val="1"/>
              <c:showSerName val="0"/>
              <c:showPercent val="1"/>
              <c:showBubbleSize val="0"/>
              <c:separator>
</c:separator>
              <c:extLst>
                <c:ext xmlns:c15="http://schemas.microsoft.com/office/drawing/2012/chart" uri="{CE6537A1-D6FC-4f65-9D91-7224C49458BB}"/>
              </c:extLst>
            </c:dLbl>
            <c:dLbl>
              <c:idx val="4"/>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spc="0" baseline="0">
                      <a:solidFill>
                        <a:schemeClr val="accent5"/>
                      </a:solidFill>
                      <a:latin typeface="+mn-lt"/>
                      <a:ea typeface="+mn-ea"/>
                      <a:cs typeface="+mn-cs"/>
                    </a:defRPr>
                  </a:pPr>
                </a:p>
              </c:txPr>
              <c:dLblPos val="outEnd"/>
              <c:showLegendKey val="0"/>
              <c:showVal val="0"/>
              <c:showCatName val="1"/>
              <c:showSerName val="0"/>
              <c:showPercent val="1"/>
              <c:showBubbleSize val="0"/>
              <c:separator>
</c:separator>
              <c:extLst>
                <c:ext xmlns:c15="http://schemas.microsoft.com/office/drawing/2012/chart" uri="{CE6537A1-D6FC-4f65-9D91-7224C49458BB}"/>
              </c:extLst>
            </c:dLbl>
            <c:dLbl>
              <c:idx val="5"/>
              <c:layout>
                <c:manualLayout>
                  <c:x val="-0.183098264116723"/>
                  <c:y val="-0.0302245250431779"/>
                </c:manualLayout>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spc="0" baseline="0">
                      <a:solidFill>
                        <a:schemeClr val="accent6"/>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dLbl>
              <c:idx val="6"/>
              <c:layout>
                <c:manualLayout>
                  <c:x val="0"/>
                  <c:y val="-0.0863557858376511"/>
                </c:manualLayout>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spc="0" baseline="0">
                      <a:solidFill>
                        <a:schemeClr val="accent1">
                          <a:lumMod val="60000"/>
                        </a:schemeClr>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dLbl>
              <c:idx val="7"/>
              <c:layout>
                <c:manualLayout>
                  <c:x val="0.157922252800674"/>
                  <c:y val="-0.0259067357512953"/>
                </c:manualLayout>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spc="0" baseline="0">
                      <a:solidFill>
                        <a:schemeClr val="accent2">
                          <a:lumMod val="60000"/>
                        </a:schemeClr>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dLbl>
              <c:idx val="8"/>
              <c:layout>
                <c:manualLayout>
                  <c:x val="-0.288379765983839"/>
                  <c:y val="0.0863557858376511"/>
                </c:manualLayout>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spc="0" baseline="0">
                      <a:solidFill>
                        <a:schemeClr val="accent3">
                          <a:lumMod val="60000"/>
                        </a:schemeClr>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dLbl>
              <c:idx val="9"/>
              <c:layout>
                <c:manualLayout>
                  <c:x val="-0.341020516917397"/>
                  <c:y val="0.250431778929188"/>
                </c:manualLayout>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spc="0" baseline="0">
                      <a:solidFill>
                        <a:schemeClr val="accent4">
                          <a:lumMod val="60000"/>
                        </a:schemeClr>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dLbl>
              <c:idx val="10"/>
              <c:layout>
                <c:manualLayout>
                  <c:x val="0.263203754667789"/>
                  <c:y val="0.0474956822107081"/>
                </c:manualLayout>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spc="0" baseline="0">
                      <a:solidFill>
                        <a:schemeClr val="accent5">
                          <a:lumMod val="60000"/>
                        </a:schemeClr>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spc="0" baseline="0">
                    <a:solidFill>
                      <a:schemeClr val="accent1"/>
                    </a:solidFill>
                    <a:latin typeface="+mn-lt"/>
                    <a:ea typeface="+mn-ea"/>
                    <a:cs typeface="+mn-cs"/>
                  </a:defRPr>
                </a:pPr>
              </a:p>
            </c:txPr>
            <c:dLblPos val="outEnd"/>
            <c:showLegendKey val="0"/>
            <c:showVal val="0"/>
            <c:showCatName val="1"/>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'Int.Aud. Category'!$A$120:$A$130</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'Int.Aud. Category'!$H$120:$H$130</c:f>
              <c:numCache>
                <c:formatCode>0.00</c:formatCode>
                <c:ptCount val="11"/>
                <c:pt idx="0">
                  <c:v>0.4</c:v>
                </c:pt>
                <c:pt idx="1">
                  <c:v>0</c:v>
                </c:pt>
                <c:pt idx="2">
                  <c:v>0.9</c:v>
                </c:pt>
                <c:pt idx="3">
                  <c:v>2</c:v>
                </c:pt>
                <c:pt idx="4">
                  <c:v>0.5</c:v>
                </c:pt>
                <c:pt idx="5">
                  <c:v>0.2</c:v>
                </c:pt>
                <c:pt idx="6">
                  <c:v>0.2</c:v>
                </c:pt>
                <c:pt idx="7">
                  <c:v>0</c:v>
                </c:pt>
                <c:pt idx="8">
                  <c:v>0</c:v>
                </c:pt>
                <c:pt idx="9">
                  <c:v>0.4</c:v>
                </c:pt>
                <c:pt idx="10">
                  <c:v>0</c:v>
                </c:pt>
              </c:numCache>
            </c:numRef>
          </c:val>
        </c:ser>
        <c:dLbls>
          <c:showLegendKey val="0"/>
          <c:showVal val="0"/>
          <c:showCatName val="1"/>
          <c:showSerName val="0"/>
          <c:showPercent val="0"/>
          <c:showBubbleSize val="0"/>
        </c:dLbls>
      </c:pie3DChart>
      <c:spPr>
        <a:noFill/>
        <a:ln>
          <a:noFill/>
        </a:ln>
        <a:effectLst/>
      </c:spPr>
    </c:plotArea>
    <c:plotVisOnly val="1"/>
    <c:dispBlanksAs val="gap"/>
    <c:showDLblsOverMax val="0"/>
    <c:extLst>
      <c:ext uri="{0b15fc19-7d7d-44ad-8c2d-2c3a37ce22c3}">
        <chartProps xmlns="https://web.wps.cn/et/2018/main" chartId="{9e80ad46-2d82-4f12-9248-af5c73479a48}"/>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it-IT" sz="1200"/>
              <a:t>Dry:</a:t>
            </a:r>
            <a:r>
              <a:rPr lang="it-IT" sz="1200" baseline="0"/>
              <a:t> Quarterly  Deficiencies  per Area </a:t>
            </a:r>
            <a:endParaRPr lang="it-IT" sz="1200"/>
          </a:p>
        </c:rich>
      </c:tx>
      <c:layout/>
      <c:overlay val="0"/>
    </c:title>
    <c:autoTitleDeleted val="0"/>
    <c:plotArea>
      <c:layout/>
      <c:barChart>
        <c:barDir val="col"/>
        <c:grouping val="clustered"/>
        <c:varyColors val="0"/>
        <c:ser>
          <c:idx val="0"/>
          <c:order val="0"/>
          <c:tx>
            <c:strRef>
              <c:f>'Int.Aud. Category'!$B$119</c:f>
              <c:strCache>
                <c:ptCount val="1"/>
                <c:pt idx="0">
                  <c:v>1st quarter</c:v>
                </c:pt>
              </c:strCache>
            </c:strRef>
          </c:tx>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'Int.Aud. Category'!$A$120:$A$130</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'Int.Aud. Category'!$B$120:$B$130</c:f>
              <c:numCache>
                <c:formatCode>0</c:formatCode>
                <c:ptCount val="11"/>
                <c:pt idx="0">
                  <c:v>1</c:v>
                </c:pt>
                <c:pt idx="1">
                  <c:v>0</c:v>
                </c:pt>
                <c:pt idx="2">
                  <c:v>0</c:v>
                </c:pt>
                <c:pt idx="3">
                  <c:v>2</c:v>
                </c:pt>
                <c:pt idx="4">
                  <c:v>0</c:v>
                </c:pt>
                <c:pt idx="5">
                  <c:v>0</c:v>
                </c:pt>
                <c:pt idx="6">
                  <c:v>0</c:v>
                </c:pt>
                <c:pt idx="7">
                  <c:v>0</c:v>
                </c:pt>
                <c:pt idx="8">
                  <c:v>0</c:v>
                </c:pt>
                <c:pt idx="9">
                  <c:v>0</c:v>
                </c:pt>
                <c:pt idx="10">
                  <c:v>0</c:v>
                </c:pt>
              </c:numCache>
            </c:numRef>
          </c:val>
        </c:ser>
        <c:ser>
          <c:idx val="1"/>
          <c:order val="1"/>
          <c:tx>
            <c:strRef>
              <c:f>'Int.Aud. Category'!$C$119</c:f>
              <c:strCache>
                <c:ptCount val="1"/>
                <c:pt idx="0">
                  <c:v>2nd quarter</c:v>
                </c:pt>
              </c:strCache>
            </c:strRef>
          </c:tx>
          <c:invertIfNegative val="0"/>
          <c:dLbls>
            <c:delete val="1"/>
          </c:dLbls>
          <c:cat>
            <c:strRef>
              <c:f>'Int.Aud. Category'!$A$120:$A$130</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'Int.Aud. Category'!$C$120:$C$130</c:f>
              <c:numCache>
                <c:formatCode>0</c:formatCode>
                <c:ptCount val="11"/>
                <c:pt idx="0">
                  <c:v>0</c:v>
                </c:pt>
                <c:pt idx="1">
                  <c:v>0</c:v>
                </c:pt>
                <c:pt idx="2">
                  <c:v>0</c:v>
                </c:pt>
                <c:pt idx="3">
                  <c:v>1</c:v>
                </c:pt>
                <c:pt idx="4">
                  <c:v>3</c:v>
                </c:pt>
                <c:pt idx="5">
                  <c:v>0</c:v>
                </c:pt>
                <c:pt idx="6">
                  <c:v>0</c:v>
                </c:pt>
                <c:pt idx="7">
                  <c:v>0</c:v>
                </c:pt>
                <c:pt idx="8">
                  <c:v>0</c:v>
                </c:pt>
                <c:pt idx="9">
                  <c:v>1</c:v>
                </c:pt>
                <c:pt idx="10">
                  <c:v>0</c:v>
                </c:pt>
              </c:numCache>
            </c:numRef>
          </c:val>
        </c:ser>
        <c:ser>
          <c:idx val="2"/>
          <c:order val="2"/>
          <c:tx>
            <c:strRef>
              <c:f>'Int.Aud. Category'!$D$119</c:f>
              <c:strCache>
                <c:ptCount val="1"/>
                <c:pt idx="0">
                  <c:v>3rd quarter</c:v>
                </c:pt>
              </c:strCache>
            </c:strRef>
          </c:tx>
          <c:invertIfNegative val="0"/>
          <c:dLbls>
            <c:delete val="1"/>
          </c:dLbls>
          <c:cat>
            <c:strRef>
              <c:f>'Int.Aud. Category'!$A$120:$A$130</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'Int.Aud. Category'!$D$120:$D$130</c:f>
              <c:numCache>
                <c:formatCode>0</c:formatCode>
                <c:ptCount val="11"/>
                <c:pt idx="0">
                  <c:v>3</c:v>
                </c:pt>
                <c:pt idx="1">
                  <c:v>0</c:v>
                </c:pt>
                <c:pt idx="2">
                  <c:v>7</c:v>
                </c:pt>
                <c:pt idx="3">
                  <c:v>12</c:v>
                </c:pt>
                <c:pt idx="4">
                  <c:v>0</c:v>
                </c:pt>
                <c:pt idx="5">
                  <c:v>1</c:v>
                </c:pt>
                <c:pt idx="6">
                  <c:v>2</c:v>
                </c:pt>
                <c:pt idx="7">
                  <c:v>0</c:v>
                </c:pt>
                <c:pt idx="8">
                  <c:v>0</c:v>
                </c:pt>
                <c:pt idx="9">
                  <c:v>3</c:v>
                </c:pt>
                <c:pt idx="10">
                  <c:v>0</c:v>
                </c:pt>
              </c:numCache>
            </c:numRef>
          </c:val>
        </c:ser>
        <c:ser>
          <c:idx val="3"/>
          <c:order val="3"/>
          <c:tx>
            <c:strRef>
              <c:f>'Int.Aud. Category'!$E$119</c:f>
              <c:strCache>
                <c:ptCount val="1"/>
                <c:pt idx="0">
                  <c:v>4th quarter</c:v>
                </c:pt>
              </c:strCache>
            </c:strRef>
          </c:tx>
          <c:invertIfNegative val="0"/>
          <c:dLbls>
            <c:delete val="1"/>
          </c:dLbls>
          <c:cat>
            <c:strRef>
              <c:f>'Int.Aud. Category'!$A$120:$A$130</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'Int.Aud. Category'!$E$120:$E$130</c:f>
              <c:numCache>
                <c:formatCode>0</c:formatCode>
                <c:ptCount val="11"/>
                <c:pt idx="0">
                  <c:v>0</c:v>
                </c:pt>
                <c:pt idx="1">
                  <c:v>0</c:v>
                </c:pt>
                <c:pt idx="2">
                  <c:v>2</c:v>
                </c:pt>
                <c:pt idx="3">
                  <c:v>5</c:v>
                </c:pt>
                <c:pt idx="4">
                  <c:v>2</c:v>
                </c:pt>
                <c:pt idx="5">
                  <c:v>1</c:v>
                </c:pt>
                <c:pt idx="6">
                  <c:v>0</c:v>
                </c:pt>
                <c:pt idx="7">
                  <c:v>0</c:v>
                </c:pt>
                <c:pt idx="8">
                  <c:v>0</c:v>
                </c:pt>
                <c:pt idx="9">
                  <c:v>0</c:v>
                </c:pt>
                <c:pt idx="10">
                  <c:v>0</c:v>
                </c:pt>
              </c:numCache>
            </c:numRef>
          </c:val>
        </c:ser>
        <c:dLbls>
          <c:showLegendKey val="0"/>
          <c:showVal val="0"/>
          <c:showCatName val="0"/>
          <c:showSerName val="0"/>
          <c:showPercent val="0"/>
          <c:showBubbleSize val="0"/>
        </c:dLbls>
        <c:gapWidth val="150"/>
        <c:axId val="566933096"/>
        <c:axId val="566935448"/>
      </c:barChart>
      <c:catAx>
        <c:axId val="566933096"/>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800" b="0" i="0" u="none" strike="noStrike" kern="1200" baseline="0">
                <a:solidFill>
                  <a:schemeClr val="tx1"/>
                </a:solidFill>
                <a:latin typeface="+mn-lt"/>
                <a:ea typeface="+mn-ea"/>
                <a:cs typeface="+mn-cs"/>
              </a:defRPr>
            </a:pPr>
          </a:p>
        </c:txPr>
        <c:crossAx val="566935448"/>
        <c:crosses val="autoZero"/>
        <c:auto val="1"/>
        <c:lblAlgn val="ctr"/>
        <c:lblOffset val="100"/>
        <c:noMultiLvlLbl val="0"/>
      </c:catAx>
      <c:valAx>
        <c:axId val="566935448"/>
        <c:scaling>
          <c:orientation val="minMax"/>
        </c:scaling>
        <c:delete val="0"/>
        <c:axPos val="l"/>
        <c:majorGridlines/>
        <c:numFmt formatCode="0"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6933096"/>
        <c:crosses val="autoZero"/>
        <c:crossBetween val="between"/>
      </c:valAx>
      <c:spPr>
        <a:solidFill>
          <a:schemeClr val="bg1"/>
        </a:solidFill>
        <a:ln>
          <a:noFill/>
        </a:ln>
        <a:effectLst/>
      </c:spPr>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cbddbec-2e93-4f82-93e7-d0edb302b6dc}"/>
      </c:ext>
    </c:extLst>
  </c:chart>
  <c:txPr>
    <a:bodyPr/>
    <a:lstStyle/>
    <a:p>
      <a:pPr>
        <a:defRPr lang="en-US"/>
      </a:pP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it-IT" sz="1200"/>
              <a:t>IA Tanker comparison 2022-2024</a:t>
            </a:r>
            <a:r>
              <a:rPr lang="it-IT" sz="1200" b="1" i="0" u="none" strike="noStrike" baseline="0"/>
              <a:t> </a:t>
            </a:r>
            <a:endParaRPr lang="it-IT" sz="1200"/>
          </a:p>
        </c:rich>
      </c:tx>
      <c:layout/>
      <c:overlay val="0"/>
    </c:title>
    <c:autoTitleDeleted val="0"/>
    <c:plotArea>
      <c:layout/>
      <c:barChart>
        <c:barDir val="col"/>
        <c:grouping val="clustered"/>
        <c:varyColors val="0"/>
        <c:ser>
          <c:idx val="2"/>
          <c:order val="2"/>
          <c:tx>
            <c:strRef>
              <c:f>'Int.Aud. Category'!$D$71</c:f>
              <c:strCache>
                <c:ptCount val="1"/>
                <c:pt idx="0">
                  <c:v>2022</c:v>
                </c:pt>
              </c:strCache>
            </c:strRef>
          </c:tx>
          <c:invertIfNegative val="0"/>
          <c:dLbls>
            <c:delete val="1"/>
          </c:dLbls>
          <c:cat>
            <c:strRef>
              <c:f>'Int.Aud. Category'!$A$72:$A$75</c:f>
              <c:strCache>
                <c:ptCount val="4"/>
                <c:pt idx="0">
                  <c:v>Vessels</c:v>
                </c:pt>
                <c:pt idx="1">
                  <c:v>Audits</c:v>
                </c:pt>
                <c:pt idx="2">
                  <c:v>Deficiencies</c:v>
                </c:pt>
                <c:pt idx="3">
                  <c:v>Def x Insp</c:v>
                </c:pt>
              </c:strCache>
            </c:strRef>
          </c:cat>
          <c:val>
            <c:numRef>
              <c:f>'Int.Aud. Category'!$D$72:$D$75</c:f>
              <c:numCache>
                <c:formatCode>General</c:formatCode>
                <c:ptCount val="4"/>
                <c:pt idx="0">
                  <c:v>23</c:v>
                </c:pt>
                <c:pt idx="1">
                  <c:v>28</c:v>
                </c:pt>
                <c:pt idx="2">
                  <c:v>122</c:v>
                </c:pt>
                <c:pt idx="3" c:formatCode="0.00">
                  <c:v>4.35714285714286</c:v>
                </c:pt>
              </c:numCache>
            </c:numRef>
          </c:val>
        </c:ser>
        <c:ser>
          <c:idx val="3"/>
          <c:order val="3"/>
          <c:tx>
            <c:strRef>
              <c:f>'Int.Aud. Category'!$E$71</c:f>
              <c:strCache>
                <c:ptCount val="1"/>
                <c:pt idx="0">
                  <c:v>2023</c:v>
                </c:pt>
              </c:strCache>
            </c:strRef>
          </c:tx>
          <c:spPr>
            <a:ln>
              <a:solidFill>
                <a:srgbClr val="FF0000"/>
              </a:solidFill>
            </a:ln>
          </c:spPr>
          <c:invertIfNegative val="0"/>
          <c:dLbls>
            <c:delete val="1"/>
          </c:dLbls>
          <c:cat>
            <c:strRef>
              <c:f>'Int.Aud. Category'!$A$72:$A$75</c:f>
              <c:strCache>
                <c:ptCount val="4"/>
                <c:pt idx="0">
                  <c:v>Vessels</c:v>
                </c:pt>
                <c:pt idx="1">
                  <c:v>Audits</c:v>
                </c:pt>
                <c:pt idx="2">
                  <c:v>Deficiencies</c:v>
                </c:pt>
                <c:pt idx="3">
                  <c:v>Def x Insp</c:v>
                </c:pt>
              </c:strCache>
            </c:strRef>
          </c:cat>
          <c:val>
            <c:numRef>
              <c:f>'Int.Aud. Category'!$E$72:$E$75</c:f>
              <c:numCache>
                <c:formatCode>General</c:formatCode>
                <c:ptCount val="4"/>
                <c:pt idx="0">
                  <c:v>25</c:v>
                </c:pt>
                <c:pt idx="1" c:formatCode="0">
                  <c:v>26</c:v>
                </c:pt>
                <c:pt idx="2" c:formatCode="0">
                  <c:v>77</c:v>
                </c:pt>
                <c:pt idx="3" c:formatCode="0.00">
                  <c:v>2.96153846153846</c:v>
                </c:pt>
              </c:numCache>
            </c:numRef>
          </c:val>
        </c:ser>
        <c:dLbls>
          <c:showLegendKey val="0"/>
          <c:showVal val="0"/>
          <c:showCatName val="0"/>
          <c:showSerName val="0"/>
          <c:showPercent val="0"/>
          <c:showBubbleSize val="0"/>
        </c:dLbls>
        <c:gapWidth val="150"/>
        <c:axId val="566935840"/>
        <c:axId val="566936624"/>
        <c:extLst>
          <c:ext xmlns:c15="http://schemas.microsoft.com/office/drawing/2012/chart" uri="{02D57815-91ED-43cb-92C2-25804820EDAC}">
            <c15:filteredBarSeries>
              <c15:ser>
                <c:idx val="1"/>
                <c:order val="0"/>
                <c:tx>
                  <c:strRef>
                    <c:extLst>
                      <c:ext uri="{02D57815-91ED-43cb-92C2-25804820EDAC}">
                        <c15:formulaRef>
                          <c15:sqref>'Int.Aud. Category'!$B$71</c15:sqref>
                        </c15:formulaRef>
                      </c:ext>
                    </c:extLst>
                    <c:strCache>
                      <c:ptCount val="1"/>
                      <c:pt idx="0">
                        <c:v>2020</c:v>
                      </c:pt>
                    </c:strCache>
                  </c:strRef>
                </c:tx>
                <c:invertIfNegative val="0"/>
                <c:dLbls>
                  <c:delete val="1"/>
                </c:dLbls>
                <c:cat>
                  <c:strRef>
                    <c:extLst>
                      <c:ext uri="{02D57815-91ED-43cb-92C2-25804820EDAC}">
                        <c15:fullRef>
                          <c15:sqref/>
                        </c15:fullRef>
                        <c15:formulaRef>
                          <c15:sqref>'Int.Aud. Category'!$A$72:$A$75</c15:sqref>
                        </c15:formulaRef>
                      </c:ext>
                    </c:extLst>
                    <c:strCache>
                      <c:ptCount val="4"/>
                      <c:pt idx="0">
                        <c:v>Vessels</c:v>
                      </c:pt>
                      <c:pt idx="1">
                        <c:v>Audits</c:v>
                      </c:pt>
                      <c:pt idx="2">
                        <c:v>Deficiencies</c:v>
                      </c:pt>
                      <c:pt idx="3">
                        <c:v>Def x Insp</c:v>
                      </c:pt>
                    </c:strCache>
                  </c:strRef>
                </c:cat>
                <c:val>
                  <c:numRef>
                    <c:extLst>
                      <c:ext uri="{02D57815-91ED-43cb-92C2-25804820EDAC}">
                        <c15:formulaRef>
                          <c15:sqref>'Int.Aud. Category'!$B$72:$B$75</c15:sqref>
                        </c15:formulaRef>
                      </c:ext>
                    </c:extLst>
                    <c:numCache>
                      <c:formatCode>General</c:formatCode>
                      <c:ptCount val="4"/>
                      <c:pt idx="0">
                        <c:v>17</c:v>
                      </c:pt>
                      <c:pt idx="1">
                        <c:v>21</c:v>
                      </c:pt>
                      <c:pt idx="2" c:formatCode="0">
                        <c:v>68</c:v>
                      </c:pt>
                      <c:pt idx="3" c:formatCode="0.00">
                        <c:v>3.23809523809524</c:v>
                      </c:pt>
                    </c:numCache>
                  </c:numRef>
                </c:val>
              </c15:ser>
            </c15:filteredBarSeries>
            <c15:filteredBarSeries>
              <c15:ser>
                <c:idx val="0"/>
                <c:order val="1"/>
                <c:tx>
                  <c:strRef>
                    <c:extLst>
                      <c:ext uri="{02D57815-91ED-43cb-92C2-25804820EDAC}">
                        <c15:formulaRef>
                          <c15:sqref>'Int.Aud. Category'!$C$71</c15:sqref>
                        </c15:formulaRef>
                      </c:ext>
                    </c:extLst>
                    <c:strCache>
                      <c:ptCount val="1"/>
                      <c:pt idx="0">
                        <c:v>2021</c:v>
                      </c:pt>
                    </c:strCache>
                  </c:strRef>
                </c:tx>
                <c:invertIfNegative val="0"/>
                <c:dLbls>
                  <c:delete val="1"/>
                </c:dLbls>
                <c:cat>
                  <c:strRef>
                    <c:extLst>
                      <c:ext uri="{02D57815-91ED-43cb-92C2-25804820EDAC}">
                        <c15:fullRef>
                          <c15:sqref/>
                        </c15:fullRef>
                        <c15:formulaRef>
                          <c15:sqref>'Int.Aud. Category'!$A$72:$A$75</c15:sqref>
                        </c15:formulaRef>
                      </c:ext>
                    </c:extLst>
                    <c:strCache>
                      <c:ptCount val="4"/>
                      <c:pt idx="0">
                        <c:v>Vessels</c:v>
                      </c:pt>
                      <c:pt idx="1">
                        <c:v>Audits</c:v>
                      </c:pt>
                      <c:pt idx="2">
                        <c:v>Deficiencies</c:v>
                      </c:pt>
                      <c:pt idx="3">
                        <c:v>Def x Insp</c:v>
                      </c:pt>
                    </c:strCache>
                  </c:strRef>
                </c:cat>
                <c:val>
                  <c:numRef>
                    <c:extLst>
                      <c:ext uri="{02D57815-91ED-43cb-92C2-25804820EDAC}">
                        <c15:formulaRef>
                          <c15:sqref>'Int.Aud. Category'!$C$72:$C$75</c15:sqref>
                        </c15:formulaRef>
                      </c:ext>
                    </c:extLst>
                    <c:numCache>
                      <c:formatCode>General</c:formatCode>
                      <c:ptCount val="4"/>
                      <c:pt idx="0">
                        <c:v>16</c:v>
                      </c:pt>
                      <c:pt idx="1">
                        <c:v>26</c:v>
                      </c:pt>
                      <c:pt idx="2">
                        <c:v>93</c:v>
                      </c:pt>
                      <c:pt idx="3" c:formatCode="0.00">
                        <c:v>3.57692307692308</c:v>
                      </c:pt>
                    </c:numCache>
                  </c:numRef>
                </c:val>
              </c15:ser>
            </c15:filteredBarSeries>
          </c:ext>
        </c:extLst>
      </c:barChart>
      <c:lineChart>
        <c:grouping val="standard"/>
        <c:varyColors val="0"/>
        <c:ser>
          <c:idx val="4"/>
          <c:order val="4"/>
          <c:tx>
            <c:strRef>
              <c:f>'Int.Aud. Category'!$F$71</c:f>
              <c:strCache>
                <c:ptCount val="1"/>
                <c:pt idx="0">
                  <c:v>2024</c:v>
                </c:pt>
              </c:strCache>
            </c:strRef>
          </c:tx>
          <c:dLbls>
            <c:delete val="1"/>
          </c:dLbls>
          <c:cat>
            <c:strRef>
              <c:f>'Int.Aud. Category'!$A$72:$A$75</c:f>
              <c:strCache>
                <c:ptCount val="4"/>
                <c:pt idx="0">
                  <c:v>Vessels</c:v>
                </c:pt>
                <c:pt idx="1">
                  <c:v>Audits</c:v>
                </c:pt>
                <c:pt idx="2">
                  <c:v>Deficiencies</c:v>
                </c:pt>
                <c:pt idx="3">
                  <c:v>Def x Insp</c:v>
                </c:pt>
              </c:strCache>
            </c:strRef>
          </c:cat>
          <c:val>
            <c:numRef>
              <c:f>'Int.Aud. Category'!$F$72:$F$75</c:f>
              <c:numCache>
                <c:formatCode>General</c:formatCode>
                <c:ptCount val="4"/>
                <c:pt idx="0">
                  <c:v>26</c:v>
                </c:pt>
                <c:pt idx="1" c:formatCode="0">
                  <c:v>31</c:v>
                </c:pt>
                <c:pt idx="2" c:formatCode="0">
                  <c:v>123</c:v>
                </c:pt>
                <c:pt idx="3" c:formatCode="0.00">
                  <c:v>3.96774193548387</c:v>
                </c:pt>
              </c:numCache>
            </c:numRef>
          </c:val>
          <c:smooth val="0"/>
        </c:ser>
        <c:dLbls>
          <c:showLegendKey val="0"/>
          <c:showVal val="0"/>
          <c:showCatName val="0"/>
          <c:showSerName val="0"/>
          <c:showPercent val="0"/>
          <c:showBubbleSize val="0"/>
        </c:dLbls>
        <c:marker val="1"/>
        <c:smooth val="0"/>
        <c:axId val="566935840"/>
        <c:axId val="566936624"/>
      </c:lineChart>
      <c:catAx>
        <c:axId val="566935840"/>
        <c:scaling>
          <c:orientation val="minMax"/>
        </c:scaling>
        <c:delete val="0"/>
        <c:axPos val="b"/>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6936624"/>
        <c:crosses val="autoZero"/>
        <c:auto val="1"/>
        <c:lblAlgn val="ctr"/>
        <c:lblOffset val="100"/>
        <c:noMultiLvlLbl val="0"/>
      </c:catAx>
      <c:valAx>
        <c:axId val="566936624"/>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6935840"/>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76de390-4127-4375-9a14-b0bd6c3d1239}"/>
      </c:ext>
    </c:extLst>
  </c:chart>
  <c:txPr>
    <a:bodyPr/>
    <a:lstStyle/>
    <a:p>
      <a:pPr>
        <a:defRPr lang="en-US"/>
      </a:pP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it-IT" sz="1200"/>
              <a:t>IA Tanker Inspections and Deficiencies x Vessels</a:t>
            </a:r>
            <a:endParaRPr lang="it-IT" sz="1200"/>
          </a:p>
        </c:rich>
      </c:tx>
      <c:layout/>
      <c:overlay val="0"/>
    </c:title>
    <c:autoTitleDeleted val="0"/>
    <c:plotArea>
      <c:layout/>
      <c:barChart>
        <c:barDir val="col"/>
        <c:grouping val="clustered"/>
        <c:varyColors val="0"/>
        <c:ser>
          <c:idx val="1"/>
          <c:order val="0"/>
          <c:tx>
            <c:strRef>
              <c:f>'Int.Aud. Category'!$BJ$18</c:f>
              <c:strCache>
                <c:ptCount val="1"/>
                <c:pt idx="0">
                  <c:v>No.  Insp.</c:v>
                </c:pt>
              </c:strCache>
            </c:strRef>
          </c:tx>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strRef>
              <c:f>'Int.Aud. Category'!$A$19:$A$48</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'Int.Aud. Category'!$BJ$19:$BJ$48</c:f>
              <c:numCache>
                <c:formatCode>General</c:formatCode>
                <c:ptCount val="30"/>
                <c:pt idx="0">
                  <c:v>0</c:v>
                </c:pt>
                <c:pt idx="1">
                  <c:v>0</c:v>
                </c:pt>
                <c:pt idx="2">
                  <c:v>1</c:v>
                </c:pt>
                <c:pt idx="3">
                  <c:v>1</c:v>
                </c:pt>
                <c:pt idx="4">
                  <c:v>1</c:v>
                </c:pt>
                <c:pt idx="5">
                  <c:v>2</c:v>
                </c:pt>
                <c:pt idx="6">
                  <c:v>2</c:v>
                </c:pt>
                <c:pt idx="7">
                  <c:v>1</c:v>
                </c:pt>
                <c:pt idx="8">
                  <c:v>1</c:v>
                </c:pt>
                <c:pt idx="9">
                  <c:v>1</c:v>
                </c:pt>
                <c:pt idx="10">
                  <c:v>1</c:v>
                </c:pt>
                <c:pt idx="11">
                  <c:v>1</c:v>
                </c:pt>
                <c:pt idx="12">
                  <c:v>1</c:v>
                </c:pt>
                <c:pt idx="13">
                  <c:v>1</c:v>
                </c:pt>
                <c:pt idx="14">
                  <c:v>2</c:v>
                </c:pt>
                <c:pt idx="15">
                  <c:v>1</c:v>
                </c:pt>
                <c:pt idx="16">
                  <c:v>1</c:v>
                </c:pt>
                <c:pt idx="17">
                  <c:v>0</c:v>
                </c:pt>
                <c:pt idx="18">
                  <c:v>1</c:v>
                </c:pt>
                <c:pt idx="19">
                  <c:v>1</c:v>
                </c:pt>
                <c:pt idx="20">
                  <c:v>2</c:v>
                </c:pt>
                <c:pt idx="21">
                  <c:v>1</c:v>
                </c:pt>
                <c:pt idx="22" c:formatCode="0">
                  <c:v>2</c:v>
                </c:pt>
                <c:pt idx="23" c:formatCode="0">
                  <c:v>1</c:v>
                </c:pt>
                <c:pt idx="24" c:formatCode="0">
                  <c:v>0</c:v>
                </c:pt>
                <c:pt idx="25" c:formatCode="0">
                  <c:v>1</c:v>
                </c:pt>
                <c:pt idx="26" c:formatCode="0">
                  <c:v>1</c:v>
                </c:pt>
                <c:pt idx="27" c:formatCode="0">
                  <c:v>1</c:v>
                </c:pt>
                <c:pt idx="28" c:formatCode="0">
                  <c:v>1</c:v>
                </c:pt>
                <c:pt idx="29" c:formatCode="0">
                  <c:v>1</c:v>
                </c:pt>
              </c:numCache>
            </c:numRef>
          </c:val>
        </c:ser>
        <c:ser>
          <c:idx val="0"/>
          <c:order val="1"/>
          <c:tx>
            <c:strRef>
              <c:f>'Int.Aud. Category'!$BL$18</c:f>
              <c:strCache>
                <c:ptCount val="1"/>
                <c:pt idx="0">
                  <c:v>Def.</c:v>
                </c:pt>
              </c:strCache>
            </c:strRef>
          </c:tx>
          <c:invertIfNegative val="0"/>
          <c:dLbls>
            <c:delete val="1"/>
          </c:dLbls>
          <c:cat>
            <c:strRef>
              <c:f>'Int.Aud. Category'!$A$19:$A$48</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'Int.Aud. Category'!$BL$19:$BL$48</c:f>
              <c:numCache>
                <c:formatCode>General</c:formatCode>
                <c:ptCount val="30"/>
                <c:pt idx="0">
                  <c:v>0</c:v>
                </c:pt>
                <c:pt idx="1">
                  <c:v>0</c:v>
                </c:pt>
                <c:pt idx="2">
                  <c:v>5</c:v>
                </c:pt>
                <c:pt idx="3">
                  <c:v>6</c:v>
                </c:pt>
                <c:pt idx="4">
                  <c:v>5</c:v>
                </c:pt>
                <c:pt idx="5">
                  <c:v>6</c:v>
                </c:pt>
                <c:pt idx="6">
                  <c:v>5</c:v>
                </c:pt>
                <c:pt idx="7">
                  <c:v>6</c:v>
                </c:pt>
                <c:pt idx="8">
                  <c:v>4</c:v>
                </c:pt>
                <c:pt idx="9">
                  <c:v>3</c:v>
                </c:pt>
                <c:pt idx="10">
                  <c:v>3</c:v>
                </c:pt>
                <c:pt idx="11">
                  <c:v>4</c:v>
                </c:pt>
                <c:pt idx="12">
                  <c:v>4</c:v>
                </c:pt>
                <c:pt idx="13">
                  <c:v>6</c:v>
                </c:pt>
                <c:pt idx="14">
                  <c:v>9</c:v>
                </c:pt>
                <c:pt idx="15">
                  <c:v>4</c:v>
                </c:pt>
                <c:pt idx="16">
                  <c:v>5</c:v>
                </c:pt>
                <c:pt idx="17">
                  <c:v>0</c:v>
                </c:pt>
                <c:pt idx="18">
                  <c:v>7</c:v>
                </c:pt>
                <c:pt idx="19">
                  <c:v>4</c:v>
                </c:pt>
                <c:pt idx="20">
                  <c:v>10</c:v>
                </c:pt>
                <c:pt idx="21">
                  <c:v>3</c:v>
                </c:pt>
                <c:pt idx="22">
                  <c:v>5</c:v>
                </c:pt>
                <c:pt idx="23">
                  <c:v>2</c:v>
                </c:pt>
                <c:pt idx="24">
                  <c:v>0</c:v>
                </c:pt>
                <c:pt idx="25">
                  <c:v>3</c:v>
                </c:pt>
                <c:pt idx="26">
                  <c:v>3</c:v>
                </c:pt>
                <c:pt idx="27">
                  <c:v>6</c:v>
                </c:pt>
                <c:pt idx="28">
                  <c:v>1</c:v>
                </c:pt>
                <c:pt idx="29">
                  <c:v>4</c:v>
                </c:pt>
              </c:numCache>
            </c:numRef>
          </c:val>
        </c:ser>
        <c:dLbls>
          <c:showLegendKey val="0"/>
          <c:showVal val="0"/>
          <c:showCatName val="0"/>
          <c:showSerName val="0"/>
          <c:showPercent val="0"/>
          <c:showBubbleSize val="0"/>
        </c:dLbls>
        <c:gapWidth val="150"/>
        <c:axId val="566931920"/>
        <c:axId val="566937016"/>
      </c:barChart>
      <c:catAx>
        <c:axId val="566931920"/>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6937016"/>
        <c:crosses val="autoZero"/>
        <c:auto val="1"/>
        <c:lblAlgn val="ctr"/>
        <c:lblOffset val="100"/>
        <c:noMultiLvlLbl val="0"/>
      </c:catAx>
      <c:valAx>
        <c:axId val="566937016"/>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6931920"/>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a8f0a3f-b04d-4c96-9881-5eb582f378d7}"/>
      </c:ext>
    </c:extLst>
  </c:chart>
  <c:txPr>
    <a:bodyPr/>
    <a:lstStyle/>
    <a:p>
      <a:pPr>
        <a:defRPr lang="en-US"/>
      </a:pP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it-IT" sz="1200" baseline="0"/>
              <a:t>IA Dry Comparison 2022-2024</a:t>
            </a:r>
            <a:endParaRPr lang="it-IT" sz="1200"/>
          </a:p>
        </c:rich>
      </c:tx>
      <c:layout>
        <c:manualLayout>
          <c:xMode val="edge"/>
          <c:yMode val="edge"/>
          <c:x val="0.292725517090123"/>
          <c:y val="0.0322337417990156"/>
        </c:manualLayout>
      </c:layout>
      <c:overlay val="0"/>
    </c:title>
    <c:autoTitleDeleted val="0"/>
    <c:plotArea>
      <c:layout/>
      <c:barChart>
        <c:barDir val="col"/>
        <c:grouping val="clustered"/>
        <c:varyColors val="0"/>
        <c:ser>
          <c:idx val="0"/>
          <c:order val="0"/>
          <c:tx>
            <c:strRef>
              <c:f>'Int.Aud. Category'!$A$79</c:f>
              <c:strCache>
                <c:ptCount val="1"/>
                <c:pt idx="0">
                  <c:v>Vessels</c:v>
                </c:pt>
              </c:strCache>
            </c:strRef>
          </c:tx>
          <c:invertIfNegative val="0"/>
          <c:dLbls>
            <c:delete val="1"/>
          </c:dLbls>
          <c:cat>
            <c:numRef>
              <c:extLst>
                <c:ext xmlns:c15="http://schemas.microsoft.com/office/drawing/2012/chart" uri="{02D57815-91ED-43cb-92C2-25804820EDAC}">
                  <c15:fullRef>
                    <c15:sqref>'Int.Aud. Category'!$B$78:$F$78</c15:sqref>
                  </c15:fullRef>
                </c:ext>
              </c:extLst>
              <c:f>'Int.Aud. Category'!$D$78:$F$78</c:f>
              <c:numCache>
                <c:formatCode>General</c:formatCode>
                <c:ptCount val="3"/>
                <c:pt idx="0">
                  <c:v>2022</c:v>
                </c:pt>
                <c:pt idx="1">
                  <c:v>2023</c:v>
                </c:pt>
                <c:pt idx="2">
                  <c:v>2024</c:v>
                </c:pt>
              </c:numCache>
            </c:numRef>
          </c:cat>
          <c:val>
            <c:numRef>
              <c:extLst>
                <c:ext xmlns:c15="http://schemas.microsoft.com/office/drawing/2012/chart" uri="{02D57815-91ED-43cb-92C2-25804820EDAC}">
                  <c15:fullRef>
                    <c15:sqref>'Int.Aud. Category'!$B$79:$F$79</c15:sqref>
                  </c15:fullRef>
                </c:ext>
              </c:extLst>
              <c:f>'Int.Aud. Category'!$D$79:$F$79</c:f>
              <c:numCache>
                <c:formatCode>General</c:formatCode>
                <c:ptCount val="3"/>
                <c:pt idx="0">
                  <c:v>13</c:v>
                </c:pt>
                <c:pt idx="1">
                  <c:v>10</c:v>
                </c:pt>
                <c:pt idx="2">
                  <c:v>11</c:v>
                </c:pt>
              </c:numCache>
            </c:numRef>
          </c:val>
        </c:ser>
        <c:ser>
          <c:idx val="1"/>
          <c:order val="1"/>
          <c:tx>
            <c:strRef>
              <c:f>'Int.Aud. Category'!$A$80</c:f>
              <c:strCache>
                <c:ptCount val="1"/>
                <c:pt idx="0">
                  <c:v>Audits</c:v>
                </c:pt>
              </c:strCache>
            </c:strRef>
          </c:tx>
          <c:invertIfNegative val="0"/>
          <c:dLbls>
            <c:delete val="1"/>
          </c:dLbls>
          <c:cat>
            <c:numRef>
              <c:extLst>
                <c:ext xmlns:c15="http://schemas.microsoft.com/office/drawing/2012/chart" uri="{02D57815-91ED-43cb-92C2-25804820EDAC}">
                  <c15:fullRef>
                    <c15:sqref>'Int.Aud. Category'!$B$78:$F$78</c15:sqref>
                  </c15:fullRef>
                </c:ext>
              </c:extLst>
              <c:f>'Int.Aud. Category'!$D$78:$F$78</c:f>
              <c:numCache>
                <c:formatCode>General</c:formatCode>
                <c:ptCount val="3"/>
                <c:pt idx="0">
                  <c:v>2022</c:v>
                </c:pt>
                <c:pt idx="1">
                  <c:v>2023</c:v>
                </c:pt>
                <c:pt idx="2">
                  <c:v>2024</c:v>
                </c:pt>
              </c:numCache>
            </c:numRef>
          </c:cat>
          <c:val>
            <c:numRef>
              <c:extLst>
                <c:ext xmlns:c15="http://schemas.microsoft.com/office/drawing/2012/chart" uri="{02D57815-91ED-43cb-92C2-25804820EDAC}">
                  <c15:fullRef>
                    <c15:sqref>'Int.Aud. Category'!$B$80:$F$80</c15:sqref>
                  </c15:fullRef>
                </c:ext>
              </c:extLst>
              <c:f>'Int.Aud. Category'!$D$80:$F$80</c:f>
              <c:numCache>
                <c:formatCode>General</c:formatCode>
                <c:ptCount val="3"/>
                <c:pt idx="0">
                  <c:v>19</c:v>
                </c:pt>
                <c:pt idx="1">
                  <c:v>9</c:v>
                </c:pt>
                <c:pt idx="2" c:formatCode="0">
                  <c:v>10</c:v>
                </c:pt>
              </c:numCache>
            </c:numRef>
          </c:val>
        </c:ser>
        <c:ser>
          <c:idx val="2"/>
          <c:order val="2"/>
          <c:tx>
            <c:strRef>
              <c:f>'Int.Aud. Category'!$A$81</c:f>
              <c:strCache>
                <c:ptCount val="1"/>
                <c:pt idx="0">
                  <c:v>Deficiencies</c:v>
                </c:pt>
              </c:strCache>
            </c:strRef>
          </c:tx>
          <c:invertIfNegative val="0"/>
          <c:dLbls>
            <c:delete val="1"/>
          </c:dLbls>
          <c:cat>
            <c:numRef>
              <c:extLst>
                <c:ext xmlns:c15="http://schemas.microsoft.com/office/drawing/2012/chart" uri="{02D57815-91ED-43cb-92C2-25804820EDAC}">
                  <c15:fullRef>
                    <c15:sqref>'Int.Aud. Category'!$B$78:$F$78</c15:sqref>
                  </c15:fullRef>
                </c:ext>
              </c:extLst>
              <c:f>'Int.Aud. Category'!$D$78:$F$78</c:f>
              <c:numCache>
                <c:formatCode>General</c:formatCode>
                <c:ptCount val="3"/>
                <c:pt idx="0">
                  <c:v>2022</c:v>
                </c:pt>
                <c:pt idx="1">
                  <c:v>2023</c:v>
                </c:pt>
                <c:pt idx="2">
                  <c:v>2024</c:v>
                </c:pt>
              </c:numCache>
            </c:numRef>
          </c:cat>
          <c:val>
            <c:numRef>
              <c:extLst>
                <c:ext xmlns:c15="http://schemas.microsoft.com/office/drawing/2012/chart" uri="{02D57815-91ED-43cb-92C2-25804820EDAC}">
                  <c15:fullRef>
                    <c15:sqref>'Int.Aud. Category'!$B$81:$F$81</c15:sqref>
                  </c15:fullRef>
                </c:ext>
              </c:extLst>
              <c:f>'Int.Aud. Category'!$D$81:$F$81</c:f>
              <c:numCache>
                <c:formatCode>General</c:formatCode>
                <c:ptCount val="3"/>
                <c:pt idx="0">
                  <c:v>79</c:v>
                </c:pt>
                <c:pt idx="1" c:formatCode="0">
                  <c:v>27</c:v>
                </c:pt>
                <c:pt idx="2" c:formatCode="0">
                  <c:v>46</c:v>
                </c:pt>
              </c:numCache>
            </c:numRef>
          </c:val>
        </c:ser>
        <c:dLbls>
          <c:showLegendKey val="0"/>
          <c:showVal val="0"/>
          <c:showCatName val="0"/>
          <c:showSerName val="0"/>
          <c:showPercent val="0"/>
          <c:showBubbleSize val="0"/>
        </c:dLbls>
        <c:gapWidth val="150"/>
        <c:axId val="566937800"/>
        <c:axId val="566932312"/>
      </c:barChart>
      <c:lineChart>
        <c:grouping val="standard"/>
        <c:varyColors val="0"/>
        <c:ser>
          <c:idx val="3"/>
          <c:order val="3"/>
          <c:tx>
            <c:strRef>
              <c:f>'Int.Aud. Category'!$A$82</c:f>
              <c:strCache>
                <c:ptCount val="1"/>
                <c:pt idx="0">
                  <c:v>Def x Insp</c:v>
                </c:pt>
              </c:strCache>
            </c:strRef>
          </c:tx>
          <c:spPr>
            <a:ln w="28575" cap="rnd" cmpd="sng" algn="ctr">
              <a:solidFill>
                <a:srgbClr val="FF0000"/>
              </a:solidFill>
              <a:prstDash val="solid"/>
              <a:round/>
            </a:ln>
          </c:spPr>
          <c:marker>
            <c:spPr>
              <a:solidFill>
                <a:srgbClr val="FF0000"/>
              </a:solidFill>
              <a:ln w="9525" cap="flat" cmpd="sng" algn="ctr">
                <a:solidFill>
                  <a:srgbClr val="FF0000"/>
                </a:solidFill>
                <a:prstDash val="solid"/>
                <a:round/>
              </a:ln>
            </c:spPr>
          </c:marker>
          <c:dLbls>
            <c:delete val="1"/>
          </c:dLbls>
          <c:cat>
            <c:numRef>
              <c:extLst>
                <c:ext xmlns:c15="http://schemas.microsoft.com/office/drawing/2012/chart" uri="{02D57815-91ED-43cb-92C2-25804820EDAC}">
                  <c15:fullRef>
                    <c15:sqref>'Int.Aud. Category'!$B$78:$F$78</c15:sqref>
                  </c15:fullRef>
                </c:ext>
              </c:extLst>
              <c:f>'Int.Aud. Category'!$D$78:$F$78</c:f>
              <c:numCache>
                <c:formatCode>General</c:formatCode>
                <c:ptCount val="3"/>
                <c:pt idx="0">
                  <c:v>2022</c:v>
                </c:pt>
                <c:pt idx="1">
                  <c:v>2023</c:v>
                </c:pt>
                <c:pt idx="2">
                  <c:v>2024</c:v>
                </c:pt>
              </c:numCache>
            </c:numRef>
          </c:cat>
          <c:val>
            <c:numRef>
              <c:extLst>
                <c:ext xmlns:c15="http://schemas.microsoft.com/office/drawing/2012/chart" uri="{02D57815-91ED-43cb-92C2-25804820EDAC}">
                  <c15:fullRef>
                    <c15:sqref>'Int.Aud. Category'!$B$82:$F$82</c15:sqref>
                  </c15:fullRef>
                </c:ext>
              </c:extLst>
              <c:f>'Int.Aud. Category'!$D$82:$F$82</c:f>
              <c:numCache>
                <c:formatCode>0.00</c:formatCode>
                <c:ptCount val="3"/>
                <c:pt idx="0">
                  <c:v>4.15789473684211</c:v>
                </c:pt>
                <c:pt idx="1">
                  <c:v>3</c:v>
                </c:pt>
                <c:pt idx="2">
                  <c:v>4.6</c:v>
                </c:pt>
              </c:numCache>
            </c:numRef>
          </c:val>
          <c:smooth val="0"/>
        </c:ser>
        <c:dLbls>
          <c:showLegendKey val="0"/>
          <c:showVal val="0"/>
          <c:showCatName val="0"/>
          <c:showSerName val="0"/>
          <c:showPercent val="0"/>
          <c:showBubbleSize val="0"/>
        </c:dLbls>
        <c:marker val="1"/>
        <c:smooth val="0"/>
        <c:axId val="566937800"/>
        <c:axId val="566932312"/>
      </c:lineChart>
      <c:catAx>
        <c:axId val="566937800"/>
        <c:scaling>
          <c:orientation val="minMax"/>
        </c:scaling>
        <c:delete val="0"/>
        <c:axPos val="b"/>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6932312"/>
        <c:crosses val="autoZero"/>
        <c:auto val="1"/>
        <c:lblAlgn val="ctr"/>
        <c:lblOffset val="100"/>
        <c:noMultiLvlLbl val="0"/>
      </c:catAx>
      <c:valAx>
        <c:axId val="566932312"/>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6937800"/>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d292f8c-b33b-4529-93d2-b4c41e58c687}"/>
      </c:ext>
    </c:extLst>
  </c:chart>
  <c:txPr>
    <a:bodyPr/>
    <a:lstStyle/>
    <a:p>
      <a:pPr>
        <a:defRPr lang="en-US"/>
      </a:pP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en-US" sz="1200" baseline="0"/>
              <a:t>IA Dry Inspections and Deficiencies x Vessels</a:t>
            </a:r>
            <a:endParaRPr lang="en-US" sz="1200"/>
          </a:p>
        </c:rich>
      </c:tx>
      <c:layout/>
      <c:overlay val="0"/>
    </c:title>
    <c:autoTitleDeleted val="0"/>
    <c:plotArea>
      <c:layout/>
      <c:barChart>
        <c:barDir val="col"/>
        <c:grouping val="clustered"/>
        <c:varyColors val="0"/>
        <c:ser>
          <c:idx val="0"/>
          <c:order val="0"/>
          <c:tx>
            <c:strRef>
              <c:f>'Int.Aud. Category'!$BJ$18</c:f>
              <c:strCache>
                <c:ptCount val="1"/>
                <c:pt idx="0">
                  <c:v>No.  Insp.</c:v>
                </c:pt>
              </c:strCache>
            </c:strRef>
          </c:tx>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'Int.Aud. Category'!$A$49:$A$60</c:f>
              <c:strCache>
                <c:ptCount val="12"/>
                <c:pt idx="0">
                  <c:v>Cielo di Valparaiso</c:v>
                </c:pt>
                <c:pt idx="1">
                  <c:v>Cielo Dei Maronti</c:v>
                </c:pt>
                <c:pt idx="2">
                  <c:v>Medi Adriatico</c:v>
                </c:pt>
                <c:pt idx="3">
                  <c:v>Medi Atlantico</c:v>
                </c:pt>
                <c:pt idx="4">
                  <c:v>Medi Egadi</c:v>
                </c:pt>
                <c:pt idx="5">
                  <c:v>Medi Egeo</c:v>
                </c:pt>
                <c:pt idx="6">
                  <c:v>Medi Matsuura</c:v>
                </c:pt>
                <c:pt idx="7">
                  <c:v>Medi Palmarola</c:v>
                </c:pt>
                <c:pt idx="8">
                  <c:v>Medi Sydney</c:v>
                </c:pt>
                <c:pt idx="9">
                  <c:v>Medi Tirreno</c:v>
                </c:pt>
                <c:pt idx="10">
                  <c:v>Medi Zuoz</c:v>
                </c:pt>
                <c:pt idx="11">
                  <c:v>Medi Caboto</c:v>
                </c:pt>
              </c:strCache>
            </c:strRef>
          </c:cat>
          <c:val>
            <c:numRef>
              <c:f>'Int.Aud. Category'!$BJ$49:$BJ$60</c:f>
              <c:numCache>
                <c:formatCode>General</c:formatCode>
                <c:ptCount val="12"/>
                <c:pt idx="0">
                  <c:v>0</c:v>
                </c:pt>
                <c:pt idx="1">
                  <c:v>1</c:v>
                </c:pt>
                <c:pt idx="2">
                  <c:v>1</c:v>
                </c:pt>
                <c:pt idx="3">
                  <c:v>1</c:v>
                </c:pt>
                <c:pt idx="4">
                  <c:v>1</c:v>
                </c:pt>
                <c:pt idx="5">
                  <c:v>1</c:v>
                </c:pt>
                <c:pt idx="6">
                  <c:v>1</c:v>
                </c:pt>
                <c:pt idx="7">
                  <c:v>1</c:v>
                </c:pt>
                <c:pt idx="8">
                  <c:v>1</c:v>
                </c:pt>
                <c:pt idx="9">
                  <c:v>1</c:v>
                </c:pt>
                <c:pt idx="10">
                  <c:v>1</c:v>
                </c:pt>
                <c:pt idx="11">
                  <c:v>0</c:v>
                </c:pt>
              </c:numCache>
            </c:numRef>
          </c:val>
        </c:ser>
        <c:ser>
          <c:idx val="1"/>
          <c:order val="1"/>
          <c:tx>
            <c:strRef>
              <c:f>'Int.Aud. Category'!$BL$18</c:f>
              <c:strCache>
                <c:ptCount val="1"/>
                <c:pt idx="0">
                  <c:v>Def.</c:v>
                </c:pt>
              </c:strCache>
            </c:strRef>
          </c:tx>
          <c:invertIfNegative val="0"/>
          <c:dLbls>
            <c:dLbl>
              <c:idx val="0"/>
              <c:layout/>
              <c:dLblPos val="outEnd"/>
              <c:showLegendKey val="0"/>
              <c:showVal val="1"/>
              <c:showCatName val="0"/>
              <c:showSerName val="0"/>
              <c:showPercent val="0"/>
              <c:showBubbleSize val="0"/>
              <c:extLst>
                <c:ext xmlns:c15="http://schemas.microsoft.com/office/drawing/2012/chart" uri="{CE6537A1-D6FC-4f65-9D91-7224C49458BB}"/>
              </c:extLst>
            </c:dLbl>
            <c:dLbl>
              <c:idx val="1"/>
              <c:layout/>
              <c:dLblPos val="outEnd"/>
              <c:showLegendKey val="0"/>
              <c:showVal val="1"/>
              <c:showCatName val="0"/>
              <c:showSerName val="0"/>
              <c:showPercent val="0"/>
              <c:showBubbleSize val="0"/>
              <c:extLst>
                <c:ext xmlns:c15="http://schemas.microsoft.com/office/drawing/2012/chart" uri="{CE6537A1-D6FC-4f65-9D91-7224C49458BB}"/>
              </c:extLst>
            </c:dLbl>
            <c:dLbl>
              <c:idx val="2"/>
              <c:layout/>
              <c:dLblPos val="outEnd"/>
              <c:showLegendKey val="0"/>
              <c:showVal val="1"/>
              <c:showCatName val="0"/>
              <c:showSerName val="0"/>
              <c:showPercent val="0"/>
              <c:showBubbleSize val="0"/>
              <c:extLst>
                <c:ext xmlns:c15="http://schemas.microsoft.com/office/drawing/2012/chart" uri="{CE6537A1-D6FC-4f65-9D91-7224C49458BB}"/>
              </c:extLst>
            </c:dLbl>
            <c:dLbl>
              <c:idx val="3"/>
              <c:layout/>
              <c:dLblPos val="outEnd"/>
              <c:showLegendKey val="0"/>
              <c:showVal val="1"/>
              <c:showCatName val="0"/>
              <c:showSerName val="0"/>
              <c:showPercent val="0"/>
              <c:showBubbleSize val="0"/>
              <c:extLst>
                <c:ext xmlns:c15="http://schemas.microsoft.com/office/drawing/2012/chart" uri="{CE6537A1-D6FC-4f65-9D91-7224C49458BB}"/>
              </c:extLst>
            </c:dLbl>
            <c:dLbl>
              <c:idx val="4"/>
              <c:layout/>
              <c:dLblPos val="outEnd"/>
              <c:showLegendKey val="0"/>
              <c:showVal val="1"/>
              <c:showCatName val="0"/>
              <c:showSerName val="0"/>
              <c:showPercent val="0"/>
              <c:showBubbleSize val="0"/>
              <c:extLst>
                <c:ext xmlns:c15="http://schemas.microsoft.com/office/drawing/2012/chart" uri="{CE6537A1-D6FC-4f65-9D91-7224C49458BB}"/>
              </c:extLst>
            </c:dLbl>
            <c:dLbl>
              <c:idx val="5"/>
              <c:layout/>
              <c:dLblPos val="outEnd"/>
              <c:showLegendKey val="0"/>
              <c:showVal val="1"/>
              <c:showCatName val="0"/>
              <c:showSerName val="0"/>
              <c:showPercent val="0"/>
              <c:showBubbleSize val="0"/>
              <c:extLst>
                <c:ext xmlns:c15="http://schemas.microsoft.com/office/drawing/2012/chart" uri="{CE6537A1-D6FC-4f65-9D91-7224C49458BB}"/>
              </c:extLst>
            </c:dLbl>
            <c:dLbl>
              <c:idx val="6"/>
              <c:layout/>
              <c:dLblPos val="outEnd"/>
              <c:showLegendKey val="0"/>
              <c:showVal val="1"/>
              <c:showCatName val="0"/>
              <c:showSerName val="0"/>
              <c:showPercent val="0"/>
              <c:showBubbleSize val="0"/>
              <c:extLst>
                <c:ext xmlns:c15="http://schemas.microsoft.com/office/drawing/2012/chart" uri="{CE6537A1-D6FC-4f65-9D91-7224C49458BB}"/>
              </c:extLst>
            </c:dLbl>
            <c:dLbl>
              <c:idx val="7"/>
              <c:layout/>
              <c:dLblPos val="outEnd"/>
              <c:showLegendKey val="0"/>
              <c:showVal val="1"/>
              <c:showCatName val="0"/>
              <c:showSerName val="0"/>
              <c:showPercent val="0"/>
              <c:showBubbleSize val="0"/>
              <c:extLst>
                <c:ext xmlns:c15="http://schemas.microsoft.com/office/drawing/2012/chart" uri="{CE6537A1-D6FC-4f65-9D91-7224C49458BB}"/>
              </c:extLst>
            </c:dLbl>
            <c:dLbl>
              <c:idx val="8"/>
              <c:layout/>
              <c:dLblPos val="outEnd"/>
              <c:showLegendKey val="0"/>
              <c:showVal val="1"/>
              <c:showCatName val="0"/>
              <c:showSerName val="0"/>
              <c:showPercent val="0"/>
              <c:showBubbleSize val="0"/>
              <c:extLst>
                <c:ext xmlns:c15="http://schemas.microsoft.com/office/drawing/2012/chart" uri="{CE6537A1-D6FC-4f65-9D91-7224C49458BB}"/>
              </c:extLst>
            </c:dLbl>
            <c:dLbl>
              <c:idx val="9"/>
              <c:layout/>
              <c:dLblPos val="outEnd"/>
              <c:showLegendKey val="0"/>
              <c:showVal val="1"/>
              <c:showCatName val="0"/>
              <c:showSerName val="0"/>
              <c:showPercent val="0"/>
              <c:showBubbleSize val="0"/>
              <c:extLst>
                <c:ext xmlns:c15="http://schemas.microsoft.com/office/drawing/2012/chart" uri="{CE6537A1-D6FC-4f65-9D91-7224C49458BB}"/>
              </c:extLst>
            </c:dLbl>
            <c:dLbl>
              <c:idx val="10"/>
              <c:layout/>
              <c:dLblPos val="outEnd"/>
              <c:showLegendKey val="0"/>
              <c:showVal val="1"/>
              <c:showCatName val="0"/>
              <c:showSerName val="0"/>
              <c:showPercent val="0"/>
              <c:showBubbleSize val="0"/>
              <c:extLst>
                <c:ext xmlns:c15="http://schemas.microsoft.com/office/drawing/2012/chart" uri="{CE6537A1-D6FC-4f65-9D91-7224C49458BB}"/>
              </c:extLst>
            </c:dLbl>
            <c:dLbl>
              <c:idx val="11"/>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0"/>
            <c:showCatName val="0"/>
            <c:showSerName val="0"/>
            <c:showPercent val="0"/>
            <c:showBubbleSize val="0"/>
            <c:showLeaderLines val="0"/>
            <c:extLst>
              <c:ext xmlns:c15="http://schemas.microsoft.com/office/drawing/2012/chart" uri="{CE6537A1-D6FC-4f65-9D91-7224C49458BB}">
                <c15:layout/>
                <c15:showLeaderLines val="1"/>
                <c15:leaderLines/>
              </c:ext>
            </c:extLst>
          </c:dLbls>
          <c:cat>
            <c:strRef>
              <c:f>'Int.Aud. Category'!$A$49:$A$60</c:f>
              <c:strCache>
                <c:ptCount val="12"/>
                <c:pt idx="0">
                  <c:v>Cielo di Valparaiso</c:v>
                </c:pt>
                <c:pt idx="1">
                  <c:v>Cielo Dei Maronti</c:v>
                </c:pt>
                <c:pt idx="2">
                  <c:v>Medi Adriatico</c:v>
                </c:pt>
                <c:pt idx="3">
                  <c:v>Medi Atlantico</c:v>
                </c:pt>
                <c:pt idx="4">
                  <c:v>Medi Egadi</c:v>
                </c:pt>
                <c:pt idx="5">
                  <c:v>Medi Egeo</c:v>
                </c:pt>
                <c:pt idx="6">
                  <c:v>Medi Matsuura</c:v>
                </c:pt>
                <c:pt idx="7">
                  <c:v>Medi Palmarola</c:v>
                </c:pt>
                <c:pt idx="8">
                  <c:v>Medi Sydney</c:v>
                </c:pt>
                <c:pt idx="9">
                  <c:v>Medi Tirreno</c:v>
                </c:pt>
                <c:pt idx="10">
                  <c:v>Medi Zuoz</c:v>
                </c:pt>
                <c:pt idx="11">
                  <c:v>Medi Caboto</c:v>
                </c:pt>
              </c:strCache>
            </c:strRef>
          </c:cat>
          <c:val>
            <c:numRef>
              <c:f>'Int.Aud. Category'!$BL$49:$BL$60</c:f>
              <c:numCache>
                <c:formatCode>General</c:formatCode>
                <c:ptCount val="12"/>
                <c:pt idx="0">
                  <c:v>0</c:v>
                </c:pt>
                <c:pt idx="1">
                  <c:v>4</c:v>
                </c:pt>
                <c:pt idx="2">
                  <c:v>3</c:v>
                </c:pt>
                <c:pt idx="3">
                  <c:v>5</c:v>
                </c:pt>
                <c:pt idx="4">
                  <c:v>3</c:v>
                </c:pt>
                <c:pt idx="5">
                  <c:v>3</c:v>
                </c:pt>
                <c:pt idx="6">
                  <c:v>4</c:v>
                </c:pt>
                <c:pt idx="7">
                  <c:v>5</c:v>
                </c:pt>
                <c:pt idx="8">
                  <c:v>12</c:v>
                </c:pt>
                <c:pt idx="9">
                  <c:v>3</c:v>
                </c:pt>
                <c:pt idx="10">
                  <c:v>4</c:v>
                </c:pt>
                <c:pt idx="11">
                  <c:v>0</c:v>
                </c:pt>
              </c:numCache>
            </c:numRef>
          </c:val>
        </c:ser>
        <c:dLbls>
          <c:showLegendKey val="0"/>
          <c:showVal val="0"/>
          <c:showCatName val="0"/>
          <c:showSerName val="0"/>
          <c:showPercent val="0"/>
          <c:showBubbleSize val="0"/>
        </c:dLbls>
        <c:gapWidth val="150"/>
        <c:axId val="566932704"/>
        <c:axId val="566933880"/>
      </c:barChart>
      <c:catAx>
        <c:axId val="566932704"/>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6933880"/>
        <c:crosses val="autoZero"/>
        <c:auto val="1"/>
        <c:lblAlgn val="ctr"/>
        <c:lblOffset val="100"/>
        <c:noMultiLvlLbl val="0"/>
      </c:catAx>
      <c:valAx>
        <c:axId val="566933880"/>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6932704"/>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414af07-6c53-4347-8b0f-cf009dd5551c}"/>
      </c:ext>
    </c:extLst>
  </c:chart>
  <c:txPr>
    <a:bodyPr/>
    <a:lstStyle/>
    <a:p>
      <a:pPr>
        <a:defRPr lang="en-US"/>
      </a:pP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it-IT" sz="1200"/>
              <a:t>SI Tanker comparison 2024-2024</a:t>
            </a:r>
            <a:r>
              <a:rPr lang="it-IT" sz="1200" b="1" i="0" u="none" strike="noStrike" baseline="0"/>
              <a:t> </a:t>
            </a:r>
            <a:endParaRPr lang="it-IT" sz="1200"/>
          </a:p>
        </c:rich>
      </c:tx>
      <c:layout/>
      <c:overlay val="0"/>
    </c:title>
    <c:autoTitleDeleted val="0"/>
    <c:plotArea>
      <c:layout/>
      <c:barChart>
        <c:barDir val="col"/>
        <c:grouping val="clustered"/>
        <c:varyColors val="0"/>
        <c:ser>
          <c:idx val="0"/>
          <c:order val="0"/>
          <c:tx>
            <c:strRef>
              <c:f>Saf.Insp.category!$A$72</c:f>
              <c:strCache>
                <c:ptCount val="1"/>
                <c:pt idx="0">
                  <c:v>Vessels</c:v>
                </c:pt>
              </c:strCache>
            </c:strRef>
          </c:tx>
          <c:spPr>
            <a:solidFill>
              <a:srgbClr val="92D050"/>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extLst>
                <c:ext xmlns:c15="http://schemas.microsoft.com/office/drawing/2012/chart" uri="{02D57815-91ED-43cb-92C2-25804820EDAC}">
                  <c15:fullRef>
                    <c15:sqref>Saf.Insp.category!$B$71:$F$71</c15:sqref>
                  </c15:fullRef>
                </c:ext>
              </c:extLst>
              <c:f>Saf.Insp.category!$D$71:$F$71</c:f>
              <c:numCache>
                <c:formatCode>General</c:formatCode>
                <c:ptCount val="3"/>
                <c:pt idx="0">
                  <c:v>2022</c:v>
                </c:pt>
                <c:pt idx="1">
                  <c:v>2023</c:v>
                </c:pt>
                <c:pt idx="2">
                  <c:v>2024</c:v>
                </c:pt>
              </c:numCache>
            </c:numRef>
          </c:cat>
          <c:val>
            <c:numRef>
              <c:extLst>
                <c:ext xmlns:c15="http://schemas.microsoft.com/office/drawing/2012/chart" uri="{02D57815-91ED-43cb-92C2-25804820EDAC}">
                  <c15:fullRef>
                    <c15:sqref>Saf.Insp.category!$B$72:$F$72</c15:sqref>
                  </c15:fullRef>
                </c:ext>
              </c:extLst>
              <c:f>Saf.Insp.category!$D$72:$F$72</c:f>
              <c:numCache>
                <c:formatCode>General</c:formatCode>
                <c:ptCount val="3"/>
                <c:pt idx="0">
                  <c:v>23</c:v>
                </c:pt>
                <c:pt idx="1">
                  <c:v>21</c:v>
                </c:pt>
                <c:pt idx="2">
                  <c:v>25</c:v>
                </c:pt>
              </c:numCache>
            </c:numRef>
          </c:val>
        </c:ser>
        <c:ser>
          <c:idx val="1"/>
          <c:order val="1"/>
          <c:tx>
            <c:strRef>
              <c:f>Saf.Insp.category!$A$73</c:f>
              <c:strCache>
                <c:ptCount val="1"/>
                <c:pt idx="0">
                  <c:v>Inspections</c:v>
                </c:pt>
              </c:strCache>
            </c:strRef>
          </c:tx>
          <c:spPr>
            <a:solidFill>
              <a:srgbClr val="0070C0"/>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extLst>
                <c:ext xmlns:c15="http://schemas.microsoft.com/office/drawing/2012/chart" uri="{02D57815-91ED-43cb-92C2-25804820EDAC}">
                  <c15:fullRef>
                    <c15:sqref>Saf.Insp.category!$B$71:$F$71</c15:sqref>
                  </c15:fullRef>
                </c:ext>
              </c:extLst>
              <c:f>Saf.Insp.category!$D$71:$F$71</c:f>
              <c:numCache>
                <c:formatCode>General</c:formatCode>
                <c:ptCount val="3"/>
                <c:pt idx="0">
                  <c:v>2022</c:v>
                </c:pt>
                <c:pt idx="1">
                  <c:v>2023</c:v>
                </c:pt>
                <c:pt idx="2">
                  <c:v>2024</c:v>
                </c:pt>
              </c:numCache>
            </c:numRef>
          </c:cat>
          <c:val>
            <c:numRef>
              <c:extLst>
                <c:ext xmlns:c15="http://schemas.microsoft.com/office/drawing/2012/chart" uri="{02D57815-91ED-43cb-92C2-25804820EDAC}">
                  <c15:fullRef>
                    <c15:sqref>Saf.Insp.category!$B$73:$F$73</c15:sqref>
                  </c15:fullRef>
                </c:ext>
              </c:extLst>
              <c:f>Saf.Insp.category!$D$73:$F$73</c:f>
              <c:numCache>
                <c:formatCode>General</c:formatCode>
                <c:ptCount val="3"/>
                <c:pt idx="0">
                  <c:v>21</c:v>
                </c:pt>
                <c:pt idx="1">
                  <c:v>22</c:v>
                </c:pt>
                <c:pt idx="2" c:formatCode="0">
                  <c:v>29</c:v>
                </c:pt>
              </c:numCache>
            </c:numRef>
          </c:val>
        </c:ser>
        <c:ser>
          <c:idx val="2"/>
          <c:order val="2"/>
          <c:tx>
            <c:strRef>
              <c:f>Saf.Insp.category!$A$74</c:f>
              <c:strCache>
                <c:ptCount val="1"/>
                <c:pt idx="0">
                  <c:v>Deficiencies</c:v>
                </c:pt>
              </c:strCache>
            </c:strRef>
          </c:tx>
          <c:spPr>
            <a:solidFill>
              <a:srgbClr val="FF0000"/>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extLst>
                <c:ext xmlns:c15="http://schemas.microsoft.com/office/drawing/2012/chart" uri="{02D57815-91ED-43cb-92C2-25804820EDAC}">
                  <c15:fullRef>
                    <c15:sqref>Saf.Insp.category!$B$71:$F$71</c15:sqref>
                  </c15:fullRef>
                </c:ext>
              </c:extLst>
              <c:f>Saf.Insp.category!$D$71:$F$71</c:f>
              <c:numCache>
                <c:formatCode>General</c:formatCode>
                <c:ptCount val="3"/>
                <c:pt idx="0">
                  <c:v>2022</c:v>
                </c:pt>
                <c:pt idx="1">
                  <c:v>2023</c:v>
                </c:pt>
                <c:pt idx="2">
                  <c:v>2024</c:v>
                </c:pt>
              </c:numCache>
            </c:numRef>
          </c:cat>
          <c:val>
            <c:numRef>
              <c:extLst>
                <c:ext xmlns:c15="http://schemas.microsoft.com/office/drawing/2012/chart" uri="{02D57815-91ED-43cb-92C2-25804820EDAC}">
                  <c15:fullRef>
                    <c15:sqref>Saf.Insp.category!$B$74:$F$74</c15:sqref>
                  </c15:fullRef>
                </c:ext>
              </c:extLst>
              <c:f>Saf.Insp.category!$D$74:$F$74</c:f>
              <c:numCache>
                <c:formatCode>0</c:formatCode>
                <c:ptCount val="3"/>
                <c:pt idx="0">
                  <c:v>96</c:v>
                </c:pt>
                <c:pt idx="1">
                  <c:v>31</c:v>
                </c:pt>
                <c:pt idx="2">
                  <c:v>144</c:v>
                </c:pt>
              </c:numCache>
            </c:numRef>
          </c:val>
        </c:ser>
        <c:dLbls>
          <c:showLegendKey val="0"/>
          <c:showVal val="0"/>
          <c:showCatName val="0"/>
          <c:showSerName val="0"/>
          <c:showPercent val="0"/>
          <c:showBubbleSize val="0"/>
        </c:dLbls>
        <c:gapWidth val="150"/>
        <c:axId val="566934664"/>
        <c:axId val="566935056"/>
      </c:barChart>
      <c:lineChart>
        <c:grouping val="standard"/>
        <c:varyColors val="0"/>
        <c:ser>
          <c:idx val="3"/>
          <c:order val="3"/>
          <c:tx>
            <c:strRef>
              <c:f>Saf.Insp.category!$A$75</c:f>
              <c:strCache>
                <c:ptCount val="1"/>
                <c:pt idx="0">
                  <c:v>Def x Insp</c:v>
                </c:pt>
              </c:strCache>
            </c:strRef>
          </c:tx>
          <c:marker>
            <c:symbol val="none"/>
          </c:marker>
          <c:dLbls>
            <c:dLbl>
              <c:idx val="0"/>
              <c:layout/>
              <c:numFmt formatCode="General" sourceLinked="1"/>
              <c:spPr>
                <a:noFill/>
                <a:ln>
                  <a:noFill/>
                </a:ln>
                <a:effectLst/>
              </c:spPr>
              <c:txPr>
                <a:bodyPr rot="0" spcFirstLastPara="0" vertOverflow="ellipsis" vert="horz" wrap="square" lIns="38100" tIns="19050" rIns="38100" bIns="19050" anchor="ctr" anchorCtr="0">
                  <a:spAutoFit/>
                </a:bodyPr>
                <a:lstStyle/>
                <a:p>
                  <a:pPr algn="ctr">
                    <a:defRPr lang="it-IT"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extLst>
                <c:ext xmlns:c15="http://schemas.microsoft.com/office/drawing/2012/chart" uri="{02D57815-91ED-43cb-92C2-25804820EDAC}">
                  <c15:fullRef>
                    <c15:sqref>Saf.Insp.category!$B$71:$F$71</c15:sqref>
                  </c15:fullRef>
                </c:ext>
              </c:extLst>
              <c:f>Saf.Insp.category!$D$71:$F$71</c:f>
              <c:numCache>
                <c:formatCode>General</c:formatCode>
                <c:ptCount val="3"/>
                <c:pt idx="0">
                  <c:v>2022</c:v>
                </c:pt>
                <c:pt idx="1">
                  <c:v>2023</c:v>
                </c:pt>
                <c:pt idx="2">
                  <c:v>2024</c:v>
                </c:pt>
              </c:numCache>
            </c:numRef>
          </c:cat>
          <c:val>
            <c:numRef>
              <c:extLst>
                <c:ext xmlns:c15="http://schemas.microsoft.com/office/drawing/2012/chart" uri="{02D57815-91ED-43cb-92C2-25804820EDAC}">
                  <c15:fullRef>
                    <c15:sqref>Saf.Insp.category!$B$75:$F$75</c15:sqref>
                  </c15:fullRef>
                </c:ext>
              </c:extLst>
              <c:f>Saf.Insp.category!$D$75:$F$75</c:f>
              <c:numCache>
                <c:formatCode>0.00</c:formatCode>
                <c:ptCount val="3"/>
                <c:pt idx="0">
                  <c:v>4.57142857142857</c:v>
                </c:pt>
                <c:pt idx="1">
                  <c:v>1.40909090909091</c:v>
                </c:pt>
                <c:pt idx="2">
                  <c:v>4.96551724137931</c:v>
                </c:pt>
              </c:numCache>
            </c:numRef>
          </c:val>
          <c:smooth val="0"/>
        </c:ser>
        <c:dLbls>
          <c:showLegendKey val="0"/>
          <c:showVal val="0"/>
          <c:showCatName val="0"/>
          <c:showSerName val="0"/>
          <c:showPercent val="0"/>
          <c:showBubbleSize val="0"/>
        </c:dLbls>
        <c:marker val="0"/>
        <c:smooth val="0"/>
        <c:axId val="566934664"/>
        <c:axId val="566935056"/>
      </c:lineChart>
      <c:catAx>
        <c:axId val="566934664"/>
        <c:scaling>
          <c:orientation val="minMax"/>
        </c:scaling>
        <c:delete val="0"/>
        <c:axPos val="b"/>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6935056"/>
        <c:crosses val="autoZero"/>
        <c:auto val="1"/>
        <c:lblAlgn val="ctr"/>
        <c:lblOffset val="100"/>
        <c:noMultiLvlLbl val="0"/>
      </c:catAx>
      <c:valAx>
        <c:axId val="566935056"/>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6934664"/>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ef017a2-8707-4146-852f-6ac7534b35d9}"/>
      </c:ext>
    </c:extLst>
  </c:chart>
  <c:txPr>
    <a:bodyPr/>
    <a:lstStyle/>
    <a:p>
      <a:pPr>
        <a:defRPr lang="en-US"/>
      </a:pP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it-IT" sz="1200"/>
              <a:t>SI Tanker Inspections and Deficiencies x Vessels</a:t>
            </a:r>
            <a:endParaRPr lang="it-IT" sz="1200"/>
          </a:p>
        </c:rich>
      </c:tx>
      <c:layout/>
      <c:overlay val="0"/>
    </c:title>
    <c:autoTitleDeleted val="0"/>
    <c:plotArea>
      <c:layout/>
      <c:barChart>
        <c:barDir val="col"/>
        <c:grouping val="clustered"/>
        <c:varyColors val="0"/>
        <c:ser>
          <c:idx val="0"/>
          <c:order val="0"/>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Saf.Insp.category!$A$19:$A$48</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Saf.Insp.category!$BJ$19:$BJ$48</c:f>
              <c:numCache>
                <c:formatCode>General</c:formatCode>
                <c:ptCount val="30"/>
                <c:pt idx="0">
                  <c:v>0</c:v>
                </c:pt>
                <c:pt idx="1">
                  <c:v>0</c:v>
                </c:pt>
                <c:pt idx="2">
                  <c:v>1</c:v>
                </c:pt>
                <c:pt idx="3">
                  <c:v>1</c:v>
                </c:pt>
                <c:pt idx="4">
                  <c:v>1</c:v>
                </c:pt>
                <c:pt idx="5">
                  <c:v>2</c:v>
                </c:pt>
                <c:pt idx="6">
                  <c:v>2</c:v>
                </c:pt>
                <c:pt idx="7">
                  <c:v>1</c:v>
                </c:pt>
                <c:pt idx="8">
                  <c:v>1</c:v>
                </c:pt>
                <c:pt idx="9">
                  <c:v>1</c:v>
                </c:pt>
                <c:pt idx="10">
                  <c:v>1</c:v>
                </c:pt>
                <c:pt idx="11">
                  <c:v>1</c:v>
                </c:pt>
                <c:pt idx="12">
                  <c:v>1</c:v>
                </c:pt>
                <c:pt idx="13">
                  <c:v>0</c:v>
                </c:pt>
                <c:pt idx="14">
                  <c:v>1</c:v>
                </c:pt>
                <c:pt idx="15">
                  <c:v>1</c:v>
                </c:pt>
                <c:pt idx="16">
                  <c:v>1</c:v>
                </c:pt>
                <c:pt idx="17">
                  <c:v>0</c:v>
                </c:pt>
                <c:pt idx="18">
                  <c:v>1</c:v>
                </c:pt>
                <c:pt idx="19">
                  <c:v>1</c:v>
                </c:pt>
                <c:pt idx="20">
                  <c:v>2</c:v>
                </c:pt>
                <c:pt idx="21">
                  <c:v>1</c:v>
                </c:pt>
                <c:pt idx="22">
                  <c:v>2</c:v>
                </c:pt>
                <c:pt idx="23">
                  <c:v>1</c:v>
                </c:pt>
                <c:pt idx="24">
                  <c:v>1</c:v>
                </c:pt>
                <c:pt idx="25">
                  <c:v>1</c:v>
                </c:pt>
                <c:pt idx="26">
                  <c:v>1</c:v>
                </c:pt>
                <c:pt idx="27">
                  <c:v>0</c:v>
                </c:pt>
                <c:pt idx="28">
                  <c:v>1</c:v>
                </c:pt>
                <c:pt idx="29">
                  <c:v>1</c:v>
                </c:pt>
              </c:numCache>
            </c:numRef>
          </c:val>
        </c:ser>
        <c:ser>
          <c:idx val="1"/>
          <c:order val="1"/>
          <c:invertIfNegative val="0"/>
          <c:dLbls>
            <c:delete val="1"/>
          </c:dLbls>
          <c:cat>
            <c:strRef>
              <c:f>Saf.Insp.category!$A$19:$A$48</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Saf.Insp.category!$BL$19:$BL$48</c:f>
              <c:numCache>
                <c:formatCode>General</c:formatCode>
                <c:ptCount val="30"/>
                <c:pt idx="0">
                  <c:v>0</c:v>
                </c:pt>
                <c:pt idx="1">
                  <c:v>0</c:v>
                </c:pt>
                <c:pt idx="2">
                  <c:v>5</c:v>
                </c:pt>
                <c:pt idx="3">
                  <c:v>6</c:v>
                </c:pt>
                <c:pt idx="4">
                  <c:v>5</c:v>
                </c:pt>
                <c:pt idx="5">
                  <c:v>6</c:v>
                </c:pt>
                <c:pt idx="6">
                  <c:v>6</c:v>
                </c:pt>
                <c:pt idx="7">
                  <c:v>6</c:v>
                </c:pt>
                <c:pt idx="8">
                  <c:v>7</c:v>
                </c:pt>
                <c:pt idx="9">
                  <c:v>3</c:v>
                </c:pt>
                <c:pt idx="10">
                  <c:v>5</c:v>
                </c:pt>
                <c:pt idx="11">
                  <c:v>5</c:v>
                </c:pt>
                <c:pt idx="12">
                  <c:v>5</c:v>
                </c:pt>
                <c:pt idx="13">
                  <c:v>0</c:v>
                </c:pt>
                <c:pt idx="14">
                  <c:v>9</c:v>
                </c:pt>
                <c:pt idx="15">
                  <c:v>8</c:v>
                </c:pt>
                <c:pt idx="16">
                  <c:v>7</c:v>
                </c:pt>
                <c:pt idx="17">
                  <c:v>0</c:v>
                </c:pt>
                <c:pt idx="18">
                  <c:v>6</c:v>
                </c:pt>
                <c:pt idx="19">
                  <c:v>5</c:v>
                </c:pt>
                <c:pt idx="20">
                  <c:v>11</c:v>
                </c:pt>
                <c:pt idx="21">
                  <c:v>6</c:v>
                </c:pt>
                <c:pt idx="22">
                  <c:v>8</c:v>
                </c:pt>
                <c:pt idx="23">
                  <c:v>5</c:v>
                </c:pt>
                <c:pt idx="24">
                  <c:v>3</c:v>
                </c:pt>
                <c:pt idx="25">
                  <c:v>6</c:v>
                </c:pt>
                <c:pt idx="26">
                  <c:v>5</c:v>
                </c:pt>
                <c:pt idx="27">
                  <c:v>0</c:v>
                </c:pt>
                <c:pt idx="28">
                  <c:v>2</c:v>
                </c:pt>
                <c:pt idx="29">
                  <c:v>4</c:v>
                </c:pt>
              </c:numCache>
            </c:numRef>
          </c:val>
        </c:ser>
        <c:dLbls>
          <c:showLegendKey val="0"/>
          <c:showVal val="0"/>
          <c:showCatName val="0"/>
          <c:showSerName val="0"/>
          <c:showPercent val="0"/>
          <c:showBubbleSize val="0"/>
        </c:dLbls>
        <c:gapWidth val="150"/>
        <c:axId val="566610088"/>
        <c:axId val="566608128"/>
      </c:barChart>
      <c:catAx>
        <c:axId val="566610088"/>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6608128"/>
        <c:crosses val="autoZero"/>
        <c:auto val="1"/>
        <c:lblAlgn val="ctr"/>
        <c:lblOffset val="100"/>
        <c:noMultiLvlLbl val="0"/>
      </c:catAx>
      <c:valAx>
        <c:axId val="566608128"/>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6610088"/>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c433029-2cd9-4190-a581-9a6c3446977a}"/>
      </c:ext>
    </c:extLst>
  </c:chart>
  <c:txPr>
    <a:bodyPr/>
    <a:lstStyle/>
    <a:p>
      <a:pPr>
        <a:defRPr lang="en-US"/>
      </a:pP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it-IT" sz="1200" baseline="0"/>
              <a:t>SI Dry Comparison 2022-2024</a:t>
            </a:r>
            <a:endParaRPr lang="it-IT" sz="1200"/>
          </a:p>
        </c:rich>
      </c:tx>
      <c:layout>
        <c:manualLayout>
          <c:xMode val="edge"/>
          <c:yMode val="edge"/>
          <c:x val="0.264921429504587"/>
          <c:y val="0.0139616071194962"/>
        </c:manualLayout>
      </c:layout>
      <c:overlay val="0"/>
    </c:title>
    <c:autoTitleDeleted val="0"/>
    <c:plotArea>
      <c:layout/>
      <c:barChart>
        <c:barDir val="col"/>
        <c:grouping val="clustered"/>
        <c:varyColors val="0"/>
        <c:ser>
          <c:idx val="0"/>
          <c:order val="0"/>
          <c:tx>
            <c:strRef>
              <c:f>Saf.Insp.category!$A$79</c:f>
              <c:strCache>
                <c:ptCount val="1"/>
                <c:pt idx="0">
                  <c:v>Vessels</c:v>
                </c:pt>
              </c:strCache>
            </c:strRef>
          </c:tx>
          <c:spPr>
            <a:solidFill>
              <a:srgbClr val="92D050"/>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extLst>
                <c:ext xmlns:c15="http://schemas.microsoft.com/office/drawing/2012/chart" uri="{02D57815-91ED-43cb-92C2-25804820EDAC}">
                  <c15:fullRef>
                    <c15:sqref>Saf.Insp.category!$B$78:$F$78</c15:sqref>
                  </c15:fullRef>
                </c:ext>
              </c:extLst>
              <c:f>Saf.Insp.category!$D$78:$F$78</c:f>
              <c:numCache>
                <c:formatCode>General</c:formatCode>
                <c:ptCount val="3"/>
                <c:pt idx="0">
                  <c:v>2022</c:v>
                </c:pt>
                <c:pt idx="1">
                  <c:v>2023</c:v>
                </c:pt>
                <c:pt idx="2">
                  <c:v>2024</c:v>
                </c:pt>
              </c:numCache>
            </c:numRef>
          </c:cat>
          <c:val>
            <c:numRef>
              <c:extLst>
                <c:ext xmlns:c15="http://schemas.microsoft.com/office/drawing/2012/chart" uri="{02D57815-91ED-43cb-92C2-25804820EDAC}">
                  <c15:fullRef>
                    <c15:sqref>Saf.Insp.category!$B$79:$F$79</c15:sqref>
                  </c15:fullRef>
                </c:ext>
              </c:extLst>
              <c:f>Saf.Insp.category!$D$79:$F$79</c:f>
              <c:numCache>
                <c:formatCode>General</c:formatCode>
                <c:ptCount val="3"/>
                <c:pt idx="0">
                  <c:v>13</c:v>
                </c:pt>
                <c:pt idx="1">
                  <c:v>10</c:v>
                </c:pt>
                <c:pt idx="2">
                  <c:v>9</c:v>
                </c:pt>
              </c:numCache>
            </c:numRef>
          </c:val>
        </c:ser>
        <c:ser>
          <c:idx val="1"/>
          <c:order val="1"/>
          <c:tx>
            <c:strRef>
              <c:f>Saf.Insp.category!$A$80</c:f>
              <c:strCache>
                <c:ptCount val="1"/>
                <c:pt idx="0">
                  <c:v>Inspections</c:v>
                </c:pt>
              </c:strCache>
            </c:strRef>
          </c:tx>
          <c:spPr>
            <a:solidFill>
              <a:schemeClr val="accent1"/>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extLst>
                <c:ext xmlns:c15="http://schemas.microsoft.com/office/drawing/2012/chart" uri="{02D57815-91ED-43cb-92C2-25804820EDAC}">
                  <c15:fullRef>
                    <c15:sqref>Saf.Insp.category!$B$78:$F$78</c15:sqref>
                  </c15:fullRef>
                </c:ext>
              </c:extLst>
              <c:f>Saf.Insp.category!$D$78:$F$78</c:f>
              <c:numCache>
                <c:formatCode>General</c:formatCode>
                <c:ptCount val="3"/>
                <c:pt idx="0">
                  <c:v>2022</c:v>
                </c:pt>
                <c:pt idx="1">
                  <c:v>2023</c:v>
                </c:pt>
                <c:pt idx="2">
                  <c:v>2024</c:v>
                </c:pt>
              </c:numCache>
            </c:numRef>
          </c:cat>
          <c:val>
            <c:numRef>
              <c:extLst>
                <c:ext xmlns:c15="http://schemas.microsoft.com/office/drawing/2012/chart" uri="{02D57815-91ED-43cb-92C2-25804820EDAC}">
                  <c15:fullRef>
                    <c15:sqref>Saf.Insp.category!$B$80:$F$80</c15:sqref>
                  </c15:fullRef>
                </c:ext>
              </c:extLst>
              <c:f>Saf.Insp.category!$D$80:$F$80</c:f>
              <c:numCache>
                <c:formatCode>General</c:formatCode>
                <c:ptCount val="3"/>
                <c:pt idx="0">
                  <c:v>18</c:v>
                </c:pt>
                <c:pt idx="1">
                  <c:v>7</c:v>
                </c:pt>
                <c:pt idx="2" c:formatCode="0">
                  <c:v>5</c:v>
                </c:pt>
              </c:numCache>
            </c:numRef>
          </c:val>
        </c:ser>
        <c:ser>
          <c:idx val="2"/>
          <c:order val="2"/>
          <c:tx>
            <c:strRef>
              <c:f>Saf.Insp.category!$A$81</c:f>
              <c:strCache>
                <c:ptCount val="1"/>
                <c:pt idx="0">
                  <c:v>Deficiencies</c:v>
                </c:pt>
              </c:strCache>
            </c:strRef>
          </c:tx>
          <c:spPr>
            <a:solidFill>
              <a:srgbClr val="FF0000"/>
            </a:solidFill>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extLst>
                <c:ext xmlns:c15="http://schemas.microsoft.com/office/drawing/2012/chart" uri="{02D57815-91ED-43cb-92C2-25804820EDAC}">
                  <c15:fullRef>
                    <c15:sqref>Saf.Insp.category!$B$78:$F$78</c15:sqref>
                  </c15:fullRef>
                </c:ext>
              </c:extLst>
              <c:f>Saf.Insp.category!$D$78:$F$78</c:f>
              <c:numCache>
                <c:formatCode>General</c:formatCode>
                <c:ptCount val="3"/>
                <c:pt idx="0">
                  <c:v>2022</c:v>
                </c:pt>
                <c:pt idx="1">
                  <c:v>2023</c:v>
                </c:pt>
                <c:pt idx="2">
                  <c:v>2024</c:v>
                </c:pt>
              </c:numCache>
            </c:numRef>
          </c:cat>
          <c:val>
            <c:numRef>
              <c:extLst>
                <c:ext xmlns:c15="http://schemas.microsoft.com/office/drawing/2012/chart" uri="{02D57815-91ED-43cb-92C2-25804820EDAC}">
                  <c15:fullRef>
                    <c15:sqref>Saf.Insp.category!$B$81:$F$81</c15:sqref>
                  </c15:fullRef>
                </c:ext>
              </c:extLst>
              <c:f>Saf.Insp.category!$D$81:$F$81</c:f>
              <c:numCache>
                <c:formatCode>General</c:formatCode>
                <c:ptCount val="3"/>
                <c:pt idx="0">
                  <c:v>75</c:v>
                </c:pt>
                <c:pt idx="1" c:formatCode="0">
                  <c:v>23</c:v>
                </c:pt>
                <c:pt idx="2" c:formatCode="0">
                  <c:v>26</c:v>
                </c:pt>
              </c:numCache>
            </c:numRef>
          </c:val>
        </c:ser>
        <c:dLbls>
          <c:showLegendKey val="0"/>
          <c:showVal val="0"/>
          <c:showCatName val="0"/>
          <c:showSerName val="0"/>
          <c:showPercent val="0"/>
          <c:showBubbleSize val="0"/>
        </c:dLbls>
        <c:gapWidth val="150"/>
        <c:axId val="566608520"/>
        <c:axId val="566610872"/>
      </c:barChart>
      <c:lineChart>
        <c:grouping val="standard"/>
        <c:varyColors val="0"/>
        <c:ser>
          <c:idx val="3"/>
          <c:order val="3"/>
          <c:tx>
            <c:strRef>
              <c:f>Saf.Insp.category!$A$82</c:f>
              <c:strCache>
                <c:ptCount val="1"/>
                <c:pt idx="0">
                  <c:v>Def x Insp</c:v>
                </c:pt>
              </c:strCache>
            </c:strRef>
          </c:tx>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extLst>
                <c:ext xmlns:c15="http://schemas.microsoft.com/office/drawing/2012/chart" uri="{02D57815-91ED-43cb-92C2-25804820EDAC}">
                  <c15:fullRef>
                    <c15:sqref>Saf.Insp.category!$B$78:$F$78</c15:sqref>
                  </c15:fullRef>
                </c:ext>
              </c:extLst>
              <c:f>Saf.Insp.category!$D$78:$F$78</c:f>
              <c:numCache>
                <c:formatCode>General</c:formatCode>
                <c:ptCount val="3"/>
                <c:pt idx="0">
                  <c:v>2022</c:v>
                </c:pt>
                <c:pt idx="1">
                  <c:v>2023</c:v>
                </c:pt>
                <c:pt idx="2">
                  <c:v>2024</c:v>
                </c:pt>
              </c:numCache>
            </c:numRef>
          </c:cat>
          <c:val>
            <c:numRef>
              <c:extLst>
                <c:ext xmlns:c15="http://schemas.microsoft.com/office/drawing/2012/chart" uri="{02D57815-91ED-43cb-92C2-25804820EDAC}">
                  <c15:fullRef>
                    <c15:sqref>Saf.Insp.category!$B$82:$F$82</c15:sqref>
                  </c15:fullRef>
                </c:ext>
              </c:extLst>
              <c:f>Saf.Insp.category!$D$82:$F$82</c:f>
              <c:numCache>
                <c:formatCode>0.00</c:formatCode>
                <c:ptCount val="3"/>
                <c:pt idx="0">
                  <c:v>4.16666666666667</c:v>
                </c:pt>
                <c:pt idx="1">
                  <c:v>3.28571428571429</c:v>
                </c:pt>
                <c:pt idx="2">
                  <c:v>5.2</c:v>
                </c:pt>
              </c:numCache>
            </c:numRef>
          </c:val>
          <c:smooth val="0"/>
        </c:ser>
        <c:dLbls>
          <c:showLegendKey val="0"/>
          <c:showVal val="0"/>
          <c:showCatName val="0"/>
          <c:showSerName val="0"/>
          <c:showPercent val="0"/>
          <c:showBubbleSize val="0"/>
        </c:dLbls>
        <c:marker val="0"/>
        <c:smooth val="0"/>
        <c:axId val="566608520"/>
        <c:axId val="566610872"/>
      </c:lineChart>
      <c:catAx>
        <c:axId val="566608520"/>
        <c:scaling>
          <c:orientation val="minMax"/>
        </c:scaling>
        <c:delete val="0"/>
        <c:axPos val="b"/>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6610872"/>
        <c:crosses val="autoZero"/>
        <c:auto val="1"/>
        <c:lblAlgn val="ctr"/>
        <c:lblOffset val="100"/>
        <c:noMultiLvlLbl val="0"/>
      </c:catAx>
      <c:valAx>
        <c:axId val="566610872"/>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6608520"/>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dd8d341-1ffc-478b-9ea2-571eb6ce340f}"/>
      </c:ext>
    </c:extLst>
  </c:chart>
  <c:txPr>
    <a:bodyPr/>
    <a:lstStyle/>
    <a:p>
      <a:pPr>
        <a:defRPr lang="en-US"/>
      </a:pP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en-US" sz="1200" baseline="0"/>
              <a:t>SI Dry Inspections and Deficiencies x Vessels</a:t>
            </a:r>
            <a:endParaRPr lang="en-US" sz="1200"/>
          </a:p>
        </c:rich>
      </c:tx>
      <c:layout/>
      <c:overlay val="0"/>
    </c:title>
    <c:autoTitleDeleted val="0"/>
    <c:plotArea>
      <c:layout/>
      <c:barChart>
        <c:barDir val="col"/>
        <c:grouping val="clustered"/>
        <c:varyColors val="0"/>
        <c:ser>
          <c:idx val="0"/>
          <c:order val="0"/>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Saf.Insp.category!$A$49:$A$60</c:f>
              <c:strCache>
                <c:ptCount val="12"/>
                <c:pt idx="0">
                  <c:v>Cielo di Valparaiso</c:v>
                </c:pt>
                <c:pt idx="1">
                  <c:v>Cielo Dei Maronti</c:v>
                </c:pt>
                <c:pt idx="2">
                  <c:v>Medi Adriatico</c:v>
                </c:pt>
                <c:pt idx="3">
                  <c:v>Medi Atlantico</c:v>
                </c:pt>
                <c:pt idx="4">
                  <c:v>Medi Egadi</c:v>
                </c:pt>
                <c:pt idx="5">
                  <c:v>Medi Egeo</c:v>
                </c:pt>
                <c:pt idx="6">
                  <c:v>Medi Matsuura</c:v>
                </c:pt>
                <c:pt idx="7">
                  <c:v>Medi Palmarola</c:v>
                </c:pt>
                <c:pt idx="8">
                  <c:v>Medi Sydney</c:v>
                </c:pt>
                <c:pt idx="9">
                  <c:v>Medi Tirreno</c:v>
                </c:pt>
                <c:pt idx="10">
                  <c:v>Medi Zuoz</c:v>
                </c:pt>
                <c:pt idx="11">
                  <c:v>Medi Caboto</c:v>
                </c:pt>
              </c:strCache>
            </c:strRef>
          </c:cat>
          <c:val>
            <c:numRef>
              <c:f>Saf.Insp.category!$BJ$49:$BJ$60</c:f>
              <c:numCache>
                <c:formatCode>General</c:formatCode>
                <c:ptCount val="12"/>
                <c:pt idx="0">
                  <c:v>0</c:v>
                </c:pt>
                <c:pt idx="1">
                  <c:v>0</c:v>
                </c:pt>
                <c:pt idx="2">
                  <c:v>1</c:v>
                </c:pt>
                <c:pt idx="3">
                  <c:v>0</c:v>
                </c:pt>
                <c:pt idx="4">
                  <c:v>0</c:v>
                </c:pt>
                <c:pt idx="5">
                  <c:v>0</c:v>
                </c:pt>
                <c:pt idx="6">
                  <c:v>1</c:v>
                </c:pt>
                <c:pt idx="7">
                  <c:v>1</c:v>
                </c:pt>
                <c:pt idx="8">
                  <c:v>1</c:v>
                </c:pt>
                <c:pt idx="9">
                  <c:v>0</c:v>
                </c:pt>
                <c:pt idx="10">
                  <c:v>1</c:v>
                </c:pt>
                <c:pt idx="11">
                  <c:v>0</c:v>
                </c:pt>
              </c:numCache>
            </c:numRef>
          </c:val>
        </c:ser>
        <c:ser>
          <c:idx val="1"/>
          <c:order val="1"/>
          <c:invertIfNegative val="0"/>
          <c:dLbls>
            <c:delete val="1"/>
          </c:dLbls>
          <c:cat>
            <c:strRef>
              <c:f>Saf.Insp.category!$A$49:$A$60</c:f>
              <c:strCache>
                <c:ptCount val="12"/>
                <c:pt idx="0">
                  <c:v>Cielo di Valparaiso</c:v>
                </c:pt>
                <c:pt idx="1">
                  <c:v>Cielo Dei Maronti</c:v>
                </c:pt>
                <c:pt idx="2">
                  <c:v>Medi Adriatico</c:v>
                </c:pt>
                <c:pt idx="3">
                  <c:v>Medi Atlantico</c:v>
                </c:pt>
                <c:pt idx="4">
                  <c:v>Medi Egadi</c:v>
                </c:pt>
                <c:pt idx="5">
                  <c:v>Medi Egeo</c:v>
                </c:pt>
                <c:pt idx="6">
                  <c:v>Medi Matsuura</c:v>
                </c:pt>
                <c:pt idx="7">
                  <c:v>Medi Palmarola</c:v>
                </c:pt>
                <c:pt idx="8">
                  <c:v>Medi Sydney</c:v>
                </c:pt>
                <c:pt idx="9">
                  <c:v>Medi Tirreno</c:v>
                </c:pt>
                <c:pt idx="10">
                  <c:v>Medi Zuoz</c:v>
                </c:pt>
                <c:pt idx="11">
                  <c:v>Medi Caboto</c:v>
                </c:pt>
              </c:strCache>
            </c:strRef>
          </c:cat>
          <c:val>
            <c:numRef>
              <c:f>Saf.Insp.category!$BL$49:$BL$60</c:f>
              <c:numCache>
                <c:formatCode>General</c:formatCode>
                <c:ptCount val="12"/>
                <c:pt idx="0">
                  <c:v>0</c:v>
                </c:pt>
                <c:pt idx="1">
                  <c:v>0</c:v>
                </c:pt>
                <c:pt idx="2">
                  <c:v>5</c:v>
                </c:pt>
                <c:pt idx="3">
                  <c:v>0</c:v>
                </c:pt>
                <c:pt idx="4">
                  <c:v>0</c:v>
                </c:pt>
                <c:pt idx="5">
                  <c:v>0</c:v>
                </c:pt>
                <c:pt idx="6">
                  <c:v>2</c:v>
                </c:pt>
                <c:pt idx="7">
                  <c:v>6</c:v>
                </c:pt>
                <c:pt idx="8">
                  <c:v>7</c:v>
                </c:pt>
                <c:pt idx="9">
                  <c:v>0</c:v>
                </c:pt>
                <c:pt idx="10">
                  <c:v>6</c:v>
                </c:pt>
                <c:pt idx="11">
                  <c:v>0</c:v>
                </c:pt>
              </c:numCache>
            </c:numRef>
          </c:val>
        </c:ser>
        <c:dLbls>
          <c:showLegendKey val="0"/>
          <c:showVal val="0"/>
          <c:showCatName val="0"/>
          <c:showSerName val="0"/>
          <c:showPercent val="0"/>
          <c:showBubbleSize val="0"/>
        </c:dLbls>
        <c:gapWidth val="150"/>
        <c:axId val="566610480"/>
        <c:axId val="566607736"/>
      </c:barChart>
      <c:catAx>
        <c:axId val="566610480"/>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6607736"/>
        <c:crosses val="autoZero"/>
        <c:auto val="1"/>
        <c:lblAlgn val="ctr"/>
        <c:lblOffset val="100"/>
        <c:noMultiLvlLbl val="0"/>
      </c:catAx>
      <c:valAx>
        <c:axId val="566607736"/>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6610480"/>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15a4614-42da-4248-8437-7c01b13465cd}"/>
      </c:ext>
    </c:extLst>
  </c:chart>
  <c:txPr>
    <a:bodyPr/>
    <a:lstStyle/>
    <a:p>
      <a:pPr>
        <a:defRPr lang="en-US"/>
      </a:pP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en-US" sz="1200"/>
              <a:t>Fleet</a:t>
            </a:r>
            <a:r>
              <a:rPr lang="en-US" sz="1200" baseline="0"/>
              <a:t>:  Yearly Deficiencies perArea</a:t>
            </a:r>
            <a:endParaRPr lang="en-US" sz="1200"/>
          </a:p>
        </c:rich>
      </c:tx>
      <c:layout/>
      <c:overlay val="0"/>
    </c:title>
    <c:autoTitleDeleted val="0"/>
    <c:view3D>
      <c:rotX val="30"/>
      <c:rotY val="0"/>
      <c:depthPercent val="100"/>
      <c:rAngAx val="0"/>
    </c:view3D>
    <c:floor>
      <c:thickness val="0"/>
    </c:floor>
    <c:sideWall>
      <c:thickness val="0"/>
    </c:sideWall>
    <c:backWall>
      <c:thickness val="0"/>
    </c:backWall>
    <c:plotArea>
      <c:layout>
        <c:manualLayout>
          <c:layoutTarget val="inner"/>
          <c:xMode val="edge"/>
          <c:yMode val="edge"/>
          <c:x val="0.208548397655647"/>
          <c:y val="0.187048199036851"/>
          <c:w val="0.567347816389068"/>
          <c:h val="0.742776385176248"/>
        </c:manualLayout>
      </c:layout>
      <c:pie3DChart>
        <c:varyColors val="1"/>
        <c:ser>
          <c:idx val="0"/>
          <c:order val="0"/>
          <c:explosion val="25"/>
          <c:dPt>
            <c:idx val="0"/>
            <c:bubble3D val="0"/>
          </c:dPt>
          <c:dPt>
            <c:idx val="1"/>
            <c:bubble3D val="0"/>
          </c:dPt>
          <c:dPt>
            <c:idx val="2"/>
            <c:bubble3D val="0"/>
          </c:dPt>
          <c:dPt>
            <c:idx val="3"/>
            <c:bubble3D val="0"/>
          </c:dPt>
          <c:dPt>
            <c:idx val="4"/>
            <c:bubble3D val="0"/>
          </c:dPt>
          <c:dPt>
            <c:idx val="5"/>
            <c:bubble3D val="0"/>
          </c:dPt>
          <c:dPt>
            <c:idx val="6"/>
            <c:bubble3D val="0"/>
          </c:dPt>
          <c:dPt>
            <c:idx val="7"/>
            <c:bubble3D val="0"/>
          </c:dPt>
          <c:dPt>
            <c:idx val="8"/>
            <c:bubble3D val="0"/>
          </c:dPt>
          <c:dPt>
            <c:idx val="9"/>
            <c:bubble3D val="0"/>
          </c:dPt>
          <c:dPt>
            <c:idx val="10"/>
            <c:bubble3D val="0"/>
          </c:dPt>
          <c:dLbls>
            <c:dLbl>
              <c:idx val="0"/>
              <c:layout>
                <c:manualLayout>
                  <c:x val="0.276236405175729"/>
                  <c:y val="0.0426992539758485"/>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382377094088229"/>
                      <c:h val="0.160990659746419"/>
                    </c:manualLayout>
                  </c15:layout>
                </c:ext>
              </c:extLst>
            </c:dLbl>
            <c:dLbl>
              <c:idx val="1"/>
              <c:layout>
                <c:manualLayout>
                  <c:x val="0.343992504558455"/>
                  <c:y val="0.140670505132979"/>
                </c:manualLayout>
              </c:layout>
              <c:numFmt formatCode="General" sourceLinked="1"/>
              <c:spPr>
                <a:noFill/>
                <a:ln>
                  <a:noFill/>
                </a:ln>
                <a:effectLst/>
              </c:spPr>
              <c:txPr>
                <a:bodyPr rot="0" spcFirstLastPara="0" vertOverflow="ellipsis" vert="horz" wrap="square" lIns="38100" tIns="19050" rIns="38100" bIns="19050" anchor="ctr" anchorCtr="1">
                  <a:noAutofit/>
                </a:bodyPr>
                <a:lstStyle/>
                <a:p>
                  <a:pPr>
                    <a:defRPr lang="en-US" sz="1000" b="0" i="0" u="none" strike="noStrike" kern="1200" baseline="0">
                      <a:solidFill>
                        <a:schemeClr val="tx1"/>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325098976845964"/>
                      <c:h val="0.127966934670231"/>
                    </c:manualLayout>
                  </c15:layout>
                </c:ext>
              </c:extLst>
            </c:dLbl>
            <c:dLbl>
              <c:idx val="2"/>
              <c:layout>
                <c:manualLayout>
                  <c:x val="0.391657135258985"/>
                  <c:y val="0.343415862309268"/>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dLbl>
              <c:idx val="3"/>
              <c:layout>
                <c:manualLayout>
                  <c:x val="0.000529203453385883"/>
                  <c:y val="0.0903913961494857"/>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dLbl>
              <c:idx val="4"/>
              <c:layout>
                <c:manualLayout>
                  <c:x val="0.0156360229344752"/>
                  <c:y val="0.255711869298857"/>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61251883196857"/>
                      <c:h val="0.164086633972312"/>
                    </c:manualLayout>
                  </c15:layout>
                </c:ext>
              </c:extLst>
            </c:dLbl>
            <c:dLbl>
              <c:idx val="5"/>
              <c:layout>
                <c:manualLayout>
                  <c:x val="-0.0547260802706633"/>
                  <c:y val="0.00287397418428799"/>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29328336372303"/>
                      <c:h val="0.164086633972312"/>
                    </c:manualLayout>
                  </c15:layout>
                </c:ext>
              </c:extLst>
            </c:dLbl>
            <c:dLbl>
              <c:idx val="6"/>
              <c:layout>
                <c:manualLayout>
                  <c:x val="0.35962852749293"/>
                  <c:y val="0.224761228066526"/>
                </c:manualLayout>
              </c:layout>
              <c:numFmt formatCode="General" sourceLinked="1"/>
              <c:spPr>
                <a:noFill/>
                <a:ln>
                  <a:noFill/>
                </a:ln>
                <a:effectLst/>
              </c:spPr>
              <c:txPr>
                <a:bodyPr rot="0" spcFirstLastPara="0" vertOverflow="ellipsis" vert="horz" wrap="square" lIns="38100" tIns="19050" rIns="38100" bIns="19050" anchor="ctr" anchorCtr="1">
                  <a:noAutofit/>
                </a:bodyPr>
                <a:lstStyle/>
                <a:p>
                  <a:pPr>
                    <a:defRPr lang="en-US" sz="1000" b="0" i="0" u="none" strike="noStrike" kern="1200" baseline="0">
                      <a:solidFill>
                        <a:schemeClr val="tx1"/>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75584904220126"/>
                      <c:h val="0.172342565241359"/>
                    </c:manualLayout>
                  </c15:layout>
                </c:ext>
              </c:extLst>
            </c:dLbl>
            <c:dLbl>
              <c:idx val="7"/>
              <c:layout>
                <c:manualLayout>
                  <c:x val="1.02598575685533e-7"/>
                  <c:y val="0.136343779578336"/>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52782370774016"/>
                      <c:h val="0.114551046358029"/>
                    </c:manualLayout>
                  </c15:layout>
                </c:ext>
              </c:extLst>
            </c:dLbl>
            <c:dLbl>
              <c:idx val="8"/>
              <c:layout>
                <c:manualLayout>
                  <c:x val="-0.137040096754561"/>
                  <c:y val="0.0977692408703702"/>
                </c:manualLayout>
              </c:layout>
              <c:numFmt formatCode="General" sourceLinked="1"/>
              <c:spPr>
                <a:noFill/>
                <a:ln>
                  <a:noFill/>
                </a:ln>
                <a:effectLst/>
              </c:spPr>
              <c:txPr>
                <a:bodyPr rot="0" spcFirstLastPara="0" vertOverflow="ellipsis" vert="horz" wrap="square" lIns="38100" tIns="19050" rIns="38100" bIns="19050" anchor="ctr" anchorCtr="1">
                  <a:noAutofit/>
                </a:bodyPr>
                <a:lstStyle/>
                <a:p>
                  <a:pPr>
                    <a:defRPr lang="en-US" sz="1000" b="0" i="0" u="none" strike="noStrike" kern="1200" baseline="0">
                      <a:solidFill>
                        <a:schemeClr val="tx1"/>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36494846883938"/>
                      <c:h val="0.263157809200878"/>
                    </c:manualLayout>
                  </c15:layout>
                </c:ext>
              </c:extLst>
            </c:dLbl>
            <c:dLbl>
              <c:idx val="9"/>
              <c:layout>
                <c:manualLayout>
                  <c:x val="0.019545028668094"/>
                  <c:y val="0.0312795783364364"/>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67766892752888"/>
                      <c:h val="0.213622221586595"/>
                    </c:manualLayout>
                  </c15:layout>
                </c:ext>
              </c:extLst>
            </c:dLbl>
            <c:dLbl>
              <c:idx val="10"/>
              <c:layout>
                <c:manualLayout>
                  <c:x val="0.226722332549891"/>
                  <c:y val="-0.0714927893866428"/>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58645879374444"/>
                      <c:h val="0.114551046358029"/>
                    </c:manualLayout>
                  </c15:layout>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bestFit"/>
            <c:showLegendKey val="0"/>
            <c:showVal val="0"/>
            <c:showCatName val="1"/>
            <c:showSerName val="0"/>
            <c:showPercent val="1"/>
            <c:showBubbleSize val="0"/>
            <c:showLeaderLines val="1"/>
            <c:extLst>
              <c:ext xmlns:c15="http://schemas.microsoft.com/office/drawing/2012/chart" uri="{CE6537A1-D6FC-4f65-9D91-7224C49458BB}">
                <c15:layout/>
                <c15:showLeaderLines val="1"/>
                <c15:leaderLines/>
              </c:ext>
            </c:extLst>
          </c:dLbls>
          <c:cat>
            <c:strRef>
              <c:f>Saf.Insp.category!$A$88:$A$98</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Saf.Insp.category!$F$88:$F$98</c:f>
              <c:numCache>
                <c:formatCode>0</c:formatCode>
                <c:ptCount val="11"/>
                <c:pt idx="0">
                  <c:v>0</c:v>
                </c:pt>
                <c:pt idx="1">
                  <c:v>2</c:v>
                </c:pt>
                <c:pt idx="2">
                  <c:v>4</c:v>
                </c:pt>
                <c:pt idx="3">
                  <c:v>112</c:v>
                </c:pt>
                <c:pt idx="4">
                  <c:v>5</c:v>
                </c:pt>
                <c:pt idx="5">
                  <c:v>2</c:v>
                </c:pt>
                <c:pt idx="6">
                  <c:v>7</c:v>
                </c:pt>
                <c:pt idx="7">
                  <c:v>7</c:v>
                </c:pt>
                <c:pt idx="8">
                  <c:v>21</c:v>
                </c:pt>
                <c:pt idx="9">
                  <c:v>10</c:v>
                </c:pt>
                <c:pt idx="10">
                  <c:v>0</c:v>
                </c:pt>
              </c:numCache>
            </c:numRef>
          </c:val>
        </c:ser>
        <c:ser>
          <c:idx val="1"/>
          <c:order val="1"/>
          <c:explosion val="0"/>
          <c:dPt>
            <c:idx val="0"/>
            <c:bubble3D val="0"/>
          </c:dPt>
          <c:dPt>
            <c:idx val="1"/>
            <c:bubble3D val="0"/>
          </c:dPt>
          <c:dPt>
            <c:idx val="2"/>
            <c:bubble3D val="0"/>
          </c:dPt>
          <c:dPt>
            <c:idx val="3"/>
            <c:bubble3D val="0"/>
          </c:dPt>
          <c:dPt>
            <c:idx val="4"/>
            <c:bubble3D val="0"/>
          </c:dPt>
          <c:dPt>
            <c:idx val="5"/>
            <c:bubble3D val="0"/>
          </c:dPt>
          <c:dPt>
            <c:idx val="6"/>
            <c:bubble3D val="0"/>
          </c:dPt>
          <c:dPt>
            <c:idx val="7"/>
            <c:bubble3D val="0"/>
          </c:dPt>
          <c:dPt>
            <c:idx val="8"/>
            <c:bubble3D val="0"/>
          </c:dPt>
          <c:dPt>
            <c:idx val="9"/>
            <c:bubble3D val="0"/>
          </c:dPt>
          <c:dPt>
            <c:idx val="10"/>
            <c:bubble3D val="0"/>
          </c:dPt>
          <c:dLbls>
            <c:delete val="1"/>
          </c:dLbls>
          <c:cat>
            <c:strRef>
              <c:f>Saf.Insp.category!$A$88:$A$98</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Saf.Insp.category!$G$88:$G$98</c:f>
              <c:numCache>
                <c:formatCode>General</c:formatCode>
                <c:ptCount val="11"/>
              </c:numCache>
            </c:numRef>
          </c:val>
        </c:ser>
        <c:dLbls>
          <c:showLegendKey val="0"/>
          <c:showVal val="0"/>
          <c:showCatName val="0"/>
          <c:showSerName val="0"/>
          <c:showPercent val="0"/>
          <c:showBubbleSize val="0"/>
        </c:dLbls>
      </c:pie3DChart>
    </c:plotArea>
    <c:plotVisOnly val="1"/>
    <c:dispBlanksAs val="gap"/>
    <c:showDLblsOverMax val="0"/>
    <c:extLst>
      <c:ext uri="{0b15fc19-7d7d-44ad-8c2d-2c3a37ce22c3}">
        <chartProps xmlns="https://web.wps.cn/et/2018/main" chartId="{22560fb1-9a80-46d1-b02c-729fba277c77}"/>
      </c:ext>
    </c:extLst>
  </c:chart>
  <c:txPr>
    <a:bodyPr/>
    <a:lstStyle/>
    <a:p>
      <a:pPr>
        <a:defRPr lang="en-US"/>
      </a:pP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en-US" sz="1200"/>
              <a:t>Fleet:</a:t>
            </a:r>
            <a:r>
              <a:rPr lang="en-US" sz="1200" baseline="0"/>
              <a:t> Quarterly Deficiencies per Area</a:t>
            </a:r>
            <a:endParaRPr lang="en-US" sz="1200"/>
          </a:p>
        </c:rich>
      </c:tx>
      <c:layout/>
      <c:overlay val="0"/>
    </c:title>
    <c:autoTitleDeleted val="0"/>
    <c:plotArea>
      <c:layout/>
      <c:barChart>
        <c:barDir val="col"/>
        <c:grouping val="clustered"/>
        <c:varyColors val="0"/>
        <c:ser>
          <c:idx val="0"/>
          <c:order val="0"/>
          <c:tx>
            <c:strRef>
              <c:f>Saf.Insp.category!$B$87</c:f>
              <c:strCache>
                <c:ptCount val="1"/>
                <c:pt idx="0">
                  <c:v>1st quarter</c:v>
                </c:pt>
              </c:strCache>
            </c:strRef>
          </c:tx>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Saf.Insp.category!$A$88:$A$98</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Saf.Insp.category!$B$88:$B$98</c:f>
              <c:numCache>
                <c:formatCode>0</c:formatCode>
                <c:ptCount val="11"/>
                <c:pt idx="0">
                  <c:v>0</c:v>
                </c:pt>
                <c:pt idx="1" c:formatCode="General">
                  <c:v>0</c:v>
                </c:pt>
                <c:pt idx="2">
                  <c:v>0</c:v>
                </c:pt>
                <c:pt idx="3" c:formatCode="General">
                  <c:v>16</c:v>
                </c:pt>
                <c:pt idx="4" c:formatCode="General">
                  <c:v>0</c:v>
                </c:pt>
                <c:pt idx="5" c:formatCode="General">
                  <c:v>0</c:v>
                </c:pt>
                <c:pt idx="6" c:formatCode="General">
                  <c:v>3</c:v>
                </c:pt>
                <c:pt idx="7" c:formatCode="General">
                  <c:v>4</c:v>
                </c:pt>
                <c:pt idx="8" c:formatCode="General">
                  <c:v>2</c:v>
                </c:pt>
                <c:pt idx="9" c:formatCode="General">
                  <c:v>1</c:v>
                </c:pt>
                <c:pt idx="10" c:formatCode="General">
                  <c:v>0</c:v>
                </c:pt>
              </c:numCache>
            </c:numRef>
          </c:val>
        </c:ser>
        <c:ser>
          <c:idx val="1"/>
          <c:order val="1"/>
          <c:tx>
            <c:strRef>
              <c:f>Saf.Insp.category!$C$87</c:f>
              <c:strCache>
                <c:ptCount val="1"/>
                <c:pt idx="0">
                  <c:v>2nd quarter</c:v>
                </c:pt>
              </c:strCache>
            </c:strRef>
          </c:tx>
          <c:invertIfNegative val="0"/>
          <c:dLbls>
            <c:delete val="1"/>
          </c:dLbls>
          <c:cat>
            <c:strRef>
              <c:f>Saf.Insp.category!$A$88:$A$98</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Saf.Insp.category!$C$88:$C$98</c:f>
              <c:numCache>
                <c:formatCode>0</c:formatCode>
                <c:ptCount val="11"/>
                <c:pt idx="0">
                  <c:v>0</c:v>
                </c:pt>
                <c:pt idx="1" c:formatCode="General">
                  <c:v>0</c:v>
                </c:pt>
                <c:pt idx="2">
                  <c:v>0</c:v>
                </c:pt>
                <c:pt idx="3" c:formatCode="General">
                  <c:v>26</c:v>
                </c:pt>
                <c:pt idx="4" c:formatCode="General">
                  <c:v>0</c:v>
                </c:pt>
                <c:pt idx="5" c:formatCode="General">
                  <c:v>0</c:v>
                </c:pt>
                <c:pt idx="6" c:formatCode="General">
                  <c:v>0</c:v>
                </c:pt>
                <c:pt idx="7" c:formatCode="General">
                  <c:v>0</c:v>
                </c:pt>
                <c:pt idx="8" c:formatCode="General">
                  <c:v>4</c:v>
                </c:pt>
                <c:pt idx="9" c:formatCode="General">
                  <c:v>1</c:v>
                </c:pt>
                <c:pt idx="10" c:formatCode="General">
                  <c:v>0</c:v>
                </c:pt>
              </c:numCache>
            </c:numRef>
          </c:val>
        </c:ser>
        <c:ser>
          <c:idx val="2"/>
          <c:order val="2"/>
          <c:tx>
            <c:strRef>
              <c:f>Saf.Insp.category!$D$87</c:f>
              <c:strCache>
                <c:ptCount val="1"/>
                <c:pt idx="0">
                  <c:v>3rd quarter</c:v>
                </c:pt>
              </c:strCache>
            </c:strRef>
          </c:tx>
          <c:invertIfNegative val="0"/>
          <c:dLbls>
            <c:delete val="1"/>
          </c:dLbls>
          <c:cat>
            <c:strRef>
              <c:f>Saf.Insp.category!$A$88:$A$98</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Saf.Insp.category!$D$88:$D$98</c:f>
              <c:numCache>
                <c:formatCode>General</c:formatCode>
                <c:ptCount val="11"/>
                <c:pt idx="0">
                  <c:v>0</c:v>
                </c:pt>
                <c:pt idx="1">
                  <c:v>1</c:v>
                </c:pt>
                <c:pt idx="2">
                  <c:v>4</c:v>
                </c:pt>
                <c:pt idx="3">
                  <c:v>30</c:v>
                </c:pt>
                <c:pt idx="4">
                  <c:v>3</c:v>
                </c:pt>
                <c:pt idx="5">
                  <c:v>0</c:v>
                </c:pt>
                <c:pt idx="6">
                  <c:v>2</c:v>
                </c:pt>
                <c:pt idx="7">
                  <c:v>2</c:v>
                </c:pt>
                <c:pt idx="8">
                  <c:v>7</c:v>
                </c:pt>
                <c:pt idx="9">
                  <c:v>2</c:v>
                </c:pt>
                <c:pt idx="10">
                  <c:v>0</c:v>
                </c:pt>
              </c:numCache>
            </c:numRef>
          </c:val>
        </c:ser>
        <c:ser>
          <c:idx val="3"/>
          <c:order val="3"/>
          <c:tx>
            <c:strRef>
              <c:f>Saf.Insp.category!$E$87</c:f>
              <c:strCache>
                <c:ptCount val="1"/>
                <c:pt idx="0">
                  <c:v>4th quarter</c:v>
                </c:pt>
              </c:strCache>
            </c:strRef>
          </c:tx>
          <c:invertIfNegative val="0"/>
          <c:dLbls>
            <c:delete val="1"/>
          </c:dLbls>
          <c:cat>
            <c:strRef>
              <c:f>Saf.Insp.category!$A$88:$A$98</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Saf.Insp.category!$E$88:$E$98</c:f>
              <c:numCache>
                <c:formatCode>0</c:formatCode>
                <c:ptCount val="11"/>
                <c:pt idx="0">
                  <c:v>0</c:v>
                </c:pt>
                <c:pt idx="1" c:formatCode="General">
                  <c:v>1</c:v>
                </c:pt>
                <c:pt idx="2" c:formatCode="General">
                  <c:v>0</c:v>
                </c:pt>
                <c:pt idx="3" c:formatCode="General">
                  <c:v>40</c:v>
                </c:pt>
                <c:pt idx="4" c:formatCode="General">
                  <c:v>2</c:v>
                </c:pt>
                <c:pt idx="5" c:formatCode="General">
                  <c:v>2</c:v>
                </c:pt>
                <c:pt idx="6" c:formatCode="General">
                  <c:v>2</c:v>
                </c:pt>
                <c:pt idx="7" c:formatCode="General">
                  <c:v>1</c:v>
                </c:pt>
                <c:pt idx="8" c:formatCode="General">
                  <c:v>8</c:v>
                </c:pt>
                <c:pt idx="9" c:formatCode="General">
                  <c:v>6</c:v>
                </c:pt>
                <c:pt idx="10" c:formatCode="General">
                  <c:v>0</c:v>
                </c:pt>
              </c:numCache>
            </c:numRef>
          </c:val>
        </c:ser>
        <c:dLbls>
          <c:showLegendKey val="0"/>
          <c:showVal val="0"/>
          <c:showCatName val="0"/>
          <c:showSerName val="0"/>
          <c:showPercent val="0"/>
          <c:showBubbleSize val="0"/>
        </c:dLbls>
        <c:gapWidth val="150"/>
        <c:axId val="566609304"/>
        <c:axId val="566611264"/>
      </c:barChart>
      <c:catAx>
        <c:axId val="566609304"/>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800" b="0" i="0" u="none" strike="noStrike" kern="1200" baseline="0">
                <a:solidFill>
                  <a:schemeClr val="tx1"/>
                </a:solidFill>
                <a:latin typeface="+mn-lt"/>
                <a:ea typeface="+mn-ea"/>
                <a:cs typeface="+mn-cs"/>
              </a:defRPr>
            </a:pPr>
          </a:p>
        </c:txPr>
        <c:crossAx val="566611264"/>
        <c:crosses val="autoZero"/>
        <c:auto val="1"/>
        <c:lblAlgn val="ctr"/>
        <c:lblOffset val="100"/>
        <c:noMultiLvlLbl val="0"/>
      </c:catAx>
      <c:valAx>
        <c:axId val="566611264"/>
        <c:scaling>
          <c:orientation val="minMax"/>
        </c:scaling>
        <c:delete val="0"/>
        <c:axPos val="l"/>
        <c:majorGridlines/>
        <c:numFmt formatCode="0"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6609304"/>
        <c:crosses val="autoZero"/>
        <c:crossBetween val="between"/>
      </c:valAx>
      <c:spPr>
        <a:solidFill>
          <a:schemeClr val="bg1"/>
        </a:solidFill>
        <a:ln>
          <a:noFill/>
        </a:ln>
        <a:effectLst/>
      </c:spPr>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4903336-6e85-4483-a4b9-26f9ac61e236}"/>
      </c:ext>
    </c:extLst>
  </c:chart>
  <c:txPr>
    <a:bodyPr/>
    <a:lstStyle/>
    <a:p>
      <a:pPr>
        <a:defRPr lang="en-US"/>
      </a:pP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en-US" sz="1200"/>
              <a:t>Tankers</a:t>
            </a:r>
            <a:r>
              <a:rPr lang="en-US" sz="1200" baseline="0"/>
              <a:t>: Yearly Deficiencies per Area</a:t>
            </a:r>
            <a:endParaRPr lang="en-US" sz="1200"/>
          </a:p>
        </c:rich>
      </c:tx>
      <c:layout/>
      <c:overlay val="0"/>
    </c:title>
    <c:autoTitleDeleted val="0"/>
    <c:view3D>
      <c:rotX val="30"/>
      <c:rotY val="0"/>
      <c:depthPercent val="100"/>
      <c:rAngAx val="0"/>
    </c:view3D>
    <c:floor>
      <c:thickness val="0"/>
    </c:floor>
    <c:sideWall>
      <c:thickness val="0"/>
    </c:sideWall>
    <c:backWall>
      <c:thickness val="0"/>
    </c:backWall>
    <c:plotArea>
      <c:layout>
        <c:manualLayout>
          <c:layoutTarget val="inner"/>
          <c:xMode val="edge"/>
          <c:yMode val="edge"/>
          <c:x val="0.00506008855154965"/>
          <c:y val="0.341005769011272"/>
          <c:w val="0.977229601518027"/>
          <c:h val="0.54038207768508"/>
        </c:manualLayout>
      </c:layout>
      <c:pie3DChart>
        <c:varyColors val="1"/>
        <c:ser>
          <c:idx val="0"/>
          <c:order val="0"/>
          <c:explosion val="29"/>
          <c:dPt>
            <c:idx val="0"/>
            <c:bubble3D val="0"/>
          </c:dPt>
          <c:dPt>
            <c:idx val="1"/>
            <c:bubble3D val="0"/>
          </c:dPt>
          <c:dPt>
            <c:idx val="2"/>
            <c:bubble3D val="0"/>
          </c:dPt>
          <c:dPt>
            <c:idx val="3"/>
            <c:bubble3D val="0"/>
          </c:dPt>
          <c:dPt>
            <c:idx val="4"/>
            <c:bubble3D val="0"/>
          </c:dPt>
          <c:dPt>
            <c:idx val="5"/>
            <c:bubble3D val="0"/>
          </c:dPt>
          <c:dPt>
            <c:idx val="6"/>
            <c:bubble3D val="0"/>
          </c:dPt>
          <c:dPt>
            <c:idx val="7"/>
            <c:bubble3D val="0"/>
          </c:dPt>
          <c:dPt>
            <c:idx val="8"/>
            <c:bubble3D val="0"/>
          </c:dPt>
          <c:dPt>
            <c:idx val="9"/>
            <c:bubble3D val="0"/>
          </c:dPt>
          <c:dPt>
            <c:idx val="10"/>
            <c:bubble3D val="0"/>
          </c:dPt>
          <c:dLbls>
            <c:dLbl>
              <c:idx val="2"/>
              <c:layout>
                <c:manualLayout>
                  <c:x val="0.407509673938979"/>
                  <c:y val="-0.00910005960577424"/>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dLbl>
              <c:idx val="4"/>
              <c:layout>
                <c:manualLayout>
                  <c:x val="0.387351778656126"/>
                  <c:y val="0.0763834980779975"/>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340579710144928"/>
                      <c:h val="0.16530089568856"/>
                    </c:manualLayout>
                  </c15:layout>
                </c:ext>
              </c:extLst>
            </c:dLbl>
            <c:dLbl>
              <c:idx val="5"/>
              <c:layout>
                <c:manualLayout>
                  <c:x val="0.152271534240038"/>
                  <c:y val="0.073883793436957"/>
                </c:manualLayout>
              </c:layout>
              <c:numFmt formatCode="General" sourceLinked="1"/>
              <c:spPr>
                <a:noFill/>
                <a:ln>
                  <a:noFill/>
                </a:ln>
                <a:effectLst/>
              </c:spPr>
              <c:txPr>
                <a:bodyPr rot="0" spcFirstLastPara="0" vertOverflow="ellipsis" vert="horz" wrap="square" lIns="38100" tIns="19050" rIns="38100" bIns="19050" anchor="ctr" anchorCtr="1">
                  <a:noAutofit/>
                </a:bodyPr>
                <a:lstStyle/>
                <a:p>
                  <a:pPr>
                    <a:defRPr lang="en-US" sz="1000" b="0" i="0" u="none" strike="noStrike" kern="1200" baseline="0">
                      <a:solidFill>
                        <a:schemeClr val="tx1"/>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68932806324111"/>
                      <c:h val="0.138238338994658"/>
                    </c:manualLayout>
                  </c15:layout>
                </c:ext>
              </c:extLst>
            </c:dLbl>
            <c:dLbl>
              <c:idx val="7"/>
              <c:layout/>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60737812911726"/>
                      <c:h val="0.117617945009168"/>
                    </c:manualLayout>
                  </c15:layout>
                </c:ext>
              </c:extLst>
            </c:dLbl>
            <c:dLbl>
              <c:idx val="8"/>
              <c:layout>
                <c:manualLayout>
                  <c:x val="-0.198529665017169"/>
                  <c:y val="0.0670528248664877"/>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bestFit"/>
            <c:showLegendKey val="0"/>
            <c:showVal val="0"/>
            <c:showCatName val="1"/>
            <c:showSerName val="0"/>
            <c:showPercent val="1"/>
            <c:showBubbleSize val="0"/>
            <c:showLeaderLines val="1"/>
            <c:extLst>
              <c:ext xmlns:c15="http://schemas.microsoft.com/office/drawing/2012/chart" uri="{CE6537A1-D6FC-4f65-9D91-7224C49458BB}">
                <c15:layout/>
                <c15:showLeaderLines val="1"/>
                <c15:leaderLines/>
              </c:ext>
            </c:extLst>
          </c:dLbls>
          <c:cat>
            <c:strRef>
              <c:f>Saf.Insp.category!$A$104:$A$114</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Saf.Insp.category!$F$104:$F$114</c:f>
              <c:numCache>
                <c:formatCode>0</c:formatCode>
                <c:ptCount val="11"/>
                <c:pt idx="0">
                  <c:v>0</c:v>
                </c:pt>
                <c:pt idx="1">
                  <c:v>2</c:v>
                </c:pt>
                <c:pt idx="2">
                  <c:v>2</c:v>
                </c:pt>
                <c:pt idx="3">
                  <c:v>97</c:v>
                </c:pt>
                <c:pt idx="4">
                  <c:v>2</c:v>
                </c:pt>
                <c:pt idx="5">
                  <c:v>2</c:v>
                </c:pt>
                <c:pt idx="6">
                  <c:v>6</c:v>
                </c:pt>
                <c:pt idx="7">
                  <c:v>4</c:v>
                </c:pt>
                <c:pt idx="8">
                  <c:v>20</c:v>
                </c:pt>
                <c:pt idx="9">
                  <c:v>9</c:v>
                </c:pt>
                <c:pt idx="10">
                  <c:v>0</c:v>
                </c:pt>
              </c:numCache>
            </c:numRef>
          </c:val>
        </c:ser>
        <c:ser>
          <c:idx val="1"/>
          <c:order val="1"/>
          <c:explosion val="0"/>
          <c:dPt>
            <c:idx val="0"/>
            <c:bubble3D val="0"/>
          </c:dPt>
          <c:dPt>
            <c:idx val="1"/>
            <c:bubble3D val="0"/>
          </c:dPt>
          <c:dPt>
            <c:idx val="2"/>
            <c:bubble3D val="0"/>
          </c:dPt>
          <c:dPt>
            <c:idx val="3"/>
            <c:bubble3D val="0"/>
          </c:dPt>
          <c:dPt>
            <c:idx val="4"/>
            <c:bubble3D val="0"/>
          </c:dPt>
          <c:dPt>
            <c:idx val="5"/>
            <c:bubble3D val="0"/>
          </c:dPt>
          <c:dPt>
            <c:idx val="6"/>
            <c:bubble3D val="0"/>
          </c:dPt>
          <c:dPt>
            <c:idx val="7"/>
            <c:bubble3D val="0"/>
          </c:dPt>
          <c:dPt>
            <c:idx val="8"/>
            <c:bubble3D val="0"/>
          </c:dPt>
          <c:dPt>
            <c:idx val="9"/>
            <c:bubble3D val="0"/>
          </c:dPt>
          <c:dPt>
            <c:idx val="10"/>
            <c:bubble3D val="0"/>
          </c:dPt>
          <c:dLbls>
            <c:delete val="1"/>
          </c:dLbls>
          <c:cat>
            <c:strRef>
              <c:f>Saf.Insp.category!$A$104:$A$114</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Saf.Insp.category!$G$104:$G$114</c:f>
              <c:numCache>
                <c:formatCode>General</c:formatCode>
                <c:ptCount val="11"/>
              </c:numCache>
            </c:numRef>
          </c:val>
        </c:ser>
        <c:dLbls>
          <c:showLegendKey val="0"/>
          <c:showVal val="0"/>
          <c:showCatName val="0"/>
          <c:showSerName val="0"/>
          <c:showPercent val="0"/>
          <c:showBubbleSize val="0"/>
        </c:dLbls>
      </c:pie3DChart>
    </c:plotArea>
    <c:plotVisOnly val="1"/>
    <c:dispBlanksAs val="gap"/>
    <c:showDLblsOverMax val="0"/>
    <c:extLst>
      <c:ext uri="{0b15fc19-7d7d-44ad-8c2d-2c3a37ce22c3}">
        <chartProps xmlns="https://web.wps.cn/et/2018/main" chartId="{b2fd933f-9c03-4e35-b1b4-c01f470ea826}"/>
      </c:ext>
    </c:extLst>
  </c:chart>
  <c:txPr>
    <a:bodyPr/>
    <a:lstStyle/>
    <a:p>
      <a:pPr>
        <a:defRPr lang="en-US"/>
      </a:pP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en-US" sz="1200"/>
              <a:t>Tankers: Quarterly Deficiencies</a:t>
            </a:r>
            <a:r>
              <a:rPr lang="en-US" sz="1200" baseline="0"/>
              <a:t> per Area</a:t>
            </a:r>
            <a:endParaRPr lang="en-US" sz="1200"/>
          </a:p>
        </c:rich>
      </c:tx>
      <c:layout/>
      <c:overlay val="0"/>
    </c:title>
    <c:autoTitleDeleted val="0"/>
    <c:plotArea>
      <c:layout/>
      <c:barChart>
        <c:barDir val="col"/>
        <c:grouping val="clustered"/>
        <c:varyColors val="0"/>
        <c:ser>
          <c:idx val="0"/>
          <c:order val="0"/>
          <c:tx>
            <c:strRef>
              <c:f>Saf.Insp.category!$B$103</c:f>
              <c:strCache>
                <c:ptCount val="1"/>
                <c:pt idx="0">
                  <c:v>1st quarter</c:v>
                </c:pt>
              </c:strCache>
            </c:strRef>
          </c:tx>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Saf.Insp.category!$A$104:$A$114</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Saf.Insp.category!$B$104:$B$114</c:f>
              <c:numCache>
                <c:formatCode>0</c:formatCode>
                <c:ptCount val="11"/>
                <c:pt idx="0">
                  <c:v>0</c:v>
                </c:pt>
                <c:pt idx="1">
                  <c:v>0</c:v>
                </c:pt>
                <c:pt idx="2">
                  <c:v>0</c:v>
                </c:pt>
                <c:pt idx="3">
                  <c:v>16</c:v>
                </c:pt>
                <c:pt idx="4">
                  <c:v>0</c:v>
                </c:pt>
                <c:pt idx="5">
                  <c:v>0</c:v>
                </c:pt>
                <c:pt idx="6">
                  <c:v>3</c:v>
                </c:pt>
                <c:pt idx="7">
                  <c:v>4</c:v>
                </c:pt>
                <c:pt idx="8">
                  <c:v>2</c:v>
                </c:pt>
                <c:pt idx="9">
                  <c:v>1</c:v>
                </c:pt>
                <c:pt idx="10">
                  <c:v>0</c:v>
                </c:pt>
              </c:numCache>
            </c:numRef>
          </c:val>
        </c:ser>
        <c:ser>
          <c:idx val="1"/>
          <c:order val="1"/>
          <c:tx>
            <c:strRef>
              <c:f>Saf.Insp.category!$C$103</c:f>
              <c:strCache>
                <c:ptCount val="1"/>
                <c:pt idx="0">
                  <c:v>2nd quarter</c:v>
                </c:pt>
              </c:strCache>
            </c:strRef>
          </c:tx>
          <c:invertIfNegative val="0"/>
          <c:dLbls>
            <c:delete val="1"/>
          </c:dLbls>
          <c:cat>
            <c:strRef>
              <c:f>Saf.Insp.category!$A$104:$A$114</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Saf.Insp.category!$C$104:$C$114</c:f>
              <c:numCache>
                <c:formatCode>0</c:formatCode>
                <c:ptCount val="11"/>
                <c:pt idx="0">
                  <c:v>0</c:v>
                </c:pt>
                <c:pt idx="1">
                  <c:v>0</c:v>
                </c:pt>
                <c:pt idx="2">
                  <c:v>0</c:v>
                </c:pt>
                <c:pt idx="3">
                  <c:v>26</c:v>
                </c:pt>
                <c:pt idx="4">
                  <c:v>0</c:v>
                </c:pt>
                <c:pt idx="5">
                  <c:v>0</c:v>
                </c:pt>
                <c:pt idx="6">
                  <c:v>0</c:v>
                </c:pt>
                <c:pt idx="7">
                  <c:v>0</c:v>
                </c:pt>
                <c:pt idx="8">
                  <c:v>4</c:v>
                </c:pt>
                <c:pt idx="9">
                  <c:v>1</c:v>
                </c:pt>
                <c:pt idx="10">
                  <c:v>0</c:v>
                </c:pt>
              </c:numCache>
            </c:numRef>
          </c:val>
        </c:ser>
        <c:ser>
          <c:idx val="2"/>
          <c:order val="2"/>
          <c:tx>
            <c:strRef>
              <c:f>Saf.Insp.category!$D$103</c:f>
              <c:strCache>
                <c:ptCount val="1"/>
                <c:pt idx="0">
                  <c:v>3rd quarter</c:v>
                </c:pt>
              </c:strCache>
            </c:strRef>
          </c:tx>
          <c:invertIfNegative val="0"/>
          <c:dLbls>
            <c:delete val="1"/>
          </c:dLbls>
          <c:cat>
            <c:strRef>
              <c:f>Saf.Insp.category!$A$104:$A$114</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Saf.Insp.category!$D$104:$D$114</c:f>
              <c:numCache>
                <c:formatCode>0</c:formatCode>
                <c:ptCount val="11"/>
                <c:pt idx="0">
                  <c:v>0</c:v>
                </c:pt>
                <c:pt idx="1">
                  <c:v>1</c:v>
                </c:pt>
                <c:pt idx="2">
                  <c:v>2</c:v>
                </c:pt>
                <c:pt idx="3">
                  <c:v>21</c:v>
                </c:pt>
                <c:pt idx="4">
                  <c:v>1</c:v>
                </c:pt>
                <c:pt idx="5">
                  <c:v>0</c:v>
                </c:pt>
                <c:pt idx="6">
                  <c:v>1</c:v>
                </c:pt>
                <c:pt idx="7">
                  <c:v>0</c:v>
                </c:pt>
                <c:pt idx="8">
                  <c:v>6</c:v>
                </c:pt>
                <c:pt idx="9">
                  <c:v>2</c:v>
                </c:pt>
                <c:pt idx="10">
                  <c:v>0</c:v>
                </c:pt>
              </c:numCache>
            </c:numRef>
          </c:val>
        </c:ser>
        <c:ser>
          <c:idx val="3"/>
          <c:order val="3"/>
          <c:tx>
            <c:strRef>
              <c:f>Saf.Insp.category!$E$103</c:f>
              <c:strCache>
                <c:ptCount val="1"/>
                <c:pt idx="0">
                  <c:v>4th quarter</c:v>
                </c:pt>
              </c:strCache>
            </c:strRef>
          </c:tx>
          <c:invertIfNegative val="0"/>
          <c:dLbls>
            <c:delete val="1"/>
          </c:dLbls>
          <c:cat>
            <c:strRef>
              <c:f>Saf.Insp.category!$A$104:$A$114</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Saf.Insp.category!$E$104:$E$114</c:f>
              <c:numCache>
                <c:formatCode>0</c:formatCode>
                <c:ptCount val="11"/>
                <c:pt idx="0">
                  <c:v>0</c:v>
                </c:pt>
                <c:pt idx="1">
                  <c:v>1</c:v>
                </c:pt>
                <c:pt idx="2">
                  <c:v>0</c:v>
                </c:pt>
                <c:pt idx="3">
                  <c:v>34</c:v>
                </c:pt>
                <c:pt idx="4">
                  <c:v>1</c:v>
                </c:pt>
                <c:pt idx="5">
                  <c:v>2</c:v>
                </c:pt>
                <c:pt idx="6">
                  <c:v>2</c:v>
                </c:pt>
                <c:pt idx="7">
                  <c:v>0</c:v>
                </c:pt>
                <c:pt idx="8">
                  <c:v>8</c:v>
                </c:pt>
                <c:pt idx="9">
                  <c:v>5</c:v>
                </c:pt>
                <c:pt idx="10">
                  <c:v>0</c:v>
                </c:pt>
              </c:numCache>
            </c:numRef>
          </c:val>
        </c:ser>
        <c:dLbls>
          <c:showLegendKey val="0"/>
          <c:showVal val="0"/>
          <c:showCatName val="0"/>
          <c:showSerName val="0"/>
          <c:showPercent val="0"/>
          <c:showBubbleSize val="0"/>
        </c:dLbls>
        <c:gapWidth val="150"/>
        <c:axId val="566603816"/>
        <c:axId val="566605384"/>
      </c:barChart>
      <c:catAx>
        <c:axId val="566603816"/>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800" b="0" i="0" u="none" strike="noStrike" kern="1200" baseline="0">
                <a:solidFill>
                  <a:schemeClr val="tx1"/>
                </a:solidFill>
                <a:latin typeface="+mn-lt"/>
                <a:ea typeface="+mn-ea"/>
                <a:cs typeface="+mn-cs"/>
              </a:defRPr>
            </a:pPr>
          </a:p>
        </c:txPr>
        <c:crossAx val="566605384"/>
        <c:crosses val="autoZero"/>
        <c:auto val="1"/>
        <c:lblAlgn val="ctr"/>
        <c:lblOffset val="100"/>
        <c:noMultiLvlLbl val="0"/>
      </c:catAx>
      <c:valAx>
        <c:axId val="566605384"/>
        <c:scaling>
          <c:orientation val="minMax"/>
        </c:scaling>
        <c:delete val="0"/>
        <c:axPos val="l"/>
        <c:majorGridlines/>
        <c:numFmt formatCode="0"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6603816"/>
        <c:crosses val="autoZero"/>
        <c:crossBetween val="between"/>
      </c:valAx>
      <c:spPr>
        <a:solidFill>
          <a:schemeClr val="bg1"/>
        </a:solidFill>
        <a:ln>
          <a:noFill/>
        </a:ln>
        <a:effectLst/>
      </c:spPr>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00ed459f-cd04-48ad-9953-dc5ce31138fa}"/>
      </c:ext>
    </c:extLst>
  </c:chart>
  <c:txPr>
    <a:bodyPr/>
    <a:lstStyle/>
    <a:p>
      <a:pPr>
        <a:defRPr lang="en-US"/>
      </a:pP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en-US" sz="1200"/>
              <a:t>Dry:</a:t>
            </a:r>
            <a:r>
              <a:rPr lang="en-US" sz="1200" baseline="0"/>
              <a:t> Yearly Deficiencies per Area</a:t>
            </a:r>
            <a:endParaRPr lang="en-US" sz="1200"/>
          </a:p>
        </c:rich>
      </c:tx>
      <c:layout>
        <c:manualLayout>
          <c:xMode val="edge"/>
          <c:yMode val="edge"/>
          <c:x val="0.209612283559878"/>
          <c:y val="0.0324074192211356"/>
        </c:manualLayout>
      </c:layout>
      <c:overlay val="0"/>
    </c:title>
    <c:autoTitleDeleted val="0"/>
    <c:view3D>
      <c:rotX val="30"/>
      <c:rotY val="0"/>
      <c:depthPercent val="100"/>
      <c:rAngAx val="0"/>
    </c:view3D>
    <c:floor>
      <c:thickness val="0"/>
    </c:floor>
    <c:sideWall>
      <c:thickness val="0"/>
    </c:sideWall>
    <c:backWall>
      <c:thickness val="0"/>
    </c:backWall>
    <c:plotArea>
      <c:layout>
        <c:manualLayout>
          <c:layoutTarget val="inner"/>
          <c:xMode val="edge"/>
          <c:yMode val="edge"/>
          <c:x val="0.0538825645195468"/>
          <c:y val="0.305638297150841"/>
          <c:w val="0.888086109706077"/>
          <c:h val="0.59508399628341"/>
        </c:manualLayout>
      </c:layout>
      <c:pie3DChart>
        <c:varyColors val="1"/>
        <c:ser>
          <c:idx val="0"/>
          <c:order val="0"/>
          <c:explosion val="25"/>
          <c:dPt>
            <c:idx val="0"/>
            <c:bubble3D val="0"/>
          </c:dPt>
          <c:dPt>
            <c:idx val="1"/>
            <c:bubble3D val="0"/>
          </c:dPt>
          <c:dPt>
            <c:idx val="2"/>
            <c:bubble3D val="0"/>
          </c:dPt>
          <c:dPt>
            <c:idx val="3"/>
            <c:bubble3D val="0"/>
          </c:dPt>
          <c:dPt>
            <c:idx val="4"/>
            <c:bubble3D val="0"/>
          </c:dPt>
          <c:dPt>
            <c:idx val="5"/>
            <c:bubble3D val="0"/>
          </c:dPt>
          <c:dPt>
            <c:idx val="6"/>
            <c:bubble3D val="0"/>
          </c:dPt>
          <c:dPt>
            <c:idx val="7"/>
            <c:bubble3D val="0"/>
          </c:dPt>
          <c:dPt>
            <c:idx val="8"/>
            <c:bubble3D val="0"/>
          </c:dPt>
          <c:dPt>
            <c:idx val="9"/>
            <c:bubble3D val="0"/>
          </c:dPt>
          <c:dPt>
            <c:idx val="10"/>
            <c:bubble3D val="0"/>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bestFit"/>
            <c:showLegendKey val="0"/>
            <c:showVal val="0"/>
            <c:showCatName val="1"/>
            <c:showSerName val="0"/>
            <c:showPercent val="1"/>
            <c:showBubbleSize val="0"/>
            <c:showLeaderLines val="1"/>
            <c:extLst>
              <c:ext xmlns:c15="http://schemas.microsoft.com/office/drawing/2012/chart" uri="{CE6537A1-D6FC-4f65-9D91-7224C49458BB}">
                <c15:layout/>
                <c15:showLeaderLines val="1"/>
                <c15:leaderLines/>
              </c:ext>
            </c:extLst>
          </c:dLbls>
          <c:cat>
            <c:strRef>
              <c:f>Saf.Insp.category!$A$120:$A$130</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Saf.Insp.category!$F$120:$F$130</c:f>
              <c:numCache>
                <c:formatCode>0</c:formatCode>
                <c:ptCount val="11"/>
                <c:pt idx="0">
                  <c:v>0</c:v>
                </c:pt>
                <c:pt idx="1">
                  <c:v>0</c:v>
                </c:pt>
                <c:pt idx="2">
                  <c:v>2</c:v>
                </c:pt>
                <c:pt idx="3">
                  <c:v>15</c:v>
                </c:pt>
                <c:pt idx="4">
                  <c:v>3</c:v>
                </c:pt>
                <c:pt idx="5">
                  <c:v>0</c:v>
                </c:pt>
                <c:pt idx="6">
                  <c:v>1</c:v>
                </c:pt>
                <c:pt idx="7">
                  <c:v>3</c:v>
                </c:pt>
                <c:pt idx="8">
                  <c:v>1</c:v>
                </c:pt>
                <c:pt idx="9">
                  <c:v>1</c:v>
                </c:pt>
                <c:pt idx="10">
                  <c:v>0</c:v>
                </c:pt>
              </c:numCache>
            </c:numRef>
          </c:val>
        </c:ser>
        <c:ser>
          <c:idx val="1"/>
          <c:order val="1"/>
          <c:explosion val="0"/>
          <c:dPt>
            <c:idx val="0"/>
            <c:bubble3D val="0"/>
          </c:dPt>
          <c:dPt>
            <c:idx val="1"/>
            <c:bubble3D val="0"/>
          </c:dPt>
          <c:dPt>
            <c:idx val="2"/>
            <c:bubble3D val="0"/>
          </c:dPt>
          <c:dPt>
            <c:idx val="3"/>
            <c:bubble3D val="0"/>
          </c:dPt>
          <c:dPt>
            <c:idx val="4"/>
            <c:bubble3D val="0"/>
          </c:dPt>
          <c:dPt>
            <c:idx val="5"/>
            <c:bubble3D val="0"/>
          </c:dPt>
          <c:dPt>
            <c:idx val="6"/>
            <c:bubble3D val="0"/>
          </c:dPt>
          <c:dPt>
            <c:idx val="7"/>
            <c:bubble3D val="0"/>
          </c:dPt>
          <c:dPt>
            <c:idx val="8"/>
            <c:bubble3D val="0"/>
          </c:dPt>
          <c:dPt>
            <c:idx val="9"/>
            <c:bubble3D val="0"/>
          </c:dPt>
          <c:dPt>
            <c:idx val="10"/>
            <c:bubble3D val="0"/>
          </c:dPt>
          <c:dLbls>
            <c:delete val="1"/>
          </c:dLbls>
          <c:cat>
            <c:strRef>
              <c:f>Saf.Insp.category!$A$120:$A$130</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Saf.Insp.category!$G$120:$G$130</c:f>
              <c:numCache>
                <c:formatCode>General</c:formatCode>
                <c:ptCount val="11"/>
              </c:numCache>
            </c:numRef>
          </c:val>
        </c:ser>
        <c:dLbls>
          <c:showLegendKey val="0"/>
          <c:showVal val="0"/>
          <c:showCatName val="0"/>
          <c:showSerName val="0"/>
          <c:showPercent val="0"/>
          <c:showBubbleSize val="0"/>
        </c:dLbls>
      </c:pie3DChart>
    </c:plotArea>
    <c:plotVisOnly val="1"/>
    <c:dispBlanksAs val="gap"/>
    <c:showDLblsOverMax val="0"/>
    <c:extLst>
      <c:ext uri="{0b15fc19-7d7d-44ad-8c2d-2c3a37ce22c3}">
        <chartProps xmlns="https://web.wps.cn/et/2018/main" chartId="{5b308607-85b8-490d-a02e-58b4a57b2455}"/>
      </c:ext>
    </c:extLst>
  </c:chart>
  <c:txPr>
    <a:bodyPr/>
    <a:lstStyle/>
    <a:p>
      <a:pPr>
        <a:defRPr lang="en-US"/>
      </a:pP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chemeClr val="tx1"/>
                </a:solidFill>
                <a:latin typeface="+mn-lt"/>
                <a:ea typeface="+mn-ea"/>
                <a:cs typeface="+mn-cs"/>
              </a:defRPr>
            </a:pPr>
            <a:r>
              <a:rPr lang="it-IT" sz="1200"/>
              <a:t>Dry:</a:t>
            </a:r>
            <a:r>
              <a:rPr lang="it-IT" sz="1200" baseline="0"/>
              <a:t> Quarterly  Deficiencies  per Area </a:t>
            </a:r>
            <a:endParaRPr lang="it-IT" sz="1200"/>
          </a:p>
        </c:rich>
      </c:tx>
      <c:layout/>
      <c:overlay val="0"/>
    </c:title>
    <c:autoTitleDeleted val="0"/>
    <c:plotArea>
      <c:layout/>
      <c:barChart>
        <c:barDir val="col"/>
        <c:grouping val="clustered"/>
        <c:varyColors val="0"/>
        <c:ser>
          <c:idx val="0"/>
          <c:order val="0"/>
          <c:tx>
            <c:strRef>
              <c:f>Saf.Insp.category!$B$119</c:f>
              <c:strCache>
                <c:ptCount val="1"/>
                <c:pt idx="0">
                  <c:v>1st quarter</c:v>
                </c:pt>
              </c:strCache>
            </c:strRef>
          </c:tx>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Saf.Insp.category!$A$120:$A$130</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Saf.Insp.category!$B$120:$B$130</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ser>
        <c:ser>
          <c:idx val="1"/>
          <c:order val="1"/>
          <c:tx>
            <c:strRef>
              <c:f>Saf.Insp.category!$C$119</c:f>
              <c:strCache>
                <c:ptCount val="1"/>
                <c:pt idx="0">
                  <c:v>2nd quarter</c:v>
                </c:pt>
              </c:strCache>
            </c:strRef>
          </c:tx>
          <c:invertIfNegative val="0"/>
          <c:dLbls>
            <c:delete val="1"/>
          </c:dLbls>
          <c:cat>
            <c:strRef>
              <c:f>Saf.Insp.category!$A$120:$A$130</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Saf.Insp.category!$C$120:$C$130</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ser>
        <c:ser>
          <c:idx val="2"/>
          <c:order val="2"/>
          <c:tx>
            <c:strRef>
              <c:f>Saf.Insp.category!$D$119</c:f>
              <c:strCache>
                <c:ptCount val="1"/>
                <c:pt idx="0">
                  <c:v>3rd quarter</c:v>
                </c:pt>
              </c:strCache>
            </c:strRef>
          </c:tx>
          <c:invertIfNegative val="0"/>
          <c:dLbls>
            <c:delete val="1"/>
          </c:dLbls>
          <c:cat>
            <c:strRef>
              <c:f>Saf.Insp.category!$A$120:$A$130</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Saf.Insp.category!$D$120:$D$130</c:f>
              <c:numCache>
                <c:formatCode>0</c:formatCode>
                <c:ptCount val="11"/>
                <c:pt idx="0">
                  <c:v>0</c:v>
                </c:pt>
                <c:pt idx="1">
                  <c:v>0</c:v>
                </c:pt>
                <c:pt idx="2">
                  <c:v>2</c:v>
                </c:pt>
                <c:pt idx="3">
                  <c:v>9</c:v>
                </c:pt>
                <c:pt idx="4">
                  <c:v>2</c:v>
                </c:pt>
                <c:pt idx="5">
                  <c:v>0</c:v>
                </c:pt>
                <c:pt idx="6">
                  <c:v>1</c:v>
                </c:pt>
                <c:pt idx="7">
                  <c:v>2</c:v>
                </c:pt>
                <c:pt idx="8">
                  <c:v>1</c:v>
                </c:pt>
                <c:pt idx="9">
                  <c:v>0</c:v>
                </c:pt>
                <c:pt idx="10">
                  <c:v>0</c:v>
                </c:pt>
              </c:numCache>
            </c:numRef>
          </c:val>
        </c:ser>
        <c:ser>
          <c:idx val="3"/>
          <c:order val="3"/>
          <c:tx>
            <c:strRef>
              <c:f>Saf.Insp.category!$E$119</c:f>
              <c:strCache>
                <c:ptCount val="1"/>
                <c:pt idx="0">
                  <c:v>4th quarter</c:v>
                </c:pt>
              </c:strCache>
            </c:strRef>
          </c:tx>
          <c:invertIfNegative val="0"/>
          <c:dLbls>
            <c:delete val="1"/>
          </c:dLbls>
          <c:cat>
            <c:strRef>
              <c:f>Saf.Insp.category!$A$120:$A$130</c:f>
              <c:strCache>
                <c:ptCount val="11"/>
                <c:pt idx="0">
                  <c:v>2 Certification and Documentation</c:v>
                </c:pt>
                <c:pt idx="1">
                  <c:v>3 Crew Management </c:v>
                </c:pt>
                <c:pt idx="2">
                  <c:v>4 Navigation and Communication</c:v>
                </c:pt>
                <c:pt idx="3">
                  <c:v>5 Safety Managemenet </c:v>
                </c:pt>
                <c:pt idx="4">
                  <c:v>6 Pollution Prevention</c:v>
                </c:pt>
                <c:pt idx="5">
                  <c:v>7 Maritime Security</c:v>
                </c:pt>
                <c:pt idx="6">
                  <c:v>8 Cargo and Ballast System</c:v>
                </c:pt>
                <c:pt idx="7">
                  <c:v>9 Mooring</c:v>
                </c:pt>
                <c:pt idx="8">
                  <c:v>10 Engine and Steering Compartments</c:v>
                </c:pt>
                <c:pt idx="9">
                  <c:v>11 General Appearance Condition  </c:v>
                </c:pt>
                <c:pt idx="10">
                  <c:v>12 Ice Operations </c:v>
                </c:pt>
              </c:strCache>
            </c:strRef>
          </c:cat>
          <c:val>
            <c:numRef>
              <c:f>Saf.Insp.category!$E$120:$E$130</c:f>
              <c:numCache>
                <c:formatCode>0</c:formatCode>
                <c:ptCount val="11"/>
                <c:pt idx="0">
                  <c:v>0</c:v>
                </c:pt>
                <c:pt idx="1">
                  <c:v>0</c:v>
                </c:pt>
                <c:pt idx="2">
                  <c:v>0</c:v>
                </c:pt>
                <c:pt idx="3">
                  <c:v>6</c:v>
                </c:pt>
                <c:pt idx="4">
                  <c:v>1</c:v>
                </c:pt>
                <c:pt idx="5">
                  <c:v>0</c:v>
                </c:pt>
                <c:pt idx="6">
                  <c:v>0</c:v>
                </c:pt>
                <c:pt idx="7">
                  <c:v>1</c:v>
                </c:pt>
                <c:pt idx="8">
                  <c:v>0</c:v>
                </c:pt>
                <c:pt idx="9">
                  <c:v>1</c:v>
                </c:pt>
                <c:pt idx="10">
                  <c:v>0</c:v>
                </c:pt>
              </c:numCache>
            </c:numRef>
          </c:val>
        </c:ser>
        <c:dLbls>
          <c:showLegendKey val="0"/>
          <c:showVal val="0"/>
          <c:showCatName val="0"/>
          <c:showSerName val="0"/>
          <c:showPercent val="0"/>
          <c:showBubbleSize val="0"/>
        </c:dLbls>
        <c:gapWidth val="150"/>
        <c:axId val="566606952"/>
        <c:axId val="568063424"/>
      </c:barChart>
      <c:catAx>
        <c:axId val="566606952"/>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800" b="0" i="0" u="none" strike="noStrike" kern="1200" baseline="0">
                <a:solidFill>
                  <a:schemeClr val="tx1"/>
                </a:solidFill>
                <a:latin typeface="+mn-lt"/>
                <a:ea typeface="+mn-ea"/>
                <a:cs typeface="+mn-cs"/>
              </a:defRPr>
            </a:pPr>
          </a:p>
        </c:txPr>
        <c:crossAx val="568063424"/>
        <c:crosses val="autoZero"/>
        <c:auto val="1"/>
        <c:lblAlgn val="ctr"/>
        <c:lblOffset val="100"/>
        <c:noMultiLvlLbl val="0"/>
      </c:catAx>
      <c:valAx>
        <c:axId val="568063424"/>
        <c:scaling>
          <c:orientation val="minMax"/>
        </c:scaling>
        <c:delete val="0"/>
        <c:axPos val="l"/>
        <c:majorGridlines/>
        <c:numFmt formatCode="0"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66606952"/>
        <c:crosses val="autoZero"/>
        <c:crossBetween val="between"/>
      </c:valAx>
      <c:spPr>
        <a:solidFill>
          <a:schemeClr val="bg1"/>
        </a:solidFill>
        <a:ln>
          <a:noFill/>
        </a:ln>
        <a:effectLst/>
      </c:spPr>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9e7856c-543a-47f2-b677-d894a1cf24ed}"/>
      </c:ext>
    </c:extLst>
  </c:chart>
  <c:txPr>
    <a:bodyPr/>
    <a:lstStyle/>
    <a:p>
      <a:pPr>
        <a:defRPr lang="en-US"/>
      </a:pP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it-IT"/>
              <a:t>Tankers  Trend</a:t>
            </a:r>
            <a:endParaRPr lang="it-IT"/>
          </a:p>
        </c:rich>
      </c:tx>
      <c:layout>
        <c:manualLayout>
          <c:xMode val="edge"/>
          <c:yMode val="edge"/>
          <c:x val="0.337946982446227"/>
          <c:y val="0.0275757780644736"/>
        </c:manualLayout>
      </c:layout>
      <c:overlay val="0"/>
      <c:spPr>
        <a:noFill/>
        <a:ln>
          <a:noFill/>
        </a:ln>
        <a:effectLst/>
      </c:spPr>
    </c:title>
    <c:autoTitleDeleted val="0"/>
    <c:plotArea>
      <c:layout>
        <c:manualLayout>
          <c:layoutTarget val="inner"/>
          <c:xMode val="edge"/>
          <c:yMode val="edge"/>
          <c:x val="0.0718725717843298"/>
          <c:y val="0.111519561242976"/>
          <c:w val="0.893512046221075"/>
          <c:h val="0.738818303144359"/>
        </c:manualLayout>
      </c:layout>
      <c:barChart>
        <c:barDir val="col"/>
        <c:grouping val="clustered"/>
        <c:varyColors val="0"/>
        <c:ser>
          <c:idx val="1"/>
          <c:order val="0"/>
          <c:tx>
            <c:strRef>
              <c:f>'Nav.Audit Comparison'!$K$9</c:f>
              <c:strCache>
                <c:ptCount val="1"/>
                <c:pt idx="0">
                  <c:v>By Master </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numRef>
              <c:extLst>
                <c:ext xmlns:c15="http://schemas.microsoft.com/office/drawing/2012/chart" uri="{02D57815-91ED-43cb-92C2-25804820EDAC}">
                  <c15:fullRef>
                    <c15:sqref>'Nav.Audit Comparison'!$L$8:$P$8</c15:sqref>
                  </c15:fullRef>
                </c:ext>
              </c:extLst>
              <c:f>'Nav.Audit Comparison'!$N$8:$P$8</c:f>
              <c:numCache>
                <c:formatCode>General</c:formatCode>
                <c:ptCount val="3"/>
                <c:pt idx="0">
                  <c:v>2022</c:v>
                </c:pt>
                <c:pt idx="1">
                  <c:v>2023</c:v>
                </c:pt>
                <c:pt idx="2">
                  <c:v>2024</c:v>
                </c:pt>
              </c:numCache>
            </c:numRef>
          </c:cat>
          <c:val>
            <c:numRef>
              <c:extLst>
                <c:ext xmlns:c15="http://schemas.microsoft.com/office/drawing/2012/chart" uri="{02D57815-91ED-43cb-92C2-25804820EDAC}">
                  <c15:fullRef>
                    <c15:sqref>'Nav.Audit Comparison'!$L$9:$P$9</c15:sqref>
                  </c15:fullRef>
                </c:ext>
              </c:extLst>
              <c:f>'Nav.Audit Comparison'!$N$9:$P$9</c:f>
              <c:numCache>
                <c:formatCode>General</c:formatCode>
                <c:ptCount val="3"/>
                <c:pt idx="0">
                  <c:v>71</c:v>
                </c:pt>
                <c:pt idx="1">
                  <c:v>163</c:v>
                </c:pt>
                <c:pt idx="2">
                  <c:v>201</c:v>
                </c:pt>
              </c:numCache>
            </c:numRef>
          </c:val>
        </c:ser>
        <c:ser>
          <c:idx val="2"/>
          <c:order val="1"/>
          <c:tx>
            <c:strRef>
              <c:f>'Nav.Audit Comparison'!$K$10</c:f>
              <c:strCache>
                <c:ptCount val="1"/>
                <c:pt idx="0">
                  <c:v>By Marine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numRef>
              <c:extLst>
                <c:ext xmlns:c15="http://schemas.microsoft.com/office/drawing/2012/chart" uri="{02D57815-91ED-43cb-92C2-25804820EDAC}">
                  <c15:fullRef>
                    <c15:sqref>'Nav.Audit Comparison'!$L$8:$P$8</c15:sqref>
                  </c15:fullRef>
                </c:ext>
              </c:extLst>
              <c:f>'Nav.Audit Comparison'!$N$8:$P$8</c:f>
              <c:numCache>
                <c:formatCode>General</c:formatCode>
                <c:ptCount val="3"/>
                <c:pt idx="0">
                  <c:v>2022</c:v>
                </c:pt>
                <c:pt idx="1">
                  <c:v>2023</c:v>
                </c:pt>
                <c:pt idx="2">
                  <c:v>2024</c:v>
                </c:pt>
              </c:numCache>
            </c:numRef>
          </c:cat>
          <c:val>
            <c:numRef>
              <c:extLst>
                <c:ext xmlns:c15="http://schemas.microsoft.com/office/drawing/2012/chart" uri="{02D57815-91ED-43cb-92C2-25804820EDAC}">
                  <c15:fullRef>
                    <c15:sqref>'Nav.Audit Comparison'!$L$10:$P$10</c15:sqref>
                  </c15:fullRef>
                </c:ext>
              </c:extLst>
              <c:f>'Nav.Audit Comparison'!$N$10:$P$10</c:f>
              <c:numCache>
                <c:formatCode>General</c:formatCode>
                <c:ptCount val="3"/>
                <c:pt idx="0">
                  <c:v>42</c:v>
                </c:pt>
                <c:pt idx="1">
                  <c:v>43</c:v>
                </c:pt>
                <c:pt idx="2">
                  <c:v>71</c:v>
                </c:pt>
              </c:numCache>
            </c:numRef>
          </c:val>
        </c:ser>
        <c:ser>
          <c:idx val="3"/>
          <c:order val="2"/>
          <c:tx>
            <c:strRef>
              <c:f>'Nav.Audit Comparison'!$K$11</c:f>
              <c:strCache>
                <c:ptCount val="1"/>
                <c:pt idx="0">
                  <c:v>By vetting</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elete val="1"/>
          </c:dLbls>
          <c:cat>
            <c:numRef>
              <c:extLst>
                <c:ext xmlns:c15="http://schemas.microsoft.com/office/drawing/2012/chart" uri="{02D57815-91ED-43cb-92C2-25804820EDAC}">
                  <c15:fullRef>
                    <c15:sqref>'Nav.Audit Comparison'!$L$8:$P$8</c15:sqref>
                  </c15:fullRef>
                </c:ext>
              </c:extLst>
              <c:f>'Nav.Audit Comparison'!$N$8:$P$8</c:f>
              <c:numCache>
                <c:formatCode>General</c:formatCode>
                <c:ptCount val="3"/>
                <c:pt idx="0">
                  <c:v>2022</c:v>
                </c:pt>
                <c:pt idx="1">
                  <c:v>2023</c:v>
                </c:pt>
                <c:pt idx="2">
                  <c:v>2024</c:v>
                </c:pt>
              </c:numCache>
            </c:numRef>
          </c:cat>
          <c:val>
            <c:numRef>
              <c:extLst>
                <c:ext xmlns:c15="http://schemas.microsoft.com/office/drawing/2012/chart" uri="{02D57815-91ED-43cb-92C2-25804820EDAC}">
                  <c15:fullRef>
                    <c15:sqref>'Nav.Audit Comparison'!$L$11:$P$11</c15:sqref>
                  </c15:fullRef>
                </c:ext>
              </c:extLst>
              <c:f>'Nav.Audit Comparison'!$N$11:$P$11</c:f>
              <c:numCache>
                <c:formatCode>General</c:formatCode>
                <c:ptCount val="3"/>
                <c:pt idx="0">
                  <c:v>7</c:v>
                </c:pt>
                <c:pt idx="1">
                  <c:v>10</c:v>
                </c:pt>
                <c:pt idx="2">
                  <c:v>15</c:v>
                </c:pt>
              </c:numCache>
            </c:numRef>
          </c:val>
        </c:ser>
        <c:ser>
          <c:idx val="4"/>
          <c:order val="3"/>
          <c:tx>
            <c:strRef>
              <c:f>'Nav.Audit Comparison'!$K$12</c:f>
              <c:strCache>
                <c:ptCount val="1"/>
                <c:pt idx="0">
                  <c:v>By PSC</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elete val="1"/>
          </c:dLbls>
          <c:cat>
            <c:numRef>
              <c:extLst>
                <c:ext xmlns:c15="http://schemas.microsoft.com/office/drawing/2012/chart" uri="{02D57815-91ED-43cb-92C2-25804820EDAC}">
                  <c15:fullRef>
                    <c15:sqref>'Nav.Audit Comparison'!$L$8:$P$8</c15:sqref>
                  </c15:fullRef>
                </c:ext>
              </c:extLst>
              <c:f>'Nav.Audit Comparison'!$N$8:$P$8</c:f>
              <c:numCache>
                <c:formatCode>General</c:formatCode>
                <c:ptCount val="3"/>
                <c:pt idx="0">
                  <c:v>2022</c:v>
                </c:pt>
                <c:pt idx="1">
                  <c:v>2023</c:v>
                </c:pt>
                <c:pt idx="2">
                  <c:v>2024</c:v>
                </c:pt>
              </c:numCache>
            </c:numRef>
          </c:cat>
          <c:val>
            <c:numRef>
              <c:extLst>
                <c:ext xmlns:c15="http://schemas.microsoft.com/office/drawing/2012/chart" uri="{02D57815-91ED-43cb-92C2-25804820EDAC}">
                  <c15:fullRef>
                    <c15:sqref>'Nav.Audit Comparison'!$L$12:$P$12</c15:sqref>
                  </c15:fullRef>
                </c:ext>
              </c:extLst>
              <c:f>'Nav.Audit Comparison'!$N$12:$P$12</c:f>
              <c:numCache>
                <c:formatCode>General</c:formatCode>
                <c:ptCount val="3"/>
                <c:pt idx="0">
                  <c:v>0</c:v>
                </c:pt>
                <c:pt idx="1">
                  <c:v>1</c:v>
                </c:pt>
                <c:pt idx="2">
                  <c:v>6</c:v>
                </c:pt>
              </c:numCache>
            </c:numRef>
          </c:val>
        </c:ser>
        <c:dLbls>
          <c:showLegendKey val="0"/>
          <c:showVal val="0"/>
          <c:showCatName val="0"/>
          <c:showSerName val="0"/>
          <c:showPercent val="0"/>
          <c:showBubbleSize val="0"/>
        </c:dLbls>
        <c:gapWidth val="100"/>
        <c:overlap val="-24"/>
        <c:axId val="568063816"/>
        <c:axId val="568064208"/>
      </c:barChart>
      <c:catAx>
        <c:axId val="568063816"/>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68064208"/>
        <c:crosses val="autoZero"/>
        <c:auto val="1"/>
        <c:lblAlgn val="ctr"/>
        <c:lblOffset val="100"/>
        <c:noMultiLvlLbl val="0"/>
      </c:catAx>
      <c:valAx>
        <c:axId val="5680642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6806381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legend>
    <c:plotVisOnly val="1"/>
    <c:dispBlanksAs val="gap"/>
    <c:showDLblsOverMax val="0"/>
    <c:extLst>
      <c:ext uri="{0b15fc19-7d7d-44ad-8c2d-2c3a37ce22c3}">
        <chartProps xmlns="https://web.wps.cn/et/2018/main" chartId="{e52e4146-a199-4b4c-a05a-6236e282350a}"/>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it-IT"/>
              <a:t>Dry  Trend</a:t>
            </a:r>
            <a:endParaRPr lang="it-IT"/>
          </a:p>
        </c:rich>
      </c:tx>
      <c:layout>
        <c:manualLayout>
          <c:xMode val="edge"/>
          <c:yMode val="edge"/>
          <c:x val="0.426880285797609"/>
          <c:y val="0.0372313109914329"/>
        </c:manualLayout>
      </c:layout>
      <c:overlay val="0"/>
      <c:spPr>
        <a:noFill/>
        <a:ln>
          <a:noFill/>
        </a:ln>
        <a:effectLst/>
      </c:spPr>
    </c:title>
    <c:autoTitleDeleted val="0"/>
    <c:plotArea>
      <c:layout/>
      <c:barChart>
        <c:barDir val="col"/>
        <c:grouping val="clustered"/>
        <c:varyColors val="0"/>
        <c:ser>
          <c:idx val="1"/>
          <c:order val="0"/>
          <c:tx>
            <c:strRef>
              <c:f>'Nav.Audit Comparison'!$K$15</c:f>
              <c:strCache>
                <c:ptCount val="1"/>
                <c:pt idx="0">
                  <c:v>By Master </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numRef>
              <c:extLst>
                <c:ext xmlns:c15="http://schemas.microsoft.com/office/drawing/2012/chart" uri="{02D57815-91ED-43cb-92C2-25804820EDAC}">
                  <c15:fullRef>
                    <c15:sqref>'Nav.Audit Comparison'!$L$14:$P$14</c15:sqref>
                  </c15:fullRef>
                </c:ext>
              </c:extLst>
              <c:f>'Nav.Audit Comparison'!$N$14:$P$14</c:f>
              <c:numCache>
                <c:formatCode>General</c:formatCode>
                <c:ptCount val="3"/>
                <c:pt idx="0">
                  <c:v>2022</c:v>
                </c:pt>
                <c:pt idx="1">
                  <c:v>2023</c:v>
                </c:pt>
                <c:pt idx="2">
                  <c:v>2024</c:v>
                </c:pt>
              </c:numCache>
            </c:numRef>
          </c:cat>
          <c:val>
            <c:numRef>
              <c:extLst>
                <c:ext xmlns:c15="http://schemas.microsoft.com/office/drawing/2012/chart" uri="{02D57815-91ED-43cb-92C2-25804820EDAC}">
                  <c15:fullRef>
                    <c15:sqref>'Nav.Audit Comparison'!$L$15:$P$15</c15:sqref>
                  </c15:fullRef>
                </c:ext>
              </c:extLst>
              <c:f>'Nav.Audit Comparison'!$N$15:$P$15</c:f>
              <c:numCache>
                <c:formatCode>General</c:formatCode>
                <c:ptCount val="3"/>
                <c:pt idx="0">
                  <c:v>42</c:v>
                </c:pt>
                <c:pt idx="1">
                  <c:v>52</c:v>
                </c:pt>
                <c:pt idx="2">
                  <c:v>58</c:v>
                </c:pt>
              </c:numCache>
            </c:numRef>
          </c:val>
        </c:ser>
        <c:ser>
          <c:idx val="2"/>
          <c:order val="1"/>
          <c:tx>
            <c:strRef>
              <c:f>'Nav.Audit Comparison'!$K$16</c:f>
              <c:strCache>
                <c:ptCount val="1"/>
                <c:pt idx="0">
                  <c:v>By Marine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numRef>
              <c:extLst>
                <c:ext xmlns:c15="http://schemas.microsoft.com/office/drawing/2012/chart" uri="{02D57815-91ED-43cb-92C2-25804820EDAC}">
                  <c15:fullRef>
                    <c15:sqref>'Nav.Audit Comparison'!$L$14:$P$14</c15:sqref>
                  </c15:fullRef>
                </c:ext>
              </c:extLst>
              <c:f>'Nav.Audit Comparison'!$N$14:$P$14</c:f>
              <c:numCache>
                <c:formatCode>General</c:formatCode>
                <c:ptCount val="3"/>
                <c:pt idx="0">
                  <c:v>2022</c:v>
                </c:pt>
                <c:pt idx="1">
                  <c:v>2023</c:v>
                </c:pt>
                <c:pt idx="2">
                  <c:v>2024</c:v>
                </c:pt>
              </c:numCache>
            </c:numRef>
          </c:cat>
          <c:val>
            <c:numRef>
              <c:extLst>
                <c:ext xmlns:c15="http://schemas.microsoft.com/office/drawing/2012/chart" uri="{02D57815-91ED-43cb-92C2-25804820EDAC}">
                  <c15:fullRef>
                    <c15:sqref>'Nav.Audit Comparison'!$L$16:$P$16</c15:sqref>
                  </c15:fullRef>
                </c:ext>
              </c:extLst>
              <c:f>'Nav.Audit Comparison'!$N$16:$P$16</c:f>
              <c:numCache>
                <c:formatCode>General</c:formatCode>
                <c:ptCount val="3"/>
                <c:pt idx="0">
                  <c:v>20</c:v>
                </c:pt>
                <c:pt idx="1">
                  <c:v>13</c:v>
                </c:pt>
                <c:pt idx="2">
                  <c:v>10</c:v>
                </c:pt>
              </c:numCache>
            </c:numRef>
          </c:val>
        </c:ser>
        <c:ser>
          <c:idx val="3"/>
          <c:order val="2"/>
          <c:tx>
            <c:strRef>
              <c:f>'Nav.Audit Comparison'!$K$17</c:f>
              <c:strCache>
                <c:ptCount val="1"/>
                <c:pt idx="0">
                  <c:v>By PSC</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elete val="1"/>
          </c:dLbls>
          <c:cat>
            <c:numRef>
              <c:extLst>
                <c:ext xmlns:c15="http://schemas.microsoft.com/office/drawing/2012/chart" uri="{02D57815-91ED-43cb-92C2-25804820EDAC}">
                  <c15:fullRef>
                    <c15:sqref>'Nav.Audit Comparison'!$L$14:$P$14</c15:sqref>
                  </c15:fullRef>
                </c:ext>
              </c:extLst>
              <c:f>'Nav.Audit Comparison'!$N$14:$P$14</c:f>
              <c:numCache>
                <c:formatCode>General</c:formatCode>
                <c:ptCount val="3"/>
                <c:pt idx="0">
                  <c:v>2022</c:v>
                </c:pt>
                <c:pt idx="1">
                  <c:v>2023</c:v>
                </c:pt>
                <c:pt idx="2">
                  <c:v>2024</c:v>
                </c:pt>
              </c:numCache>
            </c:numRef>
          </c:cat>
          <c:val>
            <c:numRef>
              <c:extLst>
                <c:ext xmlns:c15="http://schemas.microsoft.com/office/drawing/2012/chart" uri="{02D57815-91ED-43cb-92C2-25804820EDAC}">
                  <c15:fullRef>
                    <c15:sqref>'Nav.Audit Comparison'!$L$17:$P$17</c15:sqref>
                  </c15:fullRef>
                </c:ext>
              </c:extLst>
              <c:f>'Nav.Audit Comparison'!$N$17:$P$17</c:f>
              <c:numCache>
                <c:formatCode>General</c:formatCode>
                <c:ptCount val="3"/>
                <c:pt idx="0">
                  <c:v>1</c:v>
                </c:pt>
                <c:pt idx="1">
                  <c:v>2</c:v>
                </c:pt>
                <c:pt idx="2">
                  <c:v>4</c:v>
                </c:pt>
              </c:numCache>
            </c:numRef>
          </c:val>
        </c:ser>
        <c:dLbls>
          <c:showLegendKey val="0"/>
          <c:showVal val="0"/>
          <c:showCatName val="0"/>
          <c:showSerName val="0"/>
          <c:showPercent val="0"/>
          <c:showBubbleSize val="0"/>
        </c:dLbls>
        <c:gapWidth val="100"/>
        <c:overlap val="-24"/>
        <c:axId val="568065384"/>
        <c:axId val="568066560"/>
      </c:barChart>
      <c:catAx>
        <c:axId val="568065384"/>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68066560"/>
        <c:crosses val="autoZero"/>
        <c:auto val="1"/>
        <c:lblAlgn val="ctr"/>
        <c:lblOffset val="100"/>
        <c:noMultiLvlLbl val="0"/>
      </c:catAx>
      <c:valAx>
        <c:axId val="5680665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6806538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legend>
    <c:plotVisOnly val="1"/>
    <c:dispBlanksAs val="gap"/>
    <c:showDLblsOverMax val="0"/>
    <c:extLst>
      <c:ext uri="{0b15fc19-7d7d-44ad-8c2d-2c3a37ce22c3}">
        <chartProps xmlns="https://web.wps.cn/et/2018/main" chartId="{e2e9e4d7-67a0-4ab7-95cd-8e4843affdbd}"/>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it-IT"/>
              <a:t>Fleet</a:t>
            </a:r>
            <a:r>
              <a:rPr lang="it-IT" baseline="0"/>
              <a:t> Trend</a:t>
            </a:r>
            <a:endParaRPr lang="it-IT" baseline="0"/>
          </a:p>
        </c:rich>
      </c:tx>
      <c:layout/>
      <c:overlay val="0"/>
      <c:spPr>
        <a:noFill/>
        <a:ln>
          <a:noFill/>
        </a:ln>
        <a:effectLst/>
      </c:spPr>
    </c:title>
    <c:autoTitleDeleted val="0"/>
    <c:plotArea>
      <c:layout/>
      <c:barChart>
        <c:barDir val="col"/>
        <c:grouping val="clustered"/>
        <c:varyColors val="0"/>
        <c:ser>
          <c:idx val="2"/>
          <c:order val="2"/>
          <c:tx>
            <c:strRef>
              <c:f>'Nav.Audit Comparison'!$N$2</c:f>
              <c:strCache>
                <c:ptCount val="1"/>
                <c:pt idx="0">
                  <c:v>2022</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'Nav.Audit Comparison'!$K$3:$K$6</c:f>
              <c:strCache>
                <c:ptCount val="4"/>
                <c:pt idx="0">
                  <c:v>By Master </c:v>
                </c:pt>
                <c:pt idx="1">
                  <c:v> </c:v>
                </c:pt>
                <c:pt idx="2">
                  <c:v>By vetting</c:v>
                </c:pt>
                <c:pt idx="3">
                  <c:v>By PSC</c:v>
                </c:pt>
              </c:strCache>
            </c:strRef>
          </c:cat>
          <c:val>
            <c:numRef>
              <c:f>'Nav.Audit Comparison'!$N$3:$N$6</c:f>
              <c:numCache>
                <c:formatCode>General</c:formatCode>
                <c:ptCount val="4"/>
                <c:pt idx="0">
                  <c:v>113</c:v>
                </c:pt>
                <c:pt idx="1">
                  <c:v>62</c:v>
                </c:pt>
                <c:pt idx="2">
                  <c:v>7</c:v>
                </c:pt>
                <c:pt idx="3">
                  <c:v>1</c:v>
                </c:pt>
              </c:numCache>
            </c:numRef>
          </c:val>
        </c:ser>
        <c:ser>
          <c:idx val="3"/>
          <c:order val="3"/>
          <c:tx>
            <c:strRef>
              <c:f>'Nav.Audit Comparison'!$O$2</c:f>
              <c:strCache>
                <c:ptCount val="1"/>
                <c:pt idx="0">
                  <c:v>2023</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'Nav.Audit Comparison'!$K$3:$K$6</c:f>
              <c:strCache>
                <c:ptCount val="4"/>
                <c:pt idx="0">
                  <c:v>By Master </c:v>
                </c:pt>
                <c:pt idx="1">
                  <c:v> </c:v>
                </c:pt>
                <c:pt idx="2">
                  <c:v>By vetting</c:v>
                </c:pt>
                <c:pt idx="3">
                  <c:v>By PSC</c:v>
                </c:pt>
              </c:strCache>
            </c:strRef>
          </c:cat>
          <c:val>
            <c:numRef>
              <c:f>'Nav.Audit Comparison'!$O$3:$O$6</c:f>
              <c:numCache>
                <c:formatCode>General</c:formatCode>
                <c:ptCount val="4"/>
                <c:pt idx="0">
                  <c:v>215</c:v>
                </c:pt>
                <c:pt idx="1">
                  <c:v>56</c:v>
                </c:pt>
                <c:pt idx="2">
                  <c:v>10</c:v>
                </c:pt>
                <c:pt idx="3">
                  <c:v>3</c:v>
                </c:pt>
              </c:numCache>
            </c:numRef>
          </c:val>
        </c:ser>
        <c:ser>
          <c:idx val="4"/>
          <c:order val="4"/>
          <c:tx>
            <c:strRef>
              <c:f>'Nav.Audit Comparison'!$P$2</c:f>
              <c:strCache>
                <c:ptCount val="1"/>
                <c:pt idx="0">
                  <c:v>2024</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'Nav.Audit Comparison'!$K$3:$K$6</c:f>
              <c:strCache>
                <c:ptCount val="4"/>
                <c:pt idx="0">
                  <c:v>By Master </c:v>
                </c:pt>
                <c:pt idx="1">
                  <c:v> </c:v>
                </c:pt>
                <c:pt idx="2">
                  <c:v>By vetting</c:v>
                </c:pt>
                <c:pt idx="3">
                  <c:v>By PSC</c:v>
                </c:pt>
              </c:strCache>
            </c:strRef>
          </c:cat>
          <c:val>
            <c:numRef>
              <c:f>'Nav.Audit Comparison'!$P$3:$P$6</c:f>
              <c:numCache>
                <c:formatCode>General</c:formatCode>
                <c:ptCount val="4"/>
                <c:pt idx="0">
                  <c:v>259</c:v>
                </c:pt>
                <c:pt idx="1">
                  <c:v>81</c:v>
                </c:pt>
                <c:pt idx="2">
                  <c:v>15</c:v>
                </c:pt>
                <c:pt idx="3">
                  <c:v>10</c:v>
                </c:pt>
              </c:numCache>
            </c:numRef>
          </c:val>
        </c:ser>
        <c:dLbls>
          <c:showLegendKey val="0"/>
          <c:showVal val="1"/>
          <c:showCatName val="0"/>
          <c:showSerName val="0"/>
          <c:showPercent val="0"/>
          <c:showBubbleSize val="0"/>
        </c:dLbls>
        <c:gapWidth val="75"/>
        <c:axId val="568066952"/>
        <c:axId val="568067736"/>
        <c:extLst>
          <c:ext xmlns:c15="http://schemas.microsoft.com/office/drawing/2012/chart" uri="{02D57815-91ED-43cb-92C2-25804820EDAC}">
            <c15:filteredBarSeries>
              <c15:ser>
                <c:idx val="0"/>
                <c:order val="0"/>
                <c:tx>
                  <c:strRef>
                    <c:extLst>
                      <c:ext uri="{02D57815-91ED-43cb-92C2-25804820EDAC}">
                        <c15:formulaRef>
                          <c15:sqref>'Nav.Audit Comparison'!$L$2</c15:sqref>
                        </c15:formulaRef>
                      </c:ext>
                    </c:extLst>
                    <c:strCache>
                      <c:ptCount val="1"/>
                      <c:pt idx="0">
                        <c:v>2020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extLst>
                      <c:ext uri="{02D57815-91ED-43cb-92C2-25804820EDAC}">
                        <c15:fullRef>
                          <c15:sqref/>
                        </c15:fullRef>
                        <c15:formulaRef>
                          <c15:sqref>'Nav.Audit Comparison'!$K$3:$K$6</c15:sqref>
                        </c15:formulaRef>
                      </c:ext>
                    </c:extLst>
                    <c:strCache>
                      <c:ptCount val="4"/>
                      <c:pt idx="0">
                        <c:v>By Master </c:v>
                      </c:pt>
                      <c:pt idx="1">
                        <c:v> </c:v>
                      </c:pt>
                      <c:pt idx="2">
                        <c:v>By vetting</c:v>
                      </c:pt>
                      <c:pt idx="3">
                        <c:v>By PSC</c:v>
                      </c:pt>
                    </c:strCache>
                  </c:strRef>
                </c:cat>
                <c:val>
                  <c:numRef>
                    <c:extLst>
                      <c:ext uri="{02D57815-91ED-43cb-92C2-25804820EDAC}">
                        <c15:formulaRef>
                          <c15:sqref>'Nav.Audit Comparison'!$L$3:$L$6</c15:sqref>
                        </c15:formulaRef>
                      </c:ext>
                    </c:extLst>
                    <c:numCache>
                      <c:formatCode>General</c:formatCode>
                      <c:ptCount val="4"/>
                      <c:pt idx="0">
                        <c:v>146</c:v>
                      </c:pt>
                      <c:pt idx="1">
                        <c:v>39</c:v>
                      </c:pt>
                      <c:pt idx="2">
                        <c:v>9</c:v>
                      </c:pt>
                      <c:pt idx="3">
                        <c:v>0</c:v>
                      </c:pt>
                    </c:numCache>
                  </c:numRef>
                </c:val>
              </c15:ser>
            </c15:filteredBarSeries>
            <c15:filteredBarSeries>
              <c15:ser>
                <c:idx val="1"/>
                <c:order val="1"/>
                <c:tx>
                  <c:strRef>
                    <c:extLst>
                      <c:ext uri="{02D57815-91ED-43cb-92C2-25804820EDAC}">
                        <c15:formulaRef>
                          <c15:sqref>'Nav.Audit Comparison'!$M$2</c15:sqref>
                        </c15:formulaRef>
                      </c:ext>
                    </c:extLst>
                    <c:strCache>
                      <c:ptCount val="1"/>
                      <c:pt idx="0">
                        <c:v>2021</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extLst>
                      <c:ext uri="{02D57815-91ED-43cb-92C2-25804820EDAC}">
                        <c15:fullRef>
                          <c15:sqref/>
                        </c15:fullRef>
                        <c15:formulaRef>
                          <c15:sqref>'Nav.Audit Comparison'!$K$3:$K$6</c15:sqref>
                        </c15:formulaRef>
                      </c:ext>
                    </c:extLst>
                    <c:strCache>
                      <c:ptCount val="4"/>
                      <c:pt idx="0">
                        <c:v>By Master </c:v>
                      </c:pt>
                      <c:pt idx="1">
                        <c:v> </c:v>
                      </c:pt>
                      <c:pt idx="2">
                        <c:v>By vetting</c:v>
                      </c:pt>
                      <c:pt idx="3">
                        <c:v>By PSC</c:v>
                      </c:pt>
                    </c:strCache>
                  </c:strRef>
                </c:cat>
                <c:val>
                  <c:numRef>
                    <c:extLst>
                      <c:ext uri="{02D57815-91ED-43cb-92C2-25804820EDAC}">
                        <c15:formulaRef>
                          <c15:sqref>'Nav.Audit Comparison'!$M$3:$M$6</c15:sqref>
                        </c15:formulaRef>
                      </c:ext>
                    </c:extLst>
                    <c:numCache>
                      <c:formatCode>General</c:formatCode>
                      <c:ptCount val="4"/>
                      <c:pt idx="0">
                        <c:v>216</c:v>
                      </c:pt>
                      <c:pt idx="1">
                        <c:v>19</c:v>
                      </c:pt>
                      <c:pt idx="2">
                        <c:v>13</c:v>
                      </c:pt>
                      <c:pt idx="3">
                        <c:v>0</c:v>
                      </c:pt>
                    </c:numCache>
                  </c:numRef>
                </c:val>
              </c15:ser>
            </c15:filteredBarSeries>
          </c:ext>
        </c:extLst>
      </c:barChart>
      <c:catAx>
        <c:axId val="568066952"/>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68067736"/>
        <c:crosses val="autoZero"/>
        <c:auto val="1"/>
        <c:lblAlgn val="ctr"/>
        <c:lblOffset val="100"/>
        <c:noMultiLvlLbl val="0"/>
      </c:catAx>
      <c:valAx>
        <c:axId val="568067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6806695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legend>
    <c:plotVisOnly val="1"/>
    <c:dispBlanksAs val="gap"/>
    <c:showDLblsOverMax val="0"/>
    <c:extLst>
      <c:ext uri="{0b15fc19-7d7d-44ad-8c2d-2c3a37ce22c3}">
        <chartProps xmlns="https://web.wps.cn/et/2018/main" chartId="{4c0ccf95-3c7b-454a-8c09-ae9648ded2bf}"/>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it-IT"/>
              <a:t>Internal</a:t>
            </a:r>
            <a:r>
              <a:rPr lang="it-IT" baseline="0"/>
              <a:t> Audit</a:t>
            </a:r>
            <a:endParaRPr lang="it-IT"/>
          </a:p>
        </c:rich>
      </c:tx>
      <c:layout/>
      <c:overlay val="0"/>
      <c:spPr>
        <a:noFill/>
        <a:ln>
          <a:noFill/>
        </a:ln>
        <a:effectLst/>
      </c:spPr>
    </c:title>
    <c:autoTitleDeleted val="0"/>
    <c:plotArea>
      <c:layout>
        <c:manualLayout>
          <c:layoutTarget val="inner"/>
          <c:xMode val="edge"/>
          <c:yMode val="edge"/>
          <c:x val="0.0546722463417674"/>
          <c:y val="0.111154038164699"/>
          <c:w val="0.928491160827119"/>
          <c:h val="0.654026532685308"/>
        </c:manualLayout>
      </c:layout>
      <c:barChart>
        <c:barDir val="col"/>
        <c:grouping val="clustered"/>
        <c:varyColors val="0"/>
        <c:ser>
          <c:idx val="0"/>
          <c:order val="0"/>
          <c:tx>
            <c:strRef>
              <c:f>'Tanker Graph by inspector'!$B$2</c:f>
              <c:strCache>
                <c:ptCount val="1"/>
                <c:pt idx="0">
                  <c:v>IntA  Nr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'Tanker Graph by inspector'!$A$3:$A$13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'Tanker Graph by inspector'!$B$3:$B$13</c:f>
              <c:numCache>
                <c:formatCode>General</c:formatCode>
                <c:ptCount val="11"/>
                <c:pt idx="0">
                  <c:v>0</c:v>
                </c:pt>
                <c:pt idx="1">
                  <c:v>0</c:v>
                </c:pt>
                <c:pt idx="2">
                  <c:v>1</c:v>
                </c:pt>
                <c:pt idx="3">
                  <c:v>1</c:v>
                </c:pt>
                <c:pt idx="4">
                  <c:v>9</c:v>
                </c:pt>
                <c:pt idx="5">
                  <c:v>1</c:v>
                </c:pt>
                <c:pt idx="6">
                  <c:v>1</c:v>
                </c:pt>
                <c:pt idx="7">
                  <c:v>4</c:v>
                </c:pt>
                <c:pt idx="8">
                  <c:v>3</c:v>
                </c:pt>
                <c:pt idx="9">
                  <c:v>2</c:v>
                </c:pt>
                <c:pt idx="10">
                  <c:v>0</c:v>
                </c:pt>
              </c:numCache>
            </c:numRef>
          </c:val>
        </c:ser>
        <c:ser>
          <c:idx val="1"/>
          <c:order val="1"/>
          <c:tx>
            <c:strRef>
              <c:f>'Tanker Graph by inspector'!$C$2</c:f>
              <c:strCache>
                <c:ptCount val="1"/>
                <c:pt idx="0">
                  <c:v>IntA Remarks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'Tanker Graph by inspector'!$A$3:$A$13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'Tanker Graph by inspector'!$C$3:$C$13</c:f>
              <c:numCache>
                <c:formatCode>General</c:formatCode>
                <c:ptCount val="11"/>
                <c:pt idx="0">
                  <c:v>0</c:v>
                </c:pt>
                <c:pt idx="1">
                  <c:v>0</c:v>
                </c:pt>
                <c:pt idx="2">
                  <c:v>9</c:v>
                </c:pt>
                <c:pt idx="3">
                  <c:v>6</c:v>
                </c:pt>
                <c:pt idx="4">
                  <c:v>27</c:v>
                </c:pt>
                <c:pt idx="5">
                  <c:v>6</c:v>
                </c:pt>
                <c:pt idx="6">
                  <c:v>3</c:v>
                </c:pt>
                <c:pt idx="7">
                  <c:v>14</c:v>
                </c:pt>
                <c:pt idx="8">
                  <c:v>15</c:v>
                </c:pt>
                <c:pt idx="9">
                  <c:v>6</c:v>
                </c:pt>
                <c:pt idx="10">
                  <c:v>0</c:v>
                </c:pt>
              </c:numCache>
            </c:numRef>
          </c:val>
        </c:ser>
        <c:dLbls>
          <c:showLegendKey val="0"/>
          <c:showVal val="0"/>
          <c:showCatName val="0"/>
          <c:showSerName val="0"/>
          <c:showPercent val="0"/>
          <c:showBubbleSize val="0"/>
        </c:dLbls>
        <c:gapWidth val="219"/>
        <c:overlap val="-27"/>
        <c:axId val="568065776"/>
        <c:axId val="568066168"/>
      </c:barChart>
      <c:lineChart>
        <c:grouping val="standard"/>
        <c:varyColors val="0"/>
        <c:ser>
          <c:idx val="2"/>
          <c:order val="2"/>
          <c:tx>
            <c:strRef>
              <c:f>'Tanker Graph by inspector'!$D$2</c:f>
              <c:strCache>
                <c:ptCount val="1"/>
                <c:pt idx="0">
                  <c:v>IntA Average Remarks</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'Tanker Graph by inspector'!$A$3:$A$13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'Tanker Graph by inspector'!$D$3:$D$13</c:f>
              <c:numCache>
                <c:formatCode>0.00</c:formatCode>
                <c:ptCount val="11"/>
                <c:pt idx="0">
                  <c:v>0</c:v>
                </c:pt>
                <c:pt idx="1">
                  <c:v>0</c:v>
                </c:pt>
                <c:pt idx="2">
                  <c:v>9</c:v>
                </c:pt>
                <c:pt idx="3">
                  <c:v>6</c:v>
                </c:pt>
                <c:pt idx="4">
                  <c:v>3</c:v>
                </c:pt>
                <c:pt idx="5">
                  <c:v>6</c:v>
                </c:pt>
                <c:pt idx="6">
                  <c:v>3</c:v>
                </c:pt>
                <c:pt idx="7">
                  <c:v>3.5</c:v>
                </c:pt>
                <c:pt idx="8">
                  <c:v>5</c:v>
                </c:pt>
                <c:pt idx="9">
                  <c:v>3</c:v>
                </c:pt>
                <c:pt idx="10">
                  <c:v>0</c:v>
                </c:pt>
              </c:numCache>
            </c:numRef>
          </c:val>
          <c:smooth val="0"/>
        </c:ser>
        <c:dLbls>
          <c:showLegendKey val="0"/>
          <c:showVal val="0"/>
          <c:showCatName val="0"/>
          <c:showSerName val="0"/>
          <c:showPercent val="0"/>
          <c:showBubbleSize val="0"/>
        </c:dLbls>
        <c:marker val="0"/>
        <c:smooth val="0"/>
        <c:axId val="568065776"/>
        <c:axId val="568066168"/>
      </c:lineChart>
      <c:catAx>
        <c:axId val="56806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68066168"/>
        <c:crosses val="autoZero"/>
        <c:auto val="1"/>
        <c:lblAlgn val="ctr"/>
        <c:lblOffset val="100"/>
        <c:noMultiLvlLbl val="0"/>
      </c:catAx>
      <c:valAx>
        <c:axId val="568066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6806577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5710a3b5-9bdd-40ca-b373-cfaa9a8dba72}"/>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it-IT"/>
              <a:t>Safety Inpsection</a:t>
            </a:r>
            <a:endParaRPr lang="it-IT"/>
          </a:p>
        </c:rich>
      </c:tx>
      <c:layout/>
      <c:overlay val="0"/>
      <c:spPr>
        <a:noFill/>
        <a:ln>
          <a:noFill/>
        </a:ln>
        <a:effectLst/>
      </c:spPr>
    </c:title>
    <c:autoTitleDeleted val="0"/>
    <c:plotArea>
      <c:layout/>
      <c:barChart>
        <c:barDir val="col"/>
        <c:grouping val="clustered"/>
        <c:varyColors val="0"/>
        <c:ser>
          <c:idx val="0"/>
          <c:order val="0"/>
          <c:tx>
            <c:strRef>
              <c:f>'Tanker Graph by inspector'!$E$2</c:f>
              <c:strCache>
                <c:ptCount val="1"/>
                <c:pt idx="0">
                  <c:v>SafIns Nr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'Tanker Graph by inspector'!$A$3:$A$13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'Tanker Graph by inspector'!$E$3:$E$13</c:f>
              <c:numCache>
                <c:formatCode>General</c:formatCode>
                <c:ptCount val="11"/>
                <c:pt idx="0">
                  <c:v>0</c:v>
                </c:pt>
                <c:pt idx="1">
                  <c:v>0</c:v>
                </c:pt>
                <c:pt idx="2">
                  <c:v>1</c:v>
                </c:pt>
                <c:pt idx="3">
                  <c:v>1</c:v>
                </c:pt>
                <c:pt idx="4">
                  <c:v>8</c:v>
                </c:pt>
                <c:pt idx="5">
                  <c:v>0</c:v>
                </c:pt>
                <c:pt idx="6">
                  <c:v>0</c:v>
                </c:pt>
                <c:pt idx="7">
                  <c:v>5</c:v>
                </c:pt>
                <c:pt idx="8">
                  <c:v>2</c:v>
                </c:pt>
                <c:pt idx="9">
                  <c:v>2</c:v>
                </c:pt>
                <c:pt idx="10">
                  <c:v>0</c:v>
                </c:pt>
              </c:numCache>
            </c:numRef>
          </c:val>
        </c:ser>
        <c:ser>
          <c:idx val="1"/>
          <c:order val="1"/>
          <c:tx>
            <c:strRef>
              <c:f>'Tanker Graph by inspector'!$F$2</c:f>
              <c:strCache>
                <c:ptCount val="1"/>
                <c:pt idx="0">
                  <c:v>SafIns Remarks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'Tanker Graph by inspector'!$A$3:$A$13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'Tanker Graph by inspector'!$F$3:$F$13</c:f>
              <c:numCache>
                <c:formatCode>General</c:formatCode>
                <c:ptCount val="11"/>
                <c:pt idx="0">
                  <c:v>0</c:v>
                </c:pt>
                <c:pt idx="1">
                  <c:v>0</c:v>
                </c:pt>
                <c:pt idx="2">
                  <c:v>10</c:v>
                </c:pt>
                <c:pt idx="3">
                  <c:v>6</c:v>
                </c:pt>
                <c:pt idx="4">
                  <c:v>39</c:v>
                </c:pt>
                <c:pt idx="5">
                  <c:v>0</c:v>
                </c:pt>
                <c:pt idx="6">
                  <c:v>0</c:v>
                </c:pt>
                <c:pt idx="7">
                  <c:v>17</c:v>
                </c:pt>
                <c:pt idx="8">
                  <c:v>11</c:v>
                </c:pt>
                <c:pt idx="9">
                  <c:v>9</c:v>
                </c:pt>
                <c:pt idx="10">
                  <c:v>0</c:v>
                </c:pt>
              </c:numCache>
            </c:numRef>
          </c:val>
        </c:ser>
        <c:dLbls>
          <c:showLegendKey val="0"/>
          <c:showVal val="0"/>
          <c:showCatName val="0"/>
          <c:showSerName val="0"/>
          <c:showPercent val="0"/>
          <c:showBubbleSize val="0"/>
        </c:dLbls>
        <c:gapWidth val="219"/>
        <c:overlap val="-27"/>
        <c:axId val="568068520"/>
        <c:axId val="568068912"/>
      </c:barChart>
      <c:lineChart>
        <c:grouping val="standard"/>
        <c:varyColors val="0"/>
        <c:ser>
          <c:idx val="2"/>
          <c:order val="2"/>
          <c:tx>
            <c:strRef>
              <c:f>'Tanker Graph by inspector'!$G$2</c:f>
              <c:strCache>
                <c:ptCount val="1"/>
                <c:pt idx="0">
                  <c:v>SafIns Average Remarks</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'Tanker Graph by inspector'!$A$3:$A$13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'Tanker Graph by inspector'!$G$3:$G$13</c:f>
              <c:numCache>
                <c:formatCode>0.00</c:formatCode>
                <c:ptCount val="11"/>
                <c:pt idx="0">
                  <c:v>0</c:v>
                </c:pt>
                <c:pt idx="1">
                  <c:v>0</c:v>
                </c:pt>
                <c:pt idx="2">
                  <c:v>10</c:v>
                </c:pt>
                <c:pt idx="3">
                  <c:v>6</c:v>
                </c:pt>
                <c:pt idx="4">
                  <c:v>4.875</c:v>
                </c:pt>
                <c:pt idx="5">
                  <c:v>0</c:v>
                </c:pt>
                <c:pt idx="6">
                  <c:v>0</c:v>
                </c:pt>
                <c:pt idx="7">
                  <c:v>3.4</c:v>
                </c:pt>
                <c:pt idx="8">
                  <c:v>5.5</c:v>
                </c:pt>
                <c:pt idx="9">
                  <c:v>4.5</c:v>
                </c:pt>
                <c:pt idx="10">
                  <c:v>0</c:v>
                </c:pt>
              </c:numCache>
            </c:numRef>
          </c:val>
          <c:smooth val="0"/>
        </c:ser>
        <c:dLbls>
          <c:showLegendKey val="0"/>
          <c:showVal val="0"/>
          <c:showCatName val="0"/>
          <c:showSerName val="0"/>
          <c:showPercent val="0"/>
          <c:showBubbleSize val="0"/>
        </c:dLbls>
        <c:marker val="0"/>
        <c:smooth val="0"/>
        <c:axId val="568068520"/>
        <c:axId val="568068912"/>
      </c:lineChart>
      <c:catAx>
        <c:axId val="568068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68068912"/>
        <c:crosses val="autoZero"/>
        <c:auto val="1"/>
        <c:lblAlgn val="ctr"/>
        <c:lblOffset val="100"/>
        <c:noMultiLvlLbl val="0"/>
      </c:catAx>
      <c:valAx>
        <c:axId val="568068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6806852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b8951248-ba60-477b-97f9-89ba79e2ebda}"/>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it-IT"/>
              <a:t>Navigational Audit</a:t>
            </a:r>
            <a:endParaRPr lang="it-IT"/>
          </a:p>
        </c:rich>
      </c:tx>
      <c:layout/>
      <c:overlay val="0"/>
      <c:spPr>
        <a:noFill/>
        <a:ln>
          <a:noFill/>
        </a:ln>
        <a:effectLst/>
      </c:spPr>
    </c:title>
    <c:autoTitleDeleted val="0"/>
    <c:plotArea>
      <c:layout>
        <c:manualLayout>
          <c:layoutTarget val="inner"/>
          <c:xMode val="edge"/>
          <c:yMode val="edge"/>
          <c:x val="0.0707059320462247"/>
          <c:y val="0.12835472332502"/>
          <c:w val="0.901549806274216"/>
          <c:h val="0.648543594337431"/>
        </c:manualLayout>
      </c:layout>
      <c:barChart>
        <c:barDir val="col"/>
        <c:grouping val="clustered"/>
        <c:varyColors val="0"/>
        <c:ser>
          <c:idx val="0"/>
          <c:order val="0"/>
          <c:tx>
            <c:strRef>
              <c:f>'Tanker Graph by inspector'!$H$2</c:f>
              <c:strCache>
                <c:ptCount val="1"/>
                <c:pt idx="0">
                  <c:v>NavA Nr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'Tanker Graph by inspector'!$A$3:$A$13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'Tanker Graph by inspector'!$H$3:$H$13</c:f>
              <c:numCache>
                <c:formatCode>General</c:formatCode>
                <c:ptCount val="11"/>
                <c:pt idx="0">
                  <c:v>0</c:v>
                </c:pt>
                <c:pt idx="1">
                  <c:v>0</c:v>
                </c:pt>
                <c:pt idx="2">
                  <c:v>0</c:v>
                </c:pt>
                <c:pt idx="3">
                  <c:v>1</c:v>
                </c:pt>
                <c:pt idx="4">
                  <c:v>7</c:v>
                </c:pt>
                <c:pt idx="5">
                  <c:v>0</c:v>
                </c:pt>
                <c:pt idx="6">
                  <c:v>0</c:v>
                </c:pt>
                <c:pt idx="7">
                  <c:v>4</c:v>
                </c:pt>
                <c:pt idx="8">
                  <c:v>3</c:v>
                </c:pt>
                <c:pt idx="9">
                  <c:v>2</c:v>
                </c:pt>
                <c:pt idx="10">
                  <c:v>0</c:v>
                </c:pt>
              </c:numCache>
            </c:numRef>
          </c:val>
        </c:ser>
        <c:ser>
          <c:idx val="1"/>
          <c:order val="1"/>
          <c:tx>
            <c:strRef>
              <c:f>'Tanker Graph by inspector'!$I$2</c:f>
              <c:strCache>
                <c:ptCount val="1"/>
                <c:pt idx="0">
                  <c:v>NavA  Remarks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'Tanker Graph by inspector'!$A$3:$A$13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'Tanker Graph by inspector'!$I$3:$I$13</c:f>
              <c:numCache>
                <c:formatCode>General</c:formatCode>
                <c:ptCount val="11"/>
                <c:pt idx="0">
                  <c:v>0</c:v>
                </c:pt>
                <c:pt idx="1">
                  <c:v>0</c:v>
                </c:pt>
                <c:pt idx="2">
                  <c:v>4</c:v>
                </c:pt>
                <c:pt idx="3">
                  <c:v>3</c:v>
                </c:pt>
                <c:pt idx="4">
                  <c:v>21</c:v>
                </c:pt>
                <c:pt idx="5">
                  <c:v>0</c:v>
                </c:pt>
                <c:pt idx="6">
                  <c:v>0</c:v>
                </c:pt>
                <c:pt idx="7">
                  <c:v>9</c:v>
                </c:pt>
                <c:pt idx="8">
                  <c:v>7</c:v>
                </c:pt>
                <c:pt idx="9">
                  <c:v>8</c:v>
                </c:pt>
                <c:pt idx="10">
                  <c:v>0</c:v>
                </c:pt>
              </c:numCache>
            </c:numRef>
          </c:val>
        </c:ser>
        <c:dLbls>
          <c:showLegendKey val="0"/>
          <c:showVal val="0"/>
          <c:showCatName val="0"/>
          <c:showSerName val="0"/>
          <c:showPercent val="0"/>
          <c:showBubbleSize val="0"/>
        </c:dLbls>
        <c:gapWidth val="219"/>
        <c:overlap val="-27"/>
        <c:axId val="568069696"/>
        <c:axId val="568062248"/>
      </c:barChart>
      <c:lineChart>
        <c:grouping val="standard"/>
        <c:varyColors val="0"/>
        <c:ser>
          <c:idx val="2"/>
          <c:order val="2"/>
          <c:tx>
            <c:strRef>
              <c:f>'Tanker Graph by inspector'!$J$2</c:f>
              <c:strCache>
                <c:ptCount val="1"/>
                <c:pt idx="0">
                  <c:v>NavA Average Remarks</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'Tanker Graph by inspector'!$A$3:$A$13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'Tanker Graph by inspector'!$J$3:$J$13</c:f>
              <c:numCache>
                <c:formatCode>0.00</c:formatCode>
                <c:ptCount val="11"/>
                <c:pt idx="0">
                  <c:v>0</c:v>
                </c:pt>
                <c:pt idx="1">
                  <c:v>0</c:v>
                </c:pt>
                <c:pt idx="2">
                  <c:v>0</c:v>
                </c:pt>
                <c:pt idx="3">
                  <c:v>3</c:v>
                </c:pt>
                <c:pt idx="4">
                  <c:v>3</c:v>
                </c:pt>
                <c:pt idx="5">
                  <c:v>0</c:v>
                </c:pt>
                <c:pt idx="6">
                  <c:v>0</c:v>
                </c:pt>
                <c:pt idx="7">
                  <c:v>2.25</c:v>
                </c:pt>
                <c:pt idx="8">
                  <c:v>2.33333333333333</c:v>
                </c:pt>
                <c:pt idx="9">
                  <c:v>4</c:v>
                </c:pt>
                <c:pt idx="10">
                  <c:v>0</c:v>
                </c:pt>
              </c:numCache>
            </c:numRef>
          </c:val>
          <c:smooth val="0"/>
        </c:ser>
        <c:dLbls>
          <c:showLegendKey val="0"/>
          <c:showVal val="0"/>
          <c:showCatName val="0"/>
          <c:showSerName val="0"/>
          <c:showPercent val="0"/>
          <c:showBubbleSize val="0"/>
        </c:dLbls>
        <c:marker val="0"/>
        <c:smooth val="0"/>
        <c:axId val="568069696"/>
        <c:axId val="568062248"/>
      </c:lineChart>
      <c:catAx>
        <c:axId val="56806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68062248"/>
        <c:crosses val="autoZero"/>
        <c:auto val="1"/>
        <c:lblAlgn val="ctr"/>
        <c:lblOffset val="100"/>
        <c:noMultiLvlLbl val="0"/>
      </c:catAx>
      <c:valAx>
        <c:axId val="568062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68069696"/>
        <c:crosses val="autoZero"/>
        <c:crossBetween val="between"/>
      </c:valAx>
      <c:spPr>
        <a:noFill/>
        <a:ln>
          <a:noFill/>
        </a:ln>
        <a:effectLst/>
      </c:spPr>
    </c:plotArea>
    <c:legend>
      <c:legendPos val="b"/>
      <c:layout>
        <c:manualLayout>
          <c:xMode val="edge"/>
          <c:yMode val="edge"/>
          <c:x val="0.146401727236764"/>
          <c:y val="0.927727676181012"/>
          <c:w val="0.707196545526472"/>
          <c:h val="0.0646143771617117"/>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b67b1025-cde1-4044-890a-2484456114af}"/>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it-IT"/>
              <a:t>Environmental Audit </a:t>
            </a:r>
            <a:endParaRPr lang="it-IT"/>
          </a:p>
        </c:rich>
      </c:tx>
      <c:layout/>
      <c:overlay val="0"/>
      <c:spPr>
        <a:noFill/>
        <a:ln>
          <a:noFill/>
        </a:ln>
        <a:effectLst/>
      </c:spPr>
    </c:title>
    <c:autoTitleDeleted val="0"/>
    <c:plotArea>
      <c:layout/>
      <c:barChart>
        <c:barDir val="col"/>
        <c:grouping val="clustered"/>
        <c:varyColors val="0"/>
        <c:ser>
          <c:idx val="0"/>
          <c:order val="0"/>
          <c:tx>
            <c:strRef>
              <c:f>'Tanker Graph by inspector'!$K$2</c:f>
              <c:strCache>
                <c:ptCount val="1"/>
                <c:pt idx="0">
                  <c:v>EnvA  Nr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'Tanker Graph by inspector'!$A$3:$A$13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'Tanker Graph by inspector'!$K$3:$K$13</c:f>
              <c:numCache>
                <c:formatCode>General</c:formatCode>
                <c:ptCount val="11"/>
                <c:pt idx="0">
                  <c:v>0</c:v>
                </c:pt>
                <c:pt idx="1">
                  <c:v>0</c:v>
                </c:pt>
                <c:pt idx="2">
                  <c:v>0</c:v>
                </c:pt>
                <c:pt idx="3">
                  <c:v>0</c:v>
                </c:pt>
                <c:pt idx="4">
                  <c:v>4</c:v>
                </c:pt>
                <c:pt idx="5">
                  <c:v>0</c:v>
                </c:pt>
                <c:pt idx="6">
                  <c:v>0</c:v>
                </c:pt>
                <c:pt idx="7">
                  <c:v>4</c:v>
                </c:pt>
                <c:pt idx="8">
                  <c:v>2</c:v>
                </c:pt>
                <c:pt idx="9">
                  <c:v>2</c:v>
                </c:pt>
                <c:pt idx="10">
                  <c:v>0</c:v>
                </c:pt>
              </c:numCache>
            </c:numRef>
          </c:val>
        </c:ser>
        <c:ser>
          <c:idx val="1"/>
          <c:order val="1"/>
          <c:tx>
            <c:strRef>
              <c:f>'Tanker Graph by inspector'!$L$2</c:f>
              <c:strCache>
                <c:ptCount val="1"/>
                <c:pt idx="0">
                  <c:v>EnvA Remarks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'Tanker Graph by inspector'!$A$3:$A$13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'Tanker Graph by inspector'!$L$3:$L$13</c:f>
              <c:numCache>
                <c:formatCode>General</c:formatCode>
                <c:ptCount val="11"/>
                <c:pt idx="0">
                  <c:v>0</c:v>
                </c:pt>
                <c:pt idx="1">
                  <c:v>0</c:v>
                </c:pt>
                <c:pt idx="2">
                  <c:v>0</c:v>
                </c:pt>
                <c:pt idx="3">
                  <c:v>0</c:v>
                </c:pt>
                <c:pt idx="4">
                  <c:v>8</c:v>
                </c:pt>
                <c:pt idx="5">
                  <c:v>0</c:v>
                </c:pt>
                <c:pt idx="6">
                  <c:v>0</c:v>
                </c:pt>
                <c:pt idx="7">
                  <c:v>6</c:v>
                </c:pt>
                <c:pt idx="8">
                  <c:v>7</c:v>
                </c:pt>
                <c:pt idx="9">
                  <c:v>4</c:v>
                </c:pt>
                <c:pt idx="10">
                  <c:v>0</c:v>
                </c:pt>
              </c:numCache>
            </c:numRef>
          </c:val>
        </c:ser>
        <c:dLbls>
          <c:showLegendKey val="0"/>
          <c:showVal val="0"/>
          <c:showCatName val="0"/>
          <c:showSerName val="0"/>
          <c:showPercent val="0"/>
          <c:showBubbleSize val="0"/>
        </c:dLbls>
        <c:gapWidth val="219"/>
        <c:overlap val="-27"/>
        <c:axId val="589250616"/>
        <c:axId val="589255320"/>
      </c:barChart>
      <c:lineChart>
        <c:grouping val="standard"/>
        <c:varyColors val="0"/>
        <c:ser>
          <c:idx val="2"/>
          <c:order val="2"/>
          <c:tx>
            <c:strRef>
              <c:f>'Tanker Graph by inspector'!$M$2</c:f>
              <c:strCache>
                <c:ptCount val="1"/>
                <c:pt idx="0">
                  <c:v>EnvA Average Remarks</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'Tanker Graph by inspector'!$A$3:$A$13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'Tanker Graph by inspector'!$M$3:$M$13</c:f>
              <c:numCache>
                <c:formatCode>0.00</c:formatCode>
                <c:ptCount val="11"/>
                <c:pt idx="0">
                  <c:v>0</c:v>
                </c:pt>
                <c:pt idx="1">
                  <c:v>0</c:v>
                </c:pt>
                <c:pt idx="2">
                  <c:v>0</c:v>
                </c:pt>
                <c:pt idx="3">
                  <c:v>0</c:v>
                </c:pt>
                <c:pt idx="4">
                  <c:v>2</c:v>
                </c:pt>
                <c:pt idx="5">
                  <c:v>0</c:v>
                </c:pt>
                <c:pt idx="6">
                  <c:v>0</c:v>
                </c:pt>
                <c:pt idx="7">
                  <c:v>1.5</c:v>
                </c:pt>
                <c:pt idx="8">
                  <c:v>3.5</c:v>
                </c:pt>
                <c:pt idx="9">
                  <c:v>2</c:v>
                </c:pt>
                <c:pt idx="10">
                  <c:v>0</c:v>
                </c:pt>
              </c:numCache>
            </c:numRef>
          </c:val>
          <c:smooth val="0"/>
        </c:ser>
        <c:dLbls>
          <c:showLegendKey val="0"/>
          <c:showVal val="0"/>
          <c:showCatName val="0"/>
          <c:showSerName val="0"/>
          <c:showPercent val="0"/>
          <c:showBubbleSize val="0"/>
        </c:dLbls>
        <c:marker val="0"/>
        <c:smooth val="0"/>
        <c:axId val="589250616"/>
        <c:axId val="589255320"/>
      </c:lineChart>
      <c:catAx>
        <c:axId val="589250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9255320"/>
        <c:crosses val="autoZero"/>
        <c:auto val="1"/>
        <c:lblAlgn val="ctr"/>
        <c:lblOffset val="100"/>
        <c:noMultiLvlLbl val="0"/>
      </c:catAx>
      <c:valAx>
        <c:axId val="589255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925061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5bb40c1-d418-4464-a39c-1296983130fb}"/>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it-IT"/>
              <a:t>Cargo Operational Audit</a:t>
            </a:r>
            <a:endParaRPr lang="it-IT"/>
          </a:p>
        </c:rich>
      </c:tx>
      <c:layout/>
      <c:overlay val="0"/>
      <c:spPr>
        <a:noFill/>
        <a:ln>
          <a:noFill/>
        </a:ln>
        <a:effectLst/>
      </c:spPr>
    </c:title>
    <c:autoTitleDeleted val="0"/>
    <c:plotArea>
      <c:layout/>
      <c:barChart>
        <c:barDir val="col"/>
        <c:grouping val="clustered"/>
        <c:varyColors val="0"/>
        <c:ser>
          <c:idx val="0"/>
          <c:order val="0"/>
          <c:tx>
            <c:strRef>
              <c:f>'Tanker Graph by inspector'!$N$2</c:f>
              <c:strCache>
                <c:ptCount val="1"/>
                <c:pt idx="0">
                  <c:v>CarOpA   Nr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'Tanker Graph by inspector'!$A$3:$A$13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'Tanker Graph by inspector'!$N$3:$N$13</c:f>
              <c:numCache>
                <c:formatCode>General</c:formatCode>
                <c:ptCount val="11"/>
                <c:pt idx="0">
                  <c:v>0</c:v>
                </c:pt>
                <c:pt idx="1">
                  <c:v>0</c:v>
                </c:pt>
                <c:pt idx="2">
                  <c:v>0</c:v>
                </c:pt>
                <c:pt idx="3">
                  <c:v>0</c:v>
                </c:pt>
                <c:pt idx="4">
                  <c:v>5</c:v>
                </c:pt>
                <c:pt idx="5">
                  <c:v>0</c:v>
                </c:pt>
                <c:pt idx="6">
                  <c:v>1</c:v>
                </c:pt>
                <c:pt idx="7">
                  <c:v>4</c:v>
                </c:pt>
                <c:pt idx="8">
                  <c:v>3</c:v>
                </c:pt>
                <c:pt idx="9">
                  <c:v>2</c:v>
                </c:pt>
                <c:pt idx="10">
                  <c:v>0</c:v>
                </c:pt>
              </c:numCache>
            </c:numRef>
          </c:val>
        </c:ser>
        <c:ser>
          <c:idx val="1"/>
          <c:order val="1"/>
          <c:tx>
            <c:strRef>
              <c:f>'Tanker Graph by inspector'!$O$2</c:f>
              <c:strCache>
                <c:ptCount val="1"/>
                <c:pt idx="0">
                  <c:v>CarOpA Remarks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'Tanker Graph by inspector'!$A$3:$A$13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'Tanker Graph by inspector'!$O$3:$O$13</c:f>
              <c:numCache>
                <c:formatCode>General</c:formatCode>
                <c:ptCount val="11"/>
                <c:pt idx="0">
                  <c:v>0</c:v>
                </c:pt>
                <c:pt idx="1">
                  <c:v>0</c:v>
                </c:pt>
                <c:pt idx="2">
                  <c:v>0</c:v>
                </c:pt>
                <c:pt idx="3">
                  <c:v>0</c:v>
                </c:pt>
                <c:pt idx="4">
                  <c:v>12</c:v>
                </c:pt>
                <c:pt idx="5">
                  <c:v>0</c:v>
                </c:pt>
                <c:pt idx="6">
                  <c:v>2</c:v>
                </c:pt>
                <c:pt idx="7">
                  <c:v>10</c:v>
                </c:pt>
                <c:pt idx="8">
                  <c:v>9</c:v>
                </c:pt>
                <c:pt idx="9">
                  <c:v>5</c:v>
                </c:pt>
                <c:pt idx="10">
                  <c:v>0</c:v>
                </c:pt>
              </c:numCache>
            </c:numRef>
          </c:val>
        </c:ser>
        <c:dLbls>
          <c:showLegendKey val="0"/>
          <c:showVal val="0"/>
          <c:showCatName val="0"/>
          <c:showSerName val="0"/>
          <c:showPercent val="0"/>
          <c:showBubbleSize val="0"/>
        </c:dLbls>
        <c:gapWidth val="219"/>
        <c:overlap val="-27"/>
        <c:axId val="589254536"/>
        <c:axId val="589254928"/>
      </c:barChart>
      <c:lineChart>
        <c:grouping val="standard"/>
        <c:varyColors val="0"/>
        <c:ser>
          <c:idx val="2"/>
          <c:order val="2"/>
          <c:tx>
            <c:strRef>
              <c:f>'Tanker Graph by inspector'!$P$2</c:f>
              <c:strCache>
                <c:ptCount val="1"/>
                <c:pt idx="0">
                  <c:v>CarOpA Average Remarks</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'Tanker Graph by inspector'!$A$3:$A$13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'Tanker Graph by inspector'!$P$3:$P$13</c:f>
              <c:numCache>
                <c:formatCode>0.00</c:formatCode>
                <c:ptCount val="11"/>
                <c:pt idx="0">
                  <c:v>0</c:v>
                </c:pt>
                <c:pt idx="1">
                  <c:v>0</c:v>
                </c:pt>
                <c:pt idx="2">
                  <c:v>0</c:v>
                </c:pt>
                <c:pt idx="3">
                  <c:v>0</c:v>
                </c:pt>
                <c:pt idx="4">
                  <c:v>2.4</c:v>
                </c:pt>
                <c:pt idx="5">
                  <c:v>0</c:v>
                </c:pt>
                <c:pt idx="6">
                  <c:v>2</c:v>
                </c:pt>
                <c:pt idx="7">
                  <c:v>2.5</c:v>
                </c:pt>
                <c:pt idx="8">
                  <c:v>3</c:v>
                </c:pt>
                <c:pt idx="9">
                  <c:v>2.5</c:v>
                </c:pt>
                <c:pt idx="10">
                  <c:v>0</c:v>
                </c:pt>
              </c:numCache>
            </c:numRef>
          </c:val>
          <c:smooth val="0"/>
        </c:ser>
        <c:dLbls>
          <c:showLegendKey val="0"/>
          <c:showVal val="0"/>
          <c:showCatName val="0"/>
          <c:showSerName val="0"/>
          <c:showPercent val="0"/>
          <c:showBubbleSize val="0"/>
        </c:dLbls>
        <c:marker val="0"/>
        <c:smooth val="0"/>
        <c:axId val="589254536"/>
        <c:axId val="589254928"/>
      </c:lineChart>
      <c:catAx>
        <c:axId val="589254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9254928"/>
        <c:crosses val="autoZero"/>
        <c:auto val="1"/>
        <c:lblAlgn val="ctr"/>
        <c:lblOffset val="100"/>
        <c:noMultiLvlLbl val="0"/>
      </c:catAx>
      <c:valAx>
        <c:axId val="58925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925453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17214cd-456f-4702-99a1-f4ddab573637}"/>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it-IT"/>
              <a:t>ISPS Audit</a:t>
            </a:r>
            <a:endParaRPr lang="it-IT"/>
          </a:p>
        </c:rich>
      </c:tx>
      <c:layout/>
      <c:overlay val="0"/>
      <c:spPr>
        <a:noFill/>
        <a:ln>
          <a:noFill/>
        </a:ln>
        <a:effectLst/>
      </c:spPr>
    </c:title>
    <c:autoTitleDeleted val="0"/>
    <c:plotArea>
      <c:layout/>
      <c:barChart>
        <c:barDir val="col"/>
        <c:grouping val="clustered"/>
        <c:varyColors val="0"/>
        <c:ser>
          <c:idx val="0"/>
          <c:order val="0"/>
          <c:tx>
            <c:strRef>
              <c:f>'Tanker Graph by inspector'!$Q$2</c:f>
              <c:strCache>
                <c:ptCount val="1"/>
                <c:pt idx="0">
                  <c:v>ISPSA   Nr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'Tanker Graph by inspector'!$A$3:$A$13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'Tanker Graph by inspector'!$Q$3:$Q$13</c:f>
              <c:numCache>
                <c:formatCode>General</c:formatCode>
                <c:ptCount val="11"/>
                <c:pt idx="0">
                  <c:v>0</c:v>
                </c:pt>
                <c:pt idx="1">
                  <c:v>0</c:v>
                </c:pt>
                <c:pt idx="2">
                  <c:v>1</c:v>
                </c:pt>
                <c:pt idx="3">
                  <c:v>1</c:v>
                </c:pt>
                <c:pt idx="4">
                  <c:v>9</c:v>
                </c:pt>
                <c:pt idx="5">
                  <c:v>1</c:v>
                </c:pt>
                <c:pt idx="6">
                  <c:v>1</c:v>
                </c:pt>
                <c:pt idx="7">
                  <c:v>4</c:v>
                </c:pt>
                <c:pt idx="8">
                  <c:v>3</c:v>
                </c:pt>
                <c:pt idx="9">
                  <c:v>2</c:v>
                </c:pt>
                <c:pt idx="10">
                  <c:v>0</c:v>
                </c:pt>
              </c:numCache>
            </c:numRef>
          </c:val>
        </c:ser>
        <c:ser>
          <c:idx val="1"/>
          <c:order val="1"/>
          <c:tx>
            <c:strRef>
              <c:f>'Tanker Graph by inspector'!$R$2</c:f>
              <c:strCache>
                <c:ptCount val="1"/>
                <c:pt idx="0">
                  <c:v>ISPSA Remarks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'Tanker Graph by inspector'!$A$3:$A$13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'Tanker Graph by inspector'!$R$3:$R$13</c:f>
              <c:numCache>
                <c:formatCode>General</c:formatCode>
                <c:ptCount val="11"/>
                <c:pt idx="0">
                  <c:v>0</c:v>
                </c:pt>
                <c:pt idx="1">
                  <c:v>0</c:v>
                </c:pt>
                <c:pt idx="2">
                  <c:v>0</c:v>
                </c:pt>
                <c:pt idx="3">
                  <c:v>0</c:v>
                </c:pt>
                <c:pt idx="4">
                  <c:v>2</c:v>
                </c:pt>
                <c:pt idx="5">
                  <c:v>0</c:v>
                </c:pt>
                <c:pt idx="6">
                  <c:v>0</c:v>
                </c:pt>
                <c:pt idx="7">
                  <c:v>0</c:v>
                </c:pt>
                <c:pt idx="8">
                  <c:v>0</c:v>
                </c:pt>
                <c:pt idx="9">
                  <c:v>0</c:v>
                </c:pt>
                <c:pt idx="10">
                  <c:v>0</c:v>
                </c:pt>
              </c:numCache>
            </c:numRef>
          </c:val>
        </c:ser>
        <c:dLbls>
          <c:showLegendKey val="0"/>
          <c:showVal val="0"/>
          <c:showCatName val="0"/>
          <c:showSerName val="0"/>
          <c:showPercent val="0"/>
          <c:showBubbleSize val="0"/>
        </c:dLbls>
        <c:gapWidth val="219"/>
        <c:overlap val="-27"/>
        <c:axId val="589253360"/>
        <c:axId val="589258064"/>
      </c:barChart>
      <c:lineChart>
        <c:grouping val="standard"/>
        <c:varyColors val="0"/>
        <c:ser>
          <c:idx val="2"/>
          <c:order val="2"/>
          <c:tx>
            <c:strRef>
              <c:f>'Tanker Graph by inspector'!$S$2</c:f>
              <c:strCache>
                <c:ptCount val="1"/>
                <c:pt idx="0">
                  <c:v>ISPSA Average Remarks</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'Tanker Graph by inspector'!$A$3:$A$13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'Tanker Graph by inspector'!$S$3:$S$13</c:f>
              <c:numCache>
                <c:formatCode>0.00</c:formatCode>
                <c:ptCount val="11"/>
                <c:pt idx="0">
                  <c:v>0</c:v>
                </c:pt>
                <c:pt idx="1">
                  <c:v>0</c:v>
                </c:pt>
                <c:pt idx="2">
                  <c:v>0</c:v>
                </c:pt>
                <c:pt idx="3">
                  <c:v>0</c:v>
                </c:pt>
                <c:pt idx="4">
                  <c:v>0.222222222222222</c:v>
                </c:pt>
                <c:pt idx="5">
                  <c:v>0</c:v>
                </c:pt>
                <c:pt idx="6">
                  <c:v>0</c:v>
                </c:pt>
                <c:pt idx="7">
                  <c:v>0</c:v>
                </c:pt>
                <c:pt idx="8">
                  <c:v>0</c:v>
                </c:pt>
                <c:pt idx="9">
                  <c:v>0</c:v>
                </c:pt>
                <c:pt idx="10">
                  <c:v>0</c:v>
                </c:pt>
              </c:numCache>
            </c:numRef>
          </c:val>
          <c:smooth val="0"/>
        </c:ser>
        <c:dLbls>
          <c:showLegendKey val="0"/>
          <c:showVal val="0"/>
          <c:showCatName val="0"/>
          <c:showSerName val="0"/>
          <c:showPercent val="0"/>
          <c:showBubbleSize val="0"/>
        </c:dLbls>
        <c:marker val="0"/>
        <c:smooth val="0"/>
        <c:axId val="589253360"/>
        <c:axId val="589258064"/>
      </c:lineChart>
      <c:catAx>
        <c:axId val="58925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9258064"/>
        <c:crosses val="autoZero"/>
        <c:auto val="1"/>
        <c:lblAlgn val="ctr"/>
        <c:lblOffset val="100"/>
        <c:noMultiLvlLbl val="0"/>
      </c:catAx>
      <c:valAx>
        <c:axId val="58925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9253360"/>
        <c:crosses val="autoZero"/>
        <c:crossBetween val="between"/>
        <c:majorUnit val="1"/>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91e82f7-0d57-484f-89ec-b266391d2165}"/>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it-IT"/>
              <a:t>Mooring</a:t>
            </a:r>
            <a:r>
              <a:rPr lang="it-IT" baseline="0"/>
              <a:t> Audit</a:t>
            </a:r>
            <a:r>
              <a:rPr lang="it-IT"/>
              <a:t> Audit</a:t>
            </a:r>
            <a:endParaRPr lang="it-IT"/>
          </a:p>
        </c:rich>
      </c:tx>
      <c:layout/>
      <c:overlay val="0"/>
      <c:spPr>
        <a:noFill/>
        <a:ln>
          <a:noFill/>
        </a:ln>
        <a:effectLst/>
      </c:spPr>
    </c:title>
    <c:autoTitleDeleted val="0"/>
    <c:plotArea>
      <c:layout/>
      <c:barChart>
        <c:barDir val="col"/>
        <c:grouping val="clustered"/>
        <c:varyColors val="0"/>
        <c:ser>
          <c:idx val="0"/>
          <c:order val="0"/>
          <c:tx>
            <c:strRef>
              <c:f>'Tanker Graph by inspector'!$T$2</c:f>
              <c:strCache>
                <c:ptCount val="1"/>
                <c:pt idx="0">
                  <c:v>MoorA   Nr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'Tanker Graph by inspector'!$A$3:$A$13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'Tanker Graph by inspector'!$T$3:$T$13</c:f>
              <c:numCache>
                <c:formatCode>General</c:formatCode>
                <c:ptCount val="11"/>
                <c:pt idx="0">
                  <c:v>0</c:v>
                </c:pt>
                <c:pt idx="1">
                  <c:v>0</c:v>
                </c:pt>
                <c:pt idx="2">
                  <c:v>0</c:v>
                </c:pt>
                <c:pt idx="3">
                  <c:v>0</c:v>
                </c:pt>
                <c:pt idx="4">
                  <c:v>5</c:v>
                </c:pt>
                <c:pt idx="5">
                  <c:v>0</c:v>
                </c:pt>
                <c:pt idx="6">
                  <c:v>1</c:v>
                </c:pt>
                <c:pt idx="7">
                  <c:v>4</c:v>
                </c:pt>
                <c:pt idx="8">
                  <c:v>2</c:v>
                </c:pt>
                <c:pt idx="9">
                  <c:v>2</c:v>
                </c:pt>
                <c:pt idx="10">
                  <c:v>0</c:v>
                </c:pt>
              </c:numCache>
            </c:numRef>
          </c:val>
        </c:ser>
        <c:ser>
          <c:idx val="1"/>
          <c:order val="1"/>
          <c:tx>
            <c:strRef>
              <c:f>'Tanker Graph by inspector'!$U$2</c:f>
              <c:strCache>
                <c:ptCount val="1"/>
                <c:pt idx="0">
                  <c:v>MoorA Remarks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'Tanker Graph by inspector'!$A$3:$A$13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'Tanker Graph by inspector'!$U$3:$U$13</c:f>
              <c:numCache>
                <c:formatCode>General</c:formatCode>
                <c:ptCount val="11"/>
                <c:pt idx="0">
                  <c:v>0</c:v>
                </c:pt>
                <c:pt idx="1">
                  <c:v>0</c:v>
                </c:pt>
                <c:pt idx="2">
                  <c:v>0</c:v>
                </c:pt>
                <c:pt idx="3">
                  <c:v>0</c:v>
                </c:pt>
                <c:pt idx="4">
                  <c:v>11</c:v>
                </c:pt>
                <c:pt idx="5">
                  <c:v>0</c:v>
                </c:pt>
                <c:pt idx="6">
                  <c:v>1</c:v>
                </c:pt>
                <c:pt idx="7">
                  <c:v>5</c:v>
                </c:pt>
                <c:pt idx="8">
                  <c:v>5</c:v>
                </c:pt>
                <c:pt idx="9">
                  <c:v>4</c:v>
                </c:pt>
                <c:pt idx="10">
                  <c:v>0</c:v>
                </c:pt>
              </c:numCache>
            </c:numRef>
          </c:val>
        </c:ser>
        <c:dLbls>
          <c:showLegendKey val="0"/>
          <c:showVal val="0"/>
          <c:showCatName val="0"/>
          <c:showSerName val="0"/>
          <c:showPercent val="0"/>
          <c:showBubbleSize val="0"/>
        </c:dLbls>
        <c:gapWidth val="219"/>
        <c:overlap val="-27"/>
        <c:axId val="589253360"/>
        <c:axId val="589258064"/>
      </c:barChart>
      <c:lineChart>
        <c:grouping val="standard"/>
        <c:varyColors val="0"/>
        <c:ser>
          <c:idx val="2"/>
          <c:order val="2"/>
          <c:tx>
            <c:strRef>
              <c:f>'Tanker Graph by inspector'!$V$2</c:f>
              <c:strCache>
                <c:ptCount val="1"/>
                <c:pt idx="0">
                  <c:v>MoorA Average Remarks</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'Tanker Graph by inspector'!$A$3:$A$13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'Tanker Graph by inspector'!$V$3:$V$13</c:f>
              <c:numCache>
                <c:formatCode>0.00</c:formatCode>
                <c:ptCount val="11"/>
                <c:pt idx="0">
                  <c:v>0</c:v>
                </c:pt>
                <c:pt idx="1">
                  <c:v>0</c:v>
                </c:pt>
                <c:pt idx="2">
                  <c:v>0</c:v>
                </c:pt>
                <c:pt idx="3">
                  <c:v>0</c:v>
                </c:pt>
                <c:pt idx="4">
                  <c:v>2.2</c:v>
                </c:pt>
                <c:pt idx="5">
                  <c:v>0</c:v>
                </c:pt>
                <c:pt idx="6">
                  <c:v>1</c:v>
                </c:pt>
                <c:pt idx="7">
                  <c:v>1.25</c:v>
                </c:pt>
                <c:pt idx="8">
                  <c:v>2.5</c:v>
                </c:pt>
                <c:pt idx="9">
                  <c:v>2</c:v>
                </c:pt>
                <c:pt idx="10">
                  <c:v>0</c:v>
                </c:pt>
              </c:numCache>
            </c:numRef>
          </c:val>
          <c:smooth val="0"/>
        </c:ser>
        <c:dLbls>
          <c:showLegendKey val="0"/>
          <c:showVal val="0"/>
          <c:showCatName val="0"/>
          <c:showSerName val="0"/>
          <c:showPercent val="0"/>
          <c:showBubbleSize val="0"/>
        </c:dLbls>
        <c:marker val="0"/>
        <c:smooth val="0"/>
        <c:axId val="589253360"/>
        <c:axId val="589258064"/>
      </c:lineChart>
      <c:catAx>
        <c:axId val="58925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9258064"/>
        <c:crosses val="autoZero"/>
        <c:auto val="1"/>
        <c:lblAlgn val="ctr"/>
        <c:lblOffset val="100"/>
        <c:noMultiLvlLbl val="0"/>
      </c:catAx>
      <c:valAx>
        <c:axId val="58925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9253360"/>
        <c:crosses val="autoZero"/>
        <c:crossBetween val="between"/>
        <c:majorUnit val="1"/>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d16ad96b-b44e-4857-a975-04ab466a567a}"/>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it-IT"/>
              <a:t>Internal</a:t>
            </a:r>
            <a:r>
              <a:rPr lang="it-IT" baseline="0"/>
              <a:t> Audit</a:t>
            </a:r>
            <a:endParaRPr lang="it-IT"/>
          </a:p>
        </c:rich>
      </c:tx>
      <c:layout/>
      <c:overlay val="0"/>
      <c:spPr>
        <a:noFill/>
        <a:ln>
          <a:noFill/>
        </a:ln>
        <a:effectLst/>
      </c:spPr>
    </c:title>
    <c:autoTitleDeleted val="0"/>
    <c:plotArea>
      <c:layout>
        <c:manualLayout>
          <c:layoutTarget val="inner"/>
          <c:xMode val="edge"/>
          <c:yMode val="edge"/>
          <c:x val="0.049302357732007"/>
          <c:y val="0.112357698967059"/>
          <c:w val="0.928491160827119"/>
          <c:h val="0.654026532685308"/>
        </c:manualLayout>
      </c:layout>
      <c:barChart>
        <c:barDir val="col"/>
        <c:grouping val="clustered"/>
        <c:varyColors val="0"/>
        <c:ser>
          <c:idx val="0"/>
          <c:order val="0"/>
          <c:tx>
            <c:strRef>
              <c:f>'Dry Graph By Ispector '!$B$2</c:f>
              <c:strCache>
                <c:ptCount val="1"/>
                <c:pt idx="0">
                  <c:v>IntA  Nr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'Dry Graph By Ispector '!$A$3:$A$13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'Dry Graph By Ispector '!$B$3:$B$13</c:f>
              <c:numCache>
                <c:formatCode>General</c:formatCode>
                <c:ptCount val="11"/>
                <c:pt idx="0">
                  <c:v>0</c:v>
                </c:pt>
                <c:pt idx="1">
                  <c:v>0</c:v>
                </c:pt>
                <c:pt idx="2">
                  <c:v>0</c:v>
                </c:pt>
                <c:pt idx="3">
                  <c:v>2</c:v>
                </c:pt>
                <c:pt idx="4">
                  <c:v>0</c:v>
                </c:pt>
                <c:pt idx="5">
                  <c:v>0</c:v>
                </c:pt>
                <c:pt idx="6">
                  <c:v>0</c:v>
                </c:pt>
                <c:pt idx="7">
                  <c:v>3</c:v>
                </c:pt>
                <c:pt idx="8">
                  <c:v>1</c:v>
                </c:pt>
                <c:pt idx="9">
                  <c:v>0</c:v>
                </c:pt>
                <c:pt idx="10">
                  <c:v>1</c:v>
                </c:pt>
              </c:numCache>
            </c:numRef>
          </c:val>
        </c:ser>
        <c:ser>
          <c:idx val="1"/>
          <c:order val="1"/>
          <c:tx>
            <c:strRef>
              <c:f>'Dry Graph By Ispector '!$C$2</c:f>
              <c:strCache>
                <c:ptCount val="1"/>
                <c:pt idx="0">
                  <c:v>IntA Remarks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'Dry Graph By Ispector '!$A$3:$A$13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'Dry Graph By Ispector '!$C$3:$C$13</c:f>
              <c:numCache>
                <c:formatCode>General</c:formatCode>
                <c:ptCount val="11"/>
                <c:pt idx="0">
                  <c:v>0</c:v>
                </c:pt>
                <c:pt idx="1">
                  <c:v>0</c:v>
                </c:pt>
                <c:pt idx="2">
                  <c:v>0</c:v>
                </c:pt>
                <c:pt idx="3">
                  <c:v>6</c:v>
                </c:pt>
                <c:pt idx="4">
                  <c:v>0</c:v>
                </c:pt>
                <c:pt idx="5">
                  <c:v>0</c:v>
                </c:pt>
                <c:pt idx="6">
                  <c:v>0</c:v>
                </c:pt>
                <c:pt idx="7">
                  <c:v>12</c:v>
                </c:pt>
                <c:pt idx="8">
                  <c:v>6</c:v>
                </c:pt>
                <c:pt idx="9">
                  <c:v>0</c:v>
                </c:pt>
                <c:pt idx="10">
                  <c:v>3</c:v>
                </c:pt>
              </c:numCache>
            </c:numRef>
          </c:val>
        </c:ser>
        <c:dLbls>
          <c:showLegendKey val="0"/>
          <c:showVal val="0"/>
          <c:showCatName val="0"/>
          <c:showSerName val="0"/>
          <c:showPercent val="0"/>
          <c:showBubbleSize val="0"/>
        </c:dLbls>
        <c:gapWidth val="219"/>
        <c:overlap val="-27"/>
        <c:axId val="589251400"/>
        <c:axId val="589256104"/>
      </c:barChart>
      <c:lineChart>
        <c:grouping val="standard"/>
        <c:varyColors val="0"/>
        <c:ser>
          <c:idx val="2"/>
          <c:order val="2"/>
          <c:tx>
            <c:strRef>
              <c:f>'Dry Graph By Ispector '!$D$2</c:f>
              <c:strCache>
                <c:ptCount val="1"/>
                <c:pt idx="0">
                  <c:v>IntA Average Remarks</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'Dry Graph By Ispector '!$A$3:$A$13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'Dry Graph By Ispector '!$D$3:$D$13</c:f>
              <c:numCache>
                <c:formatCode>0.00</c:formatCode>
                <c:ptCount val="11"/>
                <c:pt idx="0">
                  <c:v>0</c:v>
                </c:pt>
                <c:pt idx="1">
                  <c:v>0</c:v>
                </c:pt>
                <c:pt idx="2">
                  <c:v>0</c:v>
                </c:pt>
                <c:pt idx="3">
                  <c:v>3</c:v>
                </c:pt>
                <c:pt idx="4">
                  <c:v>0</c:v>
                </c:pt>
                <c:pt idx="5">
                  <c:v>0</c:v>
                </c:pt>
                <c:pt idx="6">
                  <c:v>0</c:v>
                </c:pt>
                <c:pt idx="7">
                  <c:v>4</c:v>
                </c:pt>
                <c:pt idx="8">
                  <c:v>6</c:v>
                </c:pt>
                <c:pt idx="9">
                  <c:v>0</c:v>
                </c:pt>
                <c:pt idx="10">
                  <c:v>3</c:v>
                </c:pt>
              </c:numCache>
            </c:numRef>
          </c:val>
          <c:smooth val="0"/>
        </c:ser>
        <c:dLbls>
          <c:showLegendKey val="0"/>
          <c:showVal val="0"/>
          <c:showCatName val="0"/>
          <c:showSerName val="0"/>
          <c:showPercent val="0"/>
          <c:showBubbleSize val="0"/>
        </c:dLbls>
        <c:marker val="0"/>
        <c:smooth val="0"/>
        <c:axId val="589251400"/>
        <c:axId val="589256104"/>
      </c:lineChart>
      <c:catAx>
        <c:axId val="589251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9256104"/>
        <c:crosses val="autoZero"/>
        <c:auto val="1"/>
        <c:lblAlgn val="ctr"/>
        <c:lblOffset val="100"/>
        <c:noMultiLvlLbl val="0"/>
      </c:catAx>
      <c:valAx>
        <c:axId val="589256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925140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1637e640-6c73-42f1-928c-b84b724d176e}"/>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it-IT"/>
              <a:t>Safety Inpsection</a:t>
            </a:r>
            <a:endParaRPr lang="it-IT"/>
          </a:p>
        </c:rich>
      </c:tx>
      <c:layout/>
      <c:overlay val="0"/>
      <c:spPr>
        <a:noFill/>
        <a:ln>
          <a:noFill/>
        </a:ln>
        <a:effectLst/>
      </c:spPr>
    </c:title>
    <c:autoTitleDeleted val="0"/>
    <c:plotArea>
      <c:layout/>
      <c:barChart>
        <c:barDir val="col"/>
        <c:grouping val="clustered"/>
        <c:varyColors val="0"/>
        <c:ser>
          <c:idx val="0"/>
          <c:order val="0"/>
          <c:tx>
            <c:strRef>
              <c:f>'Dry Graph By Ispector '!$E$2</c:f>
              <c:strCache>
                <c:ptCount val="1"/>
                <c:pt idx="0">
                  <c:v>SafIns Nr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'Dry Graph By Ispector '!$A$3:$A$13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'Dry Graph By Ispector '!$E$3:$E$13</c:f>
              <c:numCache>
                <c:formatCode>General</c:formatCode>
                <c:ptCount val="11"/>
                <c:pt idx="0">
                  <c:v>0</c:v>
                </c:pt>
                <c:pt idx="1">
                  <c:v>0</c:v>
                </c:pt>
                <c:pt idx="2">
                  <c:v>0</c:v>
                </c:pt>
                <c:pt idx="3">
                  <c:v>0</c:v>
                </c:pt>
                <c:pt idx="4">
                  <c:v>0</c:v>
                </c:pt>
                <c:pt idx="5">
                  <c:v>0</c:v>
                </c:pt>
                <c:pt idx="6">
                  <c:v>0</c:v>
                </c:pt>
                <c:pt idx="7">
                  <c:v>1</c:v>
                </c:pt>
                <c:pt idx="8">
                  <c:v>1</c:v>
                </c:pt>
                <c:pt idx="9">
                  <c:v>0</c:v>
                </c:pt>
                <c:pt idx="10">
                  <c:v>1</c:v>
                </c:pt>
              </c:numCache>
            </c:numRef>
          </c:val>
        </c:ser>
        <c:ser>
          <c:idx val="1"/>
          <c:order val="1"/>
          <c:tx>
            <c:strRef>
              <c:f>'Dry Graph By Ispector '!$F$2</c:f>
              <c:strCache>
                <c:ptCount val="1"/>
                <c:pt idx="0">
                  <c:v>SafIns Remarks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'Dry Graph By Ispector '!$A$3:$A$13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'Dry Graph By Ispector '!$F$3:$F$13</c:f>
              <c:numCache>
                <c:formatCode>General</c:formatCode>
                <c:ptCount val="11"/>
                <c:pt idx="0">
                  <c:v>0</c:v>
                </c:pt>
                <c:pt idx="1">
                  <c:v>0</c:v>
                </c:pt>
                <c:pt idx="2">
                  <c:v>0</c:v>
                </c:pt>
                <c:pt idx="3">
                  <c:v>0</c:v>
                </c:pt>
                <c:pt idx="4">
                  <c:v>0</c:v>
                </c:pt>
                <c:pt idx="5">
                  <c:v>0</c:v>
                </c:pt>
                <c:pt idx="6">
                  <c:v>0</c:v>
                </c:pt>
                <c:pt idx="7">
                  <c:v>2</c:v>
                </c:pt>
                <c:pt idx="8">
                  <c:v>7</c:v>
                </c:pt>
                <c:pt idx="9">
                  <c:v>0</c:v>
                </c:pt>
                <c:pt idx="10">
                  <c:v>5</c:v>
                </c:pt>
              </c:numCache>
            </c:numRef>
          </c:val>
        </c:ser>
        <c:dLbls>
          <c:showLegendKey val="0"/>
          <c:showVal val="0"/>
          <c:showCatName val="0"/>
          <c:showSerName val="0"/>
          <c:showPercent val="0"/>
          <c:showBubbleSize val="0"/>
        </c:dLbls>
        <c:gapWidth val="219"/>
        <c:overlap val="-27"/>
        <c:axId val="589256496"/>
        <c:axId val="589252184"/>
      </c:barChart>
      <c:lineChart>
        <c:grouping val="standard"/>
        <c:varyColors val="0"/>
        <c:ser>
          <c:idx val="2"/>
          <c:order val="2"/>
          <c:tx>
            <c:strRef>
              <c:f>'Dry Graph By Ispector '!$G$2</c:f>
              <c:strCache>
                <c:ptCount val="1"/>
                <c:pt idx="0">
                  <c:v>SafIns Average Remarks</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'Dry Graph By Ispector '!$A$3:$A$13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'Dry Graph By Ispector '!$G$3:$G$13</c:f>
              <c:numCache>
                <c:formatCode>0.00</c:formatCode>
                <c:ptCount val="11"/>
                <c:pt idx="0">
                  <c:v>0</c:v>
                </c:pt>
                <c:pt idx="1">
                  <c:v>0</c:v>
                </c:pt>
                <c:pt idx="2">
                  <c:v>0</c:v>
                </c:pt>
                <c:pt idx="3">
                  <c:v>0</c:v>
                </c:pt>
                <c:pt idx="4">
                  <c:v>0</c:v>
                </c:pt>
                <c:pt idx="5">
                  <c:v>0</c:v>
                </c:pt>
                <c:pt idx="6">
                  <c:v>0</c:v>
                </c:pt>
                <c:pt idx="7">
                  <c:v>2</c:v>
                </c:pt>
                <c:pt idx="8">
                  <c:v>7</c:v>
                </c:pt>
                <c:pt idx="9">
                  <c:v>0</c:v>
                </c:pt>
                <c:pt idx="10">
                  <c:v>5</c:v>
                </c:pt>
              </c:numCache>
            </c:numRef>
          </c:val>
          <c:smooth val="0"/>
        </c:ser>
        <c:dLbls>
          <c:showLegendKey val="0"/>
          <c:showVal val="0"/>
          <c:showCatName val="0"/>
          <c:showSerName val="0"/>
          <c:showPercent val="0"/>
          <c:showBubbleSize val="0"/>
        </c:dLbls>
        <c:marker val="0"/>
        <c:smooth val="0"/>
        <c:axId val="589256496"/>
        <c:axId val="589252184"/>
      </c:lineChart>
      <c:catAx>
        <c:axId val="58925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9252184"/>
        <c:crosses val="autoZero"/>
        <c:auto val="1"/>
        <c:lblAlgn val="ctr"/>
        <c:lblOffset val="100"/>
        <c:noMultiLvlLbl val="0"/>
      </c:catAx>
      <c:valAx>
        <c:axId val="589252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925649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f64e330-1799-4eef-9ce3-00fb388bf46d}"/>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it-IT"/>
              <a:t>Navigational Audit</a:t>
            </a:r>
            <a:endParaRPr lang="it-IT"/>
          </a:p>
        </c:rich>
      </c:tx>
      <c:layout/>
      <c:overlay val="0"/>
      <c:spPr>
        <a:noFill/>
        <a:ln>
          <a:noFill/>
        </a:ln>
        <a:effectLst/>
      </c:spPr>
    </c:title>
    <c:autoTitleDeleted val="0"/>
    <c:plotArea>
      <c:layout>
        <c:manualLayout>
          <c:layoutTarget val="inner"/>
          <c:xMode val="edge"/>
          <c:yMode val="edge"/>
          <c:x val="0.0761216532006606"/>
          <c:y val="0.13984144839038"/>
          <c:w val="0.901549806274216"/>
          <c:h val="0.612529106130641"/>
        </c:manualLayout>
      </c:layout>
      <c:barChart>
        <c:barDir val="col"/>
        <c:grouping val="clustered"/>
        <c:varyColors val="0"/>
        <c:ser>
          <c:idx val="0"/>
          <c:order val="0"/>
          <c:tx>
            <c:strRef>
              <c:f>'Dry Graph By Ispector '!$H$2</c:f>
              <c:strCache>
                <c:ptCount val="1"/>
                <c:pt idx="0">
                  <c:v>NavA Nr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'Dry Graph By Ispector '!$A$3:$A$13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'Dry Graph By Ispector '!$H$3:$H$13</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er>
        <c:ser>
          <c:idx val="1"/>
          <c:order val="1"/>
          <c:tx>
            <c:strRef>
              <c:f>'Dry Graph By Ispector '!$I$2</c:f>
              <c:strCache>
                <c:ptCount val="1"/>
                <c:pt idx="0">
                  <c:v>NavA  Remarks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'Dry Graph By Ispector '!$A$3:$A$13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'Dry Graph By Ispector '!$I$3:$I$13</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er>
        <c:dLbls>
          <c:showLegendKey val="0"/>
          <c:showVal val="0"/>
          <c:showCatName val="0"/>
          <c:showSerName val="0"/>
          <c:showPercent val="0"/>
          <c:showBubbleSize val="0"/>
        </c:dLbls>
        <c:gapWidth val="219"/>
        <c:overlap val="-27"/>
        <c:axId val="589256888"/>
        <c:axId val="589253752"/>
      </c:barChart>
      <c:lineChart>
        <c:grouping val="standard"/>
        <c:varyColors val="0"/>
        <c:ser>
          <c:idx val="2"/>
          <c:order val="2"/>
          <c:tx>
            <c:strRef>
              <c:f>'Dry Graph By Ispector '!$J$2</c:f>
              <c:strCache>
                <c:ptCount val="1"/>
                <c:pt idx="0">
                  <c:v>NavA Average Remarks</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'Dry Graph By Ispector '!$A$3:$A$13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'Dry Graph By Ispector '!$J$3:$J$13</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smooth val="0"/>
        </c:ser>
        <c:dLbls>
          <c:showLegendKey val="0"/>
          <c:showVal val="0"/>
          <c:showCatName val="0"/>
          <c:showSerName val="0"/>
          <c:showPercent val="0"/>
          <c:showBubbleSize val="0"/>
        </c:dLbls>
        <c:marker val="0"/>
        <c:smooth val="0"/>
        <c:axId val="589256888"/>
        <c:axId val="589253752"/>
      </c:lineChart>
      <c:catAx>
        <c:axId val="589256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9253752"/>
        <c:crosses val="autoZero"/>
        <c:auto val="1"/>
        <c:lblAlgn val="ctr"/>
        <c:lblOffset val="100"/>
        <c:noMultiLvlLbl val="0"/>
      </c:catAx>
      <c:valAx>
        <c:axId val="589253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9256888"/>
        <c:crosses val="autoZero"/>
        <c:crossBetween val="between"/>
      </c:valAx>
      <c:spPr>
        <a:noFill/>
        <a:ln>
          <a:noFill/>
        </a:ln>
        <a:effectLst/>
      </c:spPr>
    </c:plotArea>
    <c:legend>
      <c:legendPos val="b"/>
      <c:layout>
        <c:manualLayout>
          <c:xMode val="edge"/>
          <c:yMode val="edge"/>
          <c:x val="0.0779625784374864"/>
          <c:y val="0.920467714644913"/>
          <c:w val="0.844074614694051"/>
          <c:h val="0.0675274834343186"/>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5be76eca-ea00-4b29-a5a8-f7fa14edec2b}"/>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it-IT"/>
              <a:t>Environmental Audit </a:t>
            </a:r>
            <a:endParaRPr lang="it-IT"/>
          </a:p>
        </c:rich>
      </c:tx>
      <c:layout/>
      <c:overlay val="0"/>
      <c:spPr>
        <a:noFill/>
        <a:ln>
          <a:noFill/>
        </a:ln>
        <a:effectLst/>
      </c:spPr>
    </c:title>
    <c:autoTitleDeleted val="0"/>
    <c:plotArea>
      <c:layout/>
      <c:barChart>
        <c:barDir val="col"/>
        <c:grouping val="clustered"/>
        <c:varyColors val="0"/>
        <c:ser>
          <c:idx val="0"/>
          <c:order val="0"/>
          <c:tx>
            <c:strRef>
              <c:f>'Dry Graph By Ispector '!$K$2</c:f>
              <c:strCache>
                <c:ptCount val="1"/>
                <c:pt idx="0">
                  <c:v>EnvA  Nr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'Dry Graph By Ispector '!$A$3:$A$13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'Dry Graph By Ispector '!$K$3:$K$13</c:f>
              <c:numCache>
                <c:formatCode>General</c:formatCode>
                <c:ptCount val="11"/>
                <c:pt idx="0">
                  <c:v>0</c:v>
                </c:pt>
                <c:pt idx="1">
                  <c:v>0</c:v>
                </c:pt>
                <c:pt idx="2">
                  <c:v>0</c:v>
                </c:pt>
                <c:pt idx="3">
                  <c:v>1</c:v>
                </c:pt>
                <c:pt idx="4">
                  <c:v>0</c:v>
                </c:pt>
                <c:pt idx="5">
                  <c:v>0</c:v>
                </c:pt>
                <c:pt idx="6">
                  <c:v>0</c:v>
                </c:pt>
                <c:pt idx="7">
                  <c:v>0</c:v>
                </c:pt>
                <c:pt idx="8">
                  <c:v>0</c:v>
                </c:pt>
                <c:pt idx="9">
                  <c:v>0</c:v>
                </c:pt>
                <c:pt idx="10">
                  <c:v>0</c:v>
                </c:pt>
              </c:numCache>
            </c:numRef>
          </c:val>
        </c:ser>
        <c:ser>
          <c:idx val="1"/>
          <c:order val="1"/>
          <c:tx>
            <c:strRef>
              <c:f>'Dry Graph By Ispector '!$L$2</c:f>
              <c:strCache>
                <c:ptCount val="1"/>
                <c:pt idx="0">
                  <c:v>EnvA Remarks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'Dry Graph By Ispector '!$A$3:$A$13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'Dry Graph By Ispector '!$L$3:$L$13</c:f>
              <c:numCache>
                <c:formatCode>General</c:formatCode>
                <c:ptCount val="11"/>
                <c:pt idx="0">
                  <c:v>0</c:v>
                </c:pt>
                <c:pt idx="1">
                  <c:v>0</c:v>
                </c:pt>
                <c:pt idx="2">
                  <c:v>0</c:v>
                </c:pt>
                <c:pt idx="3">
                  <c:v>1</c:v>
                </c:pt>
                <c:pt idx="4">
                  <c:v>0</c:v>
                </c:pt>
                <c:pt idx="5">
                  <c:v>0</c:v>
                </c:pt>
                <c:pt idx="6">
                  <c:v>0</c:v>
                </c:pt>
                <c:pt idx="7">
                  <c:v>0</c:v>
                </c:pt>
                <c:pt idx="8">
                  <c:v>0</c:v>
                </c:pt>
                <c:pt idx="9">
                  <c:v>0</c:v>
                </c:pt>
                <c:pt idx="10">
                  <c:v>0</c:v>
                </c:pt>
              </c:numCache>
            </c:numRef>
          </c:val>
        </c:ser>
        <c:dLbls>
          <c:showLegendKey val="0"/>
          <c:showVal val="0"/>
          <c:showCatName val="0"/>
          <c:showSerName val="0"/>
          <c:showPercent val="0"/>
          <c:showBubbleSize val="0"/>
        </c:dLbls>
        <c:gapWidth val="219"/>
        <c:overlap val="-27"/>
        <c:axId val="589257672"/>
        <c:axId val="589254144"/>
      </c:barChart>
      <c:lineChart>
        <c:grouping val="standard"/>
        <c:varyColors val="0"/>
        <c:ser>
          <c:idx val="2"/>
          <c:order val="2"/>
          <c:tx>
            <c:strRef>
              <c:f>'Dry Graph By Ispector '!$M$2</c:f>
              <c:strCache>
                <c:ptCount val="1"/>
                <c:pt idx="0">
                  <c:v>EnvA Average Remarks</c:v>
                </c:pt>
              </c:strCache>
            </c:strRef>
          </c:tx>
          <c:spPr>
            <a:ln w="28575" cap="rnd">
              <a:solidFill>
                <a:schemeClr val="accent3"/>
              </a:solidFill>
              <a:round/>
            </a:ln>
            <a:effectLst/>
          </c:spPr>
          <c:marker>
            <c:symbol val="none"/>
          </c:marker>
          <c:dLbls>
            <c:delete val="1"/>
          </c:dLbls>
          <c:cat>
            <c:strRef>
              <c:f>'Dry Graph By Ispector '!$A$3:$A$13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'Dry Graph By Ispector '!$M$3:$M$13</c:f>
              <c:numCache>
                <c:formatCode>0.00</c:formatCode>
                <c:ptCount val="11"/>
                <c:pt idx="0">
                  <c:v>0</c:v>
                </c:pt>
                <c:pt idx="1">
                  <c:v>0</c:v>
                </c:pt>
                <c:pt idx="2">
                  <c:v>0</c:v>
                </c:pt>
                <c:pt idx="3">
                  <c:v>1</c:v>
                </c:pt>
                <c:pt idx="4">
                  <c:v>0</c:v>
                </c:pt>
                <c:pt idx="5">
                  <c:v>0</c:v>
                </c:pt>
                <c:pt idx="6">
                  <c:v>0</c:v>
                </c:pt>
                <c:pt idx="7">
                  <c:v>0</c:v>
                </c:pt>
                <c:pt idx="8">
                  <c:v>0</c:v>
                </c:pt>
                <c:pt idx="9">
                  <c:v>0</c:v>
                </c:pt>
                <c:pt idx="10">
                  <c:v>0</c:v>
                </c:pt>
              </c:numCache>
            </c:numRef>
          </c:val>
          <c:smooth val="0"/>
        </c:ser>
        <c:dLbls>
          <c:showLegendKey val="0"/>
          <c:showVal val="0"/>
          <c:showCatName val="0"/>
          <c:showSerName val="0"/>
          <c:showPercent val="0"/>
          <c:showBubbleSize val="0"/>
        </c:dLbls>
        <c:marker val="0"/>
        <c:smooth val="0"/>
        <c:axId val="589257672"/>
        <c:axId val="589254144"/>
      </c:lineChart>
      <c:catAx>
        <c:axId val="589257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9254144"/>
        <c:crosses val="autoZero"/>
        <c:auto val="1"/>
        <c:lblAlgn val="ctr"/>
        <c:lblOffset val="100"/>
        <c:noMultiLvlLbl val="0"/>
      </c:catAx>
      <c:valAx>
        <c:axId val="58925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925767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59ad7603-fcd7-487b-9958-111e5f0ab57c}"/>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it-IT"/>
              <a:t>Cargo Operational Audit</a:t>
            </a:r>
            <a:endParaRPr lang="it-IT"/>
          </a:p>
        </c:rich>
      </c:tx>
      <c:layout/>
      <c:overlay val="0"/>
      <c:spPr>
        <a:noFill/>
        <a:ln>
          <a:noFill/>
        </a:ln>
        <a:effectLst/>
      </c:spPr>
    </c:title>
    <c:autoTitleDeleted val="0"/>
    <c:plotArea>
      <c:layout/>
      <c:barChart>
        <c:barDir val="col"/>
        <c:grouping val="clustered"/>
        <c:varyColors val="0"/>
        <c:ser>
          <c:idx val="0"/>
          <c:order val="0"/>
          <c:tx>
            <c:strRef>
              <c:f>'Dry Graph By Ispector '!$N$2</c:f>
              <c:strCache>
                <c:ptCount val="1"/>
                <c:pt idx="0">
                  <c:v>CarOpA   Nr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'Dry Graph By Ispector '!$A$3:$A$13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'Dry Graph By Ispector '!$N$3:$N$13</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er>
        <c:ser>
          <c:idx val="1"/>
          <c:order val="1"/>
          <c:tx>
            <c:strRef>
              <c:f>'Dry Graph By Ispector '!$O$2</c:f>
              <c:strCache>
                <c:ptCount val="1"/>
                <c:pt idx="0">
                  <c:v>CarOpA Remarks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'Dry Graph By Ispector '!$A$3:$A$13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'Dry Graph By Ispector '!$O$3:$O$13</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er>
        <c:dLbls>
          <c:showLegendKey val="0"/>
          <c:showVal val="0"/>
          <c:showCatName val="0"/>
          <c:showSerName val="0"/>
          <c:showPercent val="0"/>
          <c:showBubbleSize val="0"/>
        </c:dLbls>
        <c:gapWidth val="219"/>
        <c:overlap val="-27"/>
        <c:axId val="589957496"/>
        <c:axId val="589959848"/>
      </c:barChart>
      <c:lineChart>
        <c:grouping val="standard"/>
        <c:varyColors val="0"/>
        <c:ser>
          <c:idx val="2"/>
          <c:order val="2"/>
          <c:tx>
            <c:strRef>
              <c:f>'Dry Graph By Ispector '!$P$2</c:f>
              <c:strCache>
                <c:ptCount val="1"/>
                <c:pt idx="0">
                  <c:v>CarOpA Average Remarks</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'Dry Graph By Ispector '!$A$3:$A$13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'Dry Graph By Ispector '!$P$3:$P$13</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smooth val="0"/>
        </c:ser>
        <c:dLbls>
          <c:showLegendKey val="0"/>
          <c:showVal val="0"/>
          <c:showCatName val="0"/>
          <c:showSerName val="0"/>
          <c:showPercent val="0"/>
          <c:showBubbleSize val="0"/>
        </c:dLbls>
        <c:marker val="0"/>
        <c:smooth val="0"/>
        <c:axId val="589957496"/>
        <c:axId val="589959848"/>
      </c:lineChart>
      <c:catAx>
        <c:axId val="589957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9959848"/>
        <c:crosses val="autoZero"/>
        <c:auto val="1"/>
        <c:lblAlgn val="ctr"/>
        <c:lblOffset val="100"/>
        <c:noMultiLvlLbl val="0"/>
      </c:catAx>
      <c:valAx>
        <c:axId val="589959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995749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aed39dc-ef18-4c2d-b954-09d00fbd1dcc}"/>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it-IT"/>
              <a:t>ISPS Audit</a:t>
            </a:r>
            <a:endParaRPr lang="it-IT"/>
          </a:p>
        </c:rich>
      </c:tx>
      <c:layout/>
      <c:overlay val="0"/>
      <c:spPr>
        <a:noFill/>
        <a:ln>
          <a:noFill/>
        </a:ln>
        <a:effectLst/>
      </c:spPr>
    </c:title>
    <c:autoTitleDeleted val="0"/>
    <c:plotArea>
      <c:layout/>
      <c:barChart>
        <c:barDir val="col"/>
        <c:grouping val="clustered"/>
        <c:varyColors val="0"/>
        <c:ser>
          <c:idx val="0"/>
          <c:order val="0"/>
          <c:tx>
            <c:strRef>
              <c:f>'Dry Graph By Ispector '!$Q$2</c:f>
              <c:strCache>
                <c:ptCount val="1"/>
                <c:pt idx="0">
                  <c:v>ISPSA   Nr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'Dry Graph By Ispector '!$A$3:$A$13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'Dry Graph By Ispector '!$Q$3:$Q$13</c:f>
              <c:numCache>
                <c:formatCode>General</c:formatCode>
                <c:ptCount val="11"/>
                <c:pt idx="0">
                  <c:v>0</c:v>
                </c:pt>
                <c:pt idx="1">
                  <c:v>0</c:v>
                </c:pt>
                <c:pt idx="2">
                  <c:v>0</c:v>
                </c:pt>
                <c:pt idx="3">
                  <c:v>2</c:v>
                </c:pt>
                <c:pt idx="4">
                  <c:v>0</c:v>
                </c:pt>
                <c:pt idx="5">
                  <c:v>0</c:v>
                </c:pt>
                <c:pt idx="6">
                  <c:v>0</c:v>
                </c:pt>
                <c:pt idx="7">
                  <c:v>3</c:v>
                </c:pt>
                <c:pt idx="8">
                  <c:v>1</c:v>
                </c:pt>
                <c:pt idx="9">
                  <c:v>0</c:v>
                </c:pt>
                <c:pt idx="10">
                  <c:v>1</c:v>
                </c:pt>
              </c:numCache>
            </c:numRef>
          </c:val>
        </c:ser>
        <c:ser>
          <c:idx val="1"/>
          <c:order val="1"/>
          <c:tx>
            <c:strRef>
              <c:f>'Dry Graph By Ispector '!$R$2</c:f>
              <c:strCache>
                <c:ptCount val="1"/>
                <c:pt idx="0">
                  <c:v>ISPSA Remarks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'Dry Graph By Ispector '!$A$3:$A$13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'Dry Graph By Ispector '!$R$3:$R$13</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er>
        <c:dLbls>
          <c:showLegendKey val="0"/>
          <c:showVal val="0"/>
          <c:showCatName val="0"/>
          <c:showSerName val="0"/>
          <c:showPercent val="0"/>
          <c:showBubbleSize val="0"/>
        </c:dLbls>
        <c:gapWidth val="219"/>
        <c:overlap val="-27"/>
        <c:axId val="589960632"/>
        <c:axId val="589955536"/>
      </c:barChart>
      <c:lineChart>
        <c:grouping val="standard"/>
        <c:varyColors val="0"/>
        <c:ser>
          <c:idx val="2"/>
          <c:order val="2"/>
          <c:tx>
            <c:strRef>
              <c:f>'Dry Graph By Ispector '!$S$2</c:f>
              <c:strCache>
                <c:ptCount val="1"/>
                <c:pt idx="0">
                  <c:v>ISPSA Average Remarks</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'Dry Graph By Ispector '!$A$3:$A$13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'Dry Graph By Ispector '!$S$3:$S$13</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smooth val="0"/>
        </c:ser>
        <c:dLbls>
          <c:showLegendKey val="0"/>
          <c:showVal val="0"/>
          <c:showCatName val="0"/>
          <c:showSerName val="0"/>
          <c:showPercent val="0"/>
          <c:showBubbleSize val="0"/>
        </c:dLbls>
        <c:marker val="0"/>
        <c:smooth val="0"/>
        <c:axId val="589960632"/>
        <c:axId val="589955536"/>
      </c:lineChart>
      <c:catAx>
        <c:axId val="589960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9955536"/>
        <c:crosses val="autoZero"/>
        <c:auto val="1"/>
        <c:lblAlgn val="ctr"/>
        <c:lblOffset val="100"/>
        <c:noMultiLvlLbl val="0"/>
      </c:catAx>
      <c:valAx>
        <c:axId val="58995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996063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c6e46cd-0dcc-4e01-8a03-3ff425345ee1}"/>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it-IT"/>
              <a:t>MOORING</a:t>
            </a:r>
            <a:r>
              <a:rPr lang="it-IT" baseline="0"/>
              <a:t> </a:t>
            </a:r>
            <a:r>
              <a:rPr lang="it-IT"/>
              <a:t>Audit</a:t>
            </a:r>
            <a:endParaRPr lang="it-IT"/>
          </a:p>
        </c:rich>
      </c:tx>
      <c:layout/>
      <c:overlay val="0"/>
      <c:spPr>
        <a:noFill/>
        <a:ln>
          <a:noFill/>
        </a:ln>
        <a:effectLst/>
      </c:spPr>
    </c:title>
    <c:autoTitleDeleted val="0"/>
    <c:plotArea>
      <c:layout/>
      <c:barChart>
        <c:barDir val="col"/>
        <c:grouping val="clustered"/>
        <c:varyColors val="0"/>
        <c:ser>
          <c:idx val="0"/>
          <c:order val="0"/>
          <c:tx>
            <c:strRef>
              <c:f>'Dry Graph By Ispector '!$T$2</c:f>
              <c:strCache>
                <c:ptCount val="1"/>
                <c:pt idx="0">
                  <c:v>MoorA   Nr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'Dry Graph By Ispector '!$A$3:$A$13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'Dry Graph By Ispector '!$T$3:$T$13</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er>
        <c:ser>
          <c:idx val="1"/>
          <c:order val="1"/>
          <c:tx>
            <c:strRef>
              <c:f>'Dry Graph By Ispector '!$U$2</c:f>
              <c:strCache>
                <c:ptCount val="1"/>
                <c:pt idx="0">
                  <c:v>MoorA Remarks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'Dry Graph By Ispector '!$A$3:$A$13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'Dry Graph By Ispector '!$U$3:$U$13</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er>
        <c:dLbls>
          <c:showLegendKey val="0"/>
          <c:showVal val="0"/>
          <c:showCatName val="0"/>
          <c:showSerName val="0"/>
          <c:showPercent val="0"/>
          <c:showBubbleSize val="0"/>
        </c:dLbls>
        <c:gapWidth val="219"/>
        <c:overlap val="-27"/>
        <c:axId val="589960632"/>
        <c:axId val="589955536"/>
      </c:barChart>
      <c:lineChart>
        <c:grouping val="standard"/>
        <c:varyColors val="0"/>
        <c:ser>
          <c:idx val="2"/>
          <c:order val="2"/>
          <c:tx>
            <c:strRef>
              <c:f>'Dry Graph By Ispector '!$V$2</c:f>
              <c:strCache>
                <c:ptCount val="1"/>
                <c:pt idx="0">
                  <c:v>MoorA Average Remarks</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'Dry Graph By Ispector '!$A$3:$A$13</c:f>
              <c:strCache>
                <c:ptCount val="11"/>
                <c:pt idx="0">
                  <c:v>Amandeep</c:v>
                </c:pt>
                <c:pt idx="1">
                  <c:v>Ankur</c:v>
                </c:pt>
                <c:pt idx="2">
                  <c:v>Ashwin</c:v>
                </c:pt>
                <c:pt idx="3">
                  <c:v>Avish</c:v>
                </c:pt>
                <c:pt idx="4">
                  <c:v>Jay</c:v>
                </c:pt>
                <c:pt idx="5">
                  <c:v>Manpreet</c:v>
                </c:pt>
                <c:pt idx="6">
                  <c:v>Maqsood</c:v>
                </c:pt>
                <c:pt idx="7">
                  <c:v>Naveen</c:v>
                </c:pt>
                <c:pt idx="8">
                  <c:v>Siddharth</c:v>
                </c:pt>
                <c:pt idx="9">
                  <c:v>Venster</c:v>
                </c:pt>
                <c:pt idx="10">
                  <c:v>Others</c:v>
                </c:pt>
              </c:strCache>
            </c:strRef>
          </c:cat>
          <c:val>
            <c:numRef>
              <c:f>'Dry Graph By Ispector '!$V$3:$V$13</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smooth val="0"/>
        </c:ser>
        <c:dLbls>
          <c:showLegendKey val="0"/>
          <c:showVal val="0"/>
          <c:showCatName val="0"/>
          <c:showSerName val="0"/>
          <c:showPercent val="0"/>
          <c:showBubbleSize val="0"/>
        </c:dLbls>
        <c:marker val="0"/>
        <c:smooth val="0"/>
        <c:axId val="589960632"/>
        <c:axId val="589955536"/>
      </c:lineChart>
      <c:catAx>
        <c:axId val="589960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9955536"/>
        <c:crosses val="autoZero"/>
        <c:auto val="1"/>
        <c:lblAlgn val="ctr"/>
        <c:lblOffset val="100"/>
        <c:noMultiLvlLbl val="0"/>
      </c:catAx>
      <c:valAx>
        <c:axId val="58995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996063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358854c-6887-4f7d-8758-7d79d6f133d0}"/>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it-IT"/>
              <a:t>Environmental audit</a:t>
            </a:r>
            <a:endParaRPr lang="it-IT"/>
          </a:p>
        </c:rich>
      </c:tx>
      <c:layout/>
      <c:overlay val="0"/>
      <c:spPr>
        <a:noFill/>
        <a:ln>
          <a:noFill/>
        </a:ln>
        <a:effectLst/>
      </c:spPr>
    </c:title>
    <c:autoTitleDeleted val="0"/>
    <c:plotArea>
      <c:layout/>
      <c:barChart>
        <c:barDir val="col"/>
        <c:grouping val="clustered"/>
        <c:varyColors val="0"/>
        <c:ser>
          <c:idx val="0"/>
          <c:order val="0"/>
          <c:tx>
            <c:strRef>
              <c:f>'Tanker Data'!$B$170</c:f>
              <c:strCache>
                <c:ptCount val="1"/>
                <c:pt idx="0">
                  <c:v>Remarks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Data'!$A$171:$A$200</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Data'!$B$171:$B$200</c:f>
              <c:numCache>
                <c:formatCode>General</c:formatCode>
                <c:ptCount val="30"/>
                <c:pt idx="0">
                  <c:v>0</c:v>
                </c:pt>
                <c:pt idx="1">
                  <c:v>0</c:v>
                </c:pt>
                <c:pt idx="2">
                  <c:v>2</c:v>
                </c:pt>
                <c:pt idx="3">
                  <c:v>6</c:v>
                </c:pt>
                <c:pt idx="4">
                  <c:v>0</c:v>
                </c:pt>
                <c:pt idx="5">
                  <c:v>1</c:v>
                </c:pt>
                <c:pt idx="6">
                  <c:v>0</c:v>
                </c:pt>
                <c:pt idx="7">
                  <c:v>0</c:v>
                </c:pt>
                <c:pt idx="8">
                  <c:v>6</c:v>
                </c:pt>
                <c:pt idx="9">
                  <c:v>2</c:v>
                </c:pt>
                <c:pt idx="10">
                  <c:v>2</c:v>
                </c:pt>
                <c:pt idx="11">
                  <c:v>4</c:v>
                </c:pt>
                <c:pt idx="12">
                  <c:v>0</c:v>
                </c:pt>
                <c:pt idx="13">
                  <c:v>0</c:v>
                </c:pt>
                <c:pt idx="14">
                  <c:v>0</c:v>
                </c:pt>
                <c:pt idx="15">
                  <c:v>4</c:v>
                </c:pt>
                <c:pt idx="16">
                  <c:v>3</c:v>
                </c:pt>
                <c:pt idx="17">
                  <c:v>0</c:v>
                </c:pt>
                <c:pt idx="18">
                  <c:v>7</c:v>
                </c:pt>
                <c:pt idx="19">
                  <c:v>3</c:v>
                </c:pt>
                <c:pt idx="20">
                  <c:v>3</c:v>
                </c:pt>
                <c:pt idx="21">
                  <c:v>0</c:v>
                </c:pt>
                <c:pt idx="22">
                  <c:v>1</c:v>
                </c:pt>
                <c:pt idx="23">
                  <c:v>2</c:v>
                </c:pt>
                <c:pt idx="24">
                  <c:v>1</c:v>
                </c:pt>
                <c:pt idx="25">
                  <c:v>2</c:v>
                </c:pt>
                <c:pt idx="26">
                  <c:v>0</c:v>
                </c:pt>
                <c:pt idx="27">
                  <c:v>0</c:v>
                </c:pt>
                <c:pt idx="28">
                  <c:v>2</c:v>
                </c:pt>
                <c:pt idx="29">
                  <c:v>0</c:v>
                </c:pt>
              </c:numCache>
            </c:numRef>
          </c:val>
        </c:ser>
        <c:ser>
          <c:idx val="1"/>
          <c:order val="1"/>
          <c:tx>
            <c:strRef>
              <c:f>'Tanker Data'!$C$170</c:f>
              <c:strCache>
                <c:ptCount val="1"/>
                <c:pt idx="0">
                  <c:v>Non Conformity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Data'!$A$171:$A$200</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Data'!$C$171:$C$200</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er>
        <c:ser>
          <c:idx val="2"/>
          <c:order val="2"/>
          <c:tx>
            <c:strRef>
              <c:f>'Tanker Data'!$D$170</c:f>
              <c:strCache>
                <c:ptCount val="1"/>
                <c:pt idx="0">
                  <c:v>Observation</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Data'!$A$171:$A$200</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Data'!$D$171:$D$200</c:f>
              <c:numCache>
                <c:formatCode>General</c:formatCode>
                <c:ptCount val="30"/>
                <c:pt idx="0">
                  <c:v>0</c:v>
                </c:pt>
                <c:pt idx="1">
                  <c:v>0</c:v>
                </c:pt>
                <c:pt idx="2">
                  <c:v>2</c:v>
                </c:pt>
                <c:pt idx="3">
                  <c:v>6</c:v>
                </c:pt>
                <c:pt idx="4">
                  <c:v>0</c:v>
                </c:pt>
                <c:pt idx="5">
                  <c:v>1</c:v>
                </c:pt>
                <c:pt idx="6">
                  <c:v>0</c:v>
                </c:pt>
                <c:pt idx="7">
                  <c:v>0</c:v>
                </c:pt>
                <c:pt idx="8">
                  <c:v>6</c:v>
                </c:pt>
                <c:pt idx="9">
                  <c:v>2</c:v>
                </c:pt>
                <c:pt idx="10">
                  <c:v>2</c:v>
                </c:pt>
                <c:pt idx="11">
                  <c:v>4</c:v>
                </c:pt>
                <c:pt idx="12">
                  <c:v>0</c:v>
                </c:pt>
                <c:pt idx="13">
                  <c:v>0</c:v>
                </c:pt>
                <c:pt idx="14">
                  <c:v>0</c:v>
                </c:pt>
                <c:pt idx="15">
                  <c:v>4</c:v>
                </c:pt>
                <c:pt idx="16">
                  <c:v>2</c:v>
                </c:pt>
                <c:pt idx="17">
                  <c:v>0</c:v>
                </c:pt>
                <c:pt idx="18">
                  <c:v>7</c:v>
                </c:pt>
                <c:pt idx="19">
                  <c:v>3</c:v>
                </c:pt>
                <c:pt idx="20">
                  <c:v>3</c:v>
                </c:pt>
                <c:pt idx="21">
                  <c:v>0</c:v>
                </c:pt>
                <c:pt idx="22">
                  <c:v>1</c:v>
                </c:pt>
                <c:pt idx="23">
                  <c:v>2</c:v>
                </c:pt>
                <c:pt idx="24">
                  <c:v>1</c:v>
                </c:pt>
                <c:pt idx="25">
                  <c:v>2</c:v>
                </c:pt>
                <c:pt idx="26">
                  <c:v>0</c:v>
                </c:pt>
                <c:pt idx="27">
                  <c:v>0</c:v>
                </c:pt>
                <c:pt idx="28">
                  <c:v>2</c:v>
                </c:pt>
                <c:pt idx="29">
                  <c:v>0</c:v>
                </c:pt>
              </c:numCache>
            </c:numRef>
          </c:val>
        </c:ser>
        <c:ser>
          <c:idx val="3"/>
          <c:order val="3"/>
          <c:tx>
            <c:strRef>
              <c:f>'Tanker Data'!$E$170</c:f>
              <c:strCache>
                <c:ptCount val="1"/>
                <c:pt idx="0">
                  <c:v>Inspection </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Data'!$A$171:$A$200</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Data'!$E$171:$E$200</c:f>
              <c:numCache>
                <c:formatCode>General</c:formatCode>
                <c:ptCount val="30"/>
                <c:pt idx="0">
                  <c:v>0</c:v>
                </c:pt>
                <c:pt idx="1">
                  <c:v>0</c:v>
                </c:pt>
                <c:pt idx="2">
                  <c:v>1</c:v>
                </c:pt>
                <c:pt idx="3">
                  <c:v>1</c:v>
                </c:pt>
                <c:pt idx="4">
                  <c:v>0</c:v>
                </c:pt>
                <c:pt idx="5">
                  <c:v>1</c:v>
                </c:pt>
                <c:pt idx="6">
                  <c:v>0</c:v>
                </c:pt>
                <c:pt idx="7">
                  <c:v>0</c:v>
                </c:pt>
                <c:pt idx="8">
                  <c:v>1</c:v>
                </c:pt>
                <c:pt idx="9">
                  <c:v>1</c:v>
                </c:pt>
                <c:pt idx="10">
                  <c:v>1</c:v>
                </c:pt>
                <c:pt idx="11">
                  <c:v>1</c:v>
                </c:pt>
                <c:pt idx="12">
                  <c:v>0</c:v>
                </c:pt>
                <c:pt idx="13">
                  <c:v>0</c:v>
                </c:pt>
                <c:pt idx="14">
                  <c:v>0</c:v>
                </c:pt>
                <c:pt idx="15">
                  <c:v>1</c:v>
                </c:pt>
                <c:pt idx="16">
                  <c:v>1</c:v>
                </c:pt>
                <c:pt idx="17">
                  <c:v>0</c:v>
                </c:pt>
                <c:pt idx="18">
                  <c:v>1</c:v>
                </c:pt>
                <c:pt idx="19">
                  <c:v>1</c:v>
                </c:pt>
                <c:pt idx="20">
                  <c:v>1</c:v>
                </c:pt>
                <c:pt idx="21">
                  <c:v>0</c:v>
                </c:pt>
                <c:pt idx="22">
                  <c:v>1</c:v>
                </c:pt>
                <c:pt idx="23">
                  <c:v>1</c:v>
                </c:pt>
                <c:pt idx="24">
                  <c:v>1</c:v>
                </c:pt>
                <c:pt idx="25">
                  <c:v>1</c:v>
                </c:pt>
                <c:pt idx="26">
                  <c:v>0</c:v>
                </c:pt>
                <c:pt idx="27">
                  <c:v>0</c:v>
                </c:pt>
                <c:pt idx="28">
                  <c:v>1</c:v>
                </c:pt>
                <c:pt idx="29">
                  <c:v>0</c:v>
                </c:pt>
              </c:numCache>
            </c:numRef>
          </c:val>
        </c:ser>
        <c:dLbls>
          <c:showLegendKey val="0"/>
          <c:showVal val="0"/>
          <c:showCatName val="0"/>
          <c:showSerName val="0"/>
          <c:showPercent val="0"/>
          <c:showBubbleSize val="0"/>
        </c:dLbls>
        <c:gapWidth val="75"/>
        <c:axId val="589958672"/>
        <c:axId val="589958280"/>
      </c:barChart>
      <c:lineChart>
        <c:grouping val="standard"/>
        <c:varyColors val="0"/>
        <c:ser>
          <c:idx val="4"/>
          <c:order val="4"/>
          <c:tx>
            <c:strRef>
              <c:f>'Tanker Data'!$F$170</c:f>
              <c:strCache>
                <c:ptCount val="1"/>
                <c:pt idx="0">
                  <c:v>Average Remarks</c:v>
                </c:pt>
              </c:strCache>
            </c:strRef>
          </c:tx>
          <c:spPr>
            <a:ln w="34925" cap="rnd">
              <a:solidFill>
                <a:schemeClr val="accent5"/>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Data'!$A$171:$A$200</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Data'!$F$171:$F$200</c:f>
              <c:numCache>
                <c:formatCode>General</c:formatCode>
                <c:ptCount val="30"/>
                <c:pt idx="0">
                  <c:v>0</c:v>
                </c:pt>
                <c:pt idx="1">
                  <c:v>0</c:v>
                </c:pt>
                <c:pt idx="2">
                  <c:v>2</c:v>
                </c:pt>
                <c:pt idx="3">
                  <c:v>6</c:v>
                </c:pt>
                <c:pt idx="4">
                  <c:v>0</c:v>
                </c:pt>
                <c:pt idx="5">
                  <c:v>1</c:v>
                </c:pt>
                <c:pt idx="6">
                  <c:v>0</c:v>
                </c:pt>
                <c:pt idx="7">
                  <c:v>0</c:v>
                </c:pt>
                <c:pt idx="8">
                  <c:v>6</c:v>
                </c:pt>
                <c:pt idx="9">
                  <c:v>2</c:v>
                </c:pt>
                <c:pt idx="10">
                  <c:v>2</c:v>
                </c:pt>
                <c:pt idx="11">
                  <c:v>4</c:v>
                </c:pt>
                <c:pt idx="12">
                  <c:v>0</c:v>
                </c:pt>
                <c:pt idx="13">
                  <c:v>0</c:v>
                </c:pt>
                <c:pt idx="14">
                  <c:v>0</c:v>
                </c:pt>
                <c:pt idx="15">
                  <c:v>4</c:v>
                </c:pt>
                <c:pt idx="16">
                  <c:v>3</c:v>
                </c:pt>
                <c:pt idx="17">
                  <c:v>0</c:v>
                </c:pt>
                <c:pt idx="18">
                  <c:v>7</c:v>
                </c:pt>
                <c:pt idx="19">
                  <c:v>3</c:v>
                </c:pt>
                <c:pt idx="20">
                  <c:v>3</c:v>
                </c:pt>
                <c:pt idx="21">
                  <c:v>0</c:v>
                </c:pt>
                <c:pt idx="22">
                  <c:v>1</c:v>
                </c:pt>
                <c:pt idx="23">
                  <c:v>2</c:v>
                </c:pt>
                <c:pt idx="24">
                  <c:v>1</c:v>
                </c:pt>
                <c:pt idx="25">
                  <c:v>2</c:v>
                </c:pt>
                <c:pt idx="26">
                  <c:v>0</c:v>
                </c:pt>
                <c:pt idx="27">
                  <c:v>0</c:v>
                </c:pt>
                <c:pt idx="28">
                  <c:v>2</c:v>
                </c:pt>
                <c:pt idx="29">
                  <c:v>0</c:v>
                </c:pt>
              </c:numCache>
            </c:numRef>
          </c:val>
          <c:smooth val="0"/>
        </c:ser>
        <c:ser>
          <c:idx val="5"/>
          <c:order val="5"/>
          <c:tx>
            <c:strRef>
              <c:f>'Tanker Data'!$G$170</c:f>
              <c:strCache>
                <c:ptCount val="1"/>
                <c:pt idx="0">
                  <c:v>Avrage Nc</c:v>
                </c:pt>
              </c:strCache>
            </c:strRef>
          </c:tx>
          <c:spPr>
            <a:ln w="34925" cap="rnd">
              <a:solidFill>
                <a:schemeClr val="accent6"/>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Data'!$A$171:$A$200</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Data'!$G$171:$G$200</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ser>
        <c:ser>
          <c:idx val="6"/>
          <c:order val="6"/>
          <c:tx>
            <c:strRef>
              <c:f>'Tanker Data'!$H$170</c:f>
              <c:strCache>
                <c:ptCount val="1"/>
                <c:pt idx="0">
                  <c:v>Average obs</c:v>
                </c:pt>
              </c:strCache>
            </c:strRef>
          </c:tx>
          <c:spPr>
            <a:ln w="34925" cap="rnd">
              <a:solidFill>
                <a:schemeClr val="accent1">
                  <a:lumMod val="60000"/>
                </a:schemeClr>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Data'!$A$171:$A$200</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Data'!$H$171:$H$200</c:f>
              <c:numCache>
                <c:formatCode>General</c:formatCode>
                <c:ptCount val="30"/>
                <c:pt idx="0">
                  <c:v>0</c:v>
                </c:pt>
                <c:pt idx="1">
                  <c:v>0</c:v>
                </c:pt>
                <c:pt idx="2">
                  <c:v>2</c:v>
                </c:pt>
                <c:pt idx="3">
                  <c:v>6</c:v>
                </c:pt>
                <c:pt idx="4">
                  <c:v>0</c:v>
                </c:pt>
                <c:pt idx="5">
                  <c:v>1</c:v>
                </c:pt>
                <c:pt idx="6">
                  <c:v>0</c:v>
                </c:pt>
                <c:pt idx="7">
                  <c:v>0</c:v>
                </c:pt>
                <c:pt idx="8">
                  <c:v>6</c:v>
                </c:pt>
                <c:pt idx="9">
                  <c:v>2</c:v>
                </c:pt>
                <c:pt idx="10">
                  <c:v>2</c:v>
                </c:pt>
                <c:pt idx="11">
                  <c:v>4</c:v>
                </c:pt>
                <c:pt idx="12">
                  <c:v>0</c:v>
                </c:pt>
                <c:pt idx="13">
                  <c:v>0</c:v>
                </c:pt>
                <c:pt idx="14">
                  <c:v>0</c:v>
                </c:pt>
                <c:pt idx="15">
                  <c:v>4</c:v>
                </c:pt>
                <c:pt idx="16">
                  <c:v>2</c:v>
                </c:pt>
                <c:pt idx="17">
                  <c:v>0</c:v>
                </c:pt>
                <c:pt idx="18">
                  <c:v>7</c:v>
                </c:pt>
                <c:pt idx="19">
                  <c:v>3</c:v>
                </c:pt>
                <c:pt idx="20">
                  <c:v>3</c:v>
                </c:pt>
                <c:pt idx="21">
                  <c:v>0</c:v>
                </c:pt>
                <c:pt idx="22">
                  <c:v>1</c:v>
                </c:pt>
                <c:pt idx="23">
                  <c:v>2</c:v>
                </c:pt>
                <c:pt idx="24">
                  <c:v>1</c:v>
                </c:pt>
                <c:pt idx="25">
                  <c:v>2</c:v>
                </c:pt>
                <c:pt idx="26">
                  <c:v>0</c:v>
                </c:pt>
                <c:pt idx="27">
                  <c:v>0</c:v>
                </c:pt>
                <c:pt idx="28">
                  <c:v>2</c:v>
                </c:pt>
                <c:pt idx="29">
                  <c:v>0</c:v>
                </c:pt>
              </c:numCache>
            </c:numRef>
          </c:val>
          <c:smooth val="0"/>
        </c:ser>
        <c:dLbls>
          <c:showLegendKey val="0"/>
          <c:showVal val="0"/>
          <c:showCatName val="0"/>
          <c:showSerName val="0"/>
          <c:showPercent val="0"/>
          <c:showBubbleSize val="0"/>
        </c:dLbls>
        <c:marker val="0"/>
        <c:smooth val="0"/>
        <c:axId val="589958672"/>
        <c:axId val="589958280"/>
      </c:lineChart>
      <c:catAx>
        <c:axId val="589958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89958280"/>
        <c:crosses val="autoZero"/>
        <c:auto val="1"/>
        <c:lblAlgn val="ctr"/>
        <c:lblOffset val="100"/>
        <c:noMultiLvlLbl val="0"/>
      </c:catAx>
      <c:valAx>
        <c:axId val="58995828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8995867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legend>
    <c:plotVisOnly val="1"/>
    <c:dispBlanksAs val="gap"/>
    <c:showDLblsOverMax val="0"/>
    <c:extLst>
      <c:ext uri="{0b15fc19-7d7d-44ad-8c2d-2c3a37ce22c3}">
        <chartProps xmlns="https://web.wps.cn/et/2018/main" chartId="{0f2eb99e-9e02-4668-9815-331dc1685150}"/>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it-IT"/>
              <a:t>Cargo Audit</a:t>
            </a:r>
            <a:endParaRPr lang="it-IT"/>
          </a:p>
        </c:rich>
      </c:tx>
      <c:layout/>
      <c:overlay val="0"/>
      <c:spPr>
        <a:noFill/>
        <a:ln>
          <a:noFill/>
        </a:ln>
        <a:effectLst/>
      </c:spPr>
    </c:title>
    <c:autoTitleDeleted val="0"/>
    <c:plotArea>
      <c:layout/>
      <c:barChart>
        <c:barDir val="col"/>
        <c:grouping val="clustered"/>
        <c:varyColors val="0"/>
        <c:ser>
          <c:idx val="0"/>
          <c:order val="0"/>
          <c:tx>
            <c:strRef>
              <c:f>'Tanker Data'!$B$204</c:f>
              <c:strCache>
                <c:ptCount val="1"/>
                <c:pt idx="0">
                  <c:v>Remarks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Data'!$A$205:$A$234</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Data'!$B$205:$B$234</c:f>
              <c:numCache>
                <c:formatCode>General</c:formatCode>
                <c:ptCount val="30"/>
                <c:pt idx="0">
                  <c:v>0</c:v>
                </c:pt>
                <c:pt idx="1">
                  <c:v>0</c:v>
                </c:pt>
                <c:pt idx="2">
                  <c:v>4</c:v>
                </c:pt>
                <c:pt idx="3">
                  <c:v>6</c:v>
                </c:pt>
                <c:pt idx="4">
                  <c:v>0</c:v>
                </c:pt>
                <c:pt idx="5">
                  <c:v>2</c:v>
                </c:pt>
                <c:pt idx="6">
                  <c:v>0</c:v>
                </c:pt>
                <c:pt idx="7">
                  <c:v>0</c:v>
                </c:pt>
                <c:pt idx="8">
                  <c:v>4</c:v>
                </c:pt>
                <c:pt idx="9">
                  <c:v>2</c:v>
                </c:pt>
                <c:pt idx="10">
                  <c:v>4</c:v>
                </c:pt>
                <c:pt idx="11">
                  <c:v>1</c:v>
                </c:pt>
                <c:pt idx="12">
                  <c:v>0</c:v>
                </c:pt>
                <c:pt idx="13">
                  <c:v>6</c:v>
                </c:pt>
                <c:pt idx="14">
                  <c:v>7</c:v>
                </c:pt>
                <c:pt idx="15">
                  <c:v>4</c:v>
                </c:pt>
                <c:pt idx="16">
                  <c:v>2</c:v>
                </c:pt>
                <c:pt idx="17">
                  <c:v>0</c:v>
                </c:pt>
                <c:pt idx="18">
                  <c:v>6</c:v>
                </c:pt>
                <c:pt idx="19">
                  <c:v>4</c:v>
                </c:pt>
                <c:pt idx="20">
                  <c:v>2</c:v>
                </c:pt>
                <c:pt idx="21">
                  <c:v>0</c:v>
                </c:pt>
                <c:pt idx="22">
                  <c:v>1</c:v>
                </c:pt>
                <c:pt idx="23">
                  <c:v>2</c:v>
                </c:pt>
                <c:pt idx="24">
                  <c:v>2</c:v>
                </c:pt>
                <c:pt idx="25">
                  <c:v>4</c:v>
                </c:pt>
                <c:pt idx="26">
                  <c:v>0</c:v>
                </c:pt>
                <c:pt idx="27">
                  <c:v>0</c:v>
                </c:pt>
                <c:pt idx="28">
                  <c:v>2</c:v>
                </c:pt>
                <c:pt idx="29">
                  <c:v>0</c:v>
                </c:pt>
              </c:numCache>
            </c:numRef>
          </c:val>
        </c:ser>
        <c:ser>
          <c:idx val="1"/>
          <c:order val="1"/>
          <c:tx>
            <c:strRef>
              <c:f>'Tanker Data'!$C$204</c:f>
              <c:strCache>
                <c:ptCount val="1"/>
                <c:pt idx="0">
                  <c:v>Non Conformity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Data'!$A$205:$A$234</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Data'!$C$205:$C$234</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er>
        <c:ser>
          <c:idx val="2"/>
          <c:order val="2"/>
          <c:tx>
            <c:strRef>
              <c:f>'Tanker Data'!$D$204</c:f>
              <c:strCache>
                <c:ptCount val="1"/>
                <c:pt idx="0">
                  <c:v>Observation</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Data'!$A$205:$A$234</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Data'!$D$205:$D$234</c:f>
              <c:numCache>
                <c:formatCode>General</c:formatCode>
                <c:ptCount val="30"/>
                <c:pt idx="0">
                  <c:v>0</c:v>
                </c:pt>
                <c:pt idx="1">
                  <c:v>0</c:v>
                </c:pt>
                <c:pt idx="2">
                  <c:v>4</c:v>
                </c:pt>
                <c:pt idx="3">
                  <c:v>6</c:v>
                </c:pt>
                <c:pt idx="4">
                  <c:v>0</c:v>
                </c:pt>
                <c:pt idx="5">
                  <c:v>2</c:v>
                </c:pt>
                <c:pt idx="6">
                  <c:v>0</c:v>
                </c:pt>
                <c:pt idx="7">
                  <c:v>0</c:v>
                </c:pt>
                <c:pt idx="8">
                  <c:v>4</c:v>
                </c:pt>
                <c:pt idx="9">
                  <c:v>2</c:v>
                </c:pt>
                <c:pt idx="10">
                  <c:v>4</c:v>
                </c:pt>
                <c:pt idx="11">
                  <c:v>1</c:v>
                </c:pt>
                <c:pt idx="12">
                  <c:v>0</c:v>
                </c:pt>
                <c:pt idx="13">
                  <c:v>6</c:v>
                </c:pt>
                <c:pt idx="14">
                  <c:v>7</c:v>
                </c:pt>
                <c:pt idx="15">
                  <c:v>4</c:v>
                </c:pt>
                <c:pt idx="16">
                  <c:v>2</c:v>
                </c:pt>
                <c:pt idx="17">
                  <c:v>0</c:v>
                </c:pt>
                <c:pt idx="18">
                  <c:v>6</c:v>
                </c:pt>
                <c:pt idx="19">
                  <c:v>4</c:v>
                </c:pt>
                <c:pt idx="20">
                  <c:v>2</c:v>
                </c:pt>
                <c:pt idx="21">
                  <c:v>0</c:v>
                </c:pt>
                <c:pt idx="22">
                  <c:v>1</c:v>
                </c:pt>
                <c:pt idx="23">
                  <c:v>2</c:v>
                </c:pt>
                <c:pt idx="24">
                  <c:v>2</c:v>
                </c:pt>
                <c:pt idx="25">
                  <c:v>4</c:v>
                </c:pt>
                <c:pt idx="26">
                  <c:v>0</c:v>
                </c:pt>
                <c:pt idx="27">
                  <c:v>0</c:v>
                </c:pt>
                <c:pt idx="28">
                  <c:v>2</c:v>
                </c:pt>
                <c:pt idx="29">
                  <c:v>0</c:v>
                </c:pt>
              </c:numCache>
            </c:numRef>
          </c:val>
        </c:ser>
        <c:ser>
          <c:idx val="3"/>
          <c:order val="3"/>
          <c:tx>
            <c:strRef>
              <c:f>'Tanker Data'!$E$204</c:f>
              <c:strCache>
                <c:ptCount val="1"/>
                <c:pt idx="0">
                  <c:v>Inspection </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Data'!$A$205:$A$234</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Data'!$E$205:$E$234</c:f>
              <c:numCache>
                <c:formatCode>General</c:formatCode>
                <c:ptCount val="30"/>
                <c:pt idx="0">
                  <c:v>0</c:v>
                </c:pt>
                <c:pt idx="1">
                  <c:v>0</c:v>
                </c:pt>
                <c:pt idx="2">
                  <c:v>1</c:v>
                </c:pt>
                <c:pt idx="3">
                  <c:v>1</c:v>
                </c:pt>
                <c:pt idx="4">
                  <c:v>0</c:v>
                </c:pt>
                <c:pt idx="5">
                  <c:v>1</c:v>
                </c:pt>
                <c:pt idx="6">
                  <c:v>1</c:v>
                </c:pt>
                <c:pt idx="7">
                  <c:v>0</c:v>
                </c:pt>
                <c:pt idx="8">
                  <c:v>1</c:v>
                </c:pt>
                <c:pt idx="9">
                  <c:v>1</c:v>
                </c:pt>
                <c:pt idx="10">
                  <c:v>1</c:v>
                </c:pt>
                <c:pt idx="11">
                  <c:v>1</c:v>
                </c:pt>
                <c:pt idx="12">
                  <c:v>0</c:v>
                </c:pt>
                <c:pt idx="13">
                  <c:v>1</c:v>
                </c:pt>
                <c:pt idx="14">
                  <c:v>2</c:v>
                </c:pt>
                <c:pt idx="15">
                  <c:v>1</c:v>
                </c:pt>
                <c:pt idx="16">
                  <c:v>1</c:v>
                </c:pt>
                <c:pt idx="17">
                  <c:v>0</c:v>
                </c:pt>
                <c:pt idx="18">
                  <c:v>1</c:v>
                </c:pt>
                <c:pt idx="19">
                  <c:v>1</c:v>
                </c:pt>
                <c:pt idx="20">
                  <c:v>1</c:v>
                </c:pt>
                <c:pt idx="21">
                  <c:v>0</c:v>
                </c:pt>
                <c:pt idx="22">
                  <c:v>1</c:v>
                </c:pt>
                <c:pt idx="23">
                  <c:v>1</c:v>
                </c:pt>
                <c:pt idx="24">
                  <c:v>1</c:v>
                </c:pt>
                <c:pt idx="25">
                  <c:v>1</c:v>
                </c:pt>
                <c:pt idx="26">
                  <c:v>0</c:v>
                </c:pt>
                <c:pt idx="27">
                  <c:v>0</c:v>
                </c:pt>
                <c:pt idx="28">
                  <c:v>1</c:v>
                </c:pt>
                <c:pt idx="29">
                  <c:v>0</c:v>
                </c:pt>
              </c:numCache>
            </c:numRef>
          </c:val>
        </c:ser>
        <c:dLbls>
          <c:showLegendKey val="0"/>
          <c:showVal val="0"/>
          <c:showCatName val="0"/>
          <c:showSerName val="0"/>
          <c:showPercent val="0"/>
          <c:showBubbleSize val="0"/>
        </c:dLbls>
        <c:gapWidth val="75"/>
        <c:axId val="589957104"/>
        <c:axId val="589959456"/>
      </c:barChart>
      <c:lineChart>
        <c:grouping val="standard"/>
        <c:varyColors val="0"/>
        <c:ser>
          <c:idx val="4"/>
          <c:order val="4"/>
          <c:tx>
            <c:strRef>
              <c:f>'Tanker Data'!$F$204</c:f>
              <c:strCache>
                <c:ptCount val="1"/>
                <c:pt idx="0">
                  <c:v>Average Remarks</c:v>
                </c:pt>
              </c:strCache>
            </c:strRef>
          </c:tx>
          <c:spPr>
            <a:ln w="34925" cap="rnd">
              <a:solidFill>
                <a:schemeClr val="accent5"/>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Data'!$A$205:$A$234</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Data'!$F$205:$F$234</c:f>
              <c:numCache>
                <c:formatCode>General</c:formatCode>
                <c:ptCount val="30"/>
                <c:pt idx="0">
                  <c:v>0</c:v>
                </c:pt>
                <c:pt idx="1">
                  <c:v>0</c:v>
                </c:pt>
                <c:pt idx="2">
                  <c:v>4</c:v>
                </c:pt>
                <c:pt idx="3">
                  <c:v>6</c:v>
                </c:pt>
                <c:pt idx="4">
                  <c:v>0</c:v>
                </c:pt>
                <c:pt idx="5">
                  <c:v>2</c:v>
                </c:pt>
                <c:pt idx="6">
                  <c:v>0</c:v>
                </c:pt>
                <c:pt idx="7">
                  <c:v>0</c:v>
                </c:pt>
                <c:pt idx="8">
                  <c:v>4</c:v>
                </c:pt>
                <c:pt idx="9">
                  <c:v>2</c:v>
                </c:pt>
                <c:pt idx="10">
                  <c:v>4</c:v>
                </c:pt>
                <c:pt idx="11">
                  <c:v>1</c:v>
                </c:pt>
                <c:pt idx="12">
                  <c:v>0</c:v>
                </c:pt>
                <c:pt idx="13">
                  <c:v>6</c:v>
                </c:pt>
                <c:pt idx="14">
                  <c:v>3.5</c:v>
                </c:pt>
                <c:pt idx="15">
                  <c:v>4</c:v>
                </c:pt>
                <c:pt idx="16">
                  <c:v>2</c:v>
                </c:pt>
                <c:pt idx="17">
                  <c:v>0</c:v>
                </c:pt>
                <c:pt idx="18">
                  <c:v>6</c:v>
                </c:pt>
                <c:pt idx="19">
                  <c:v>4</c:v>
                </c:pt>
                <c:pt idx="20">
                  <c:v>2</c:v>
                </c:pt>
                <c:pt idx="21">
                  <c:v>0</c:v>
                </c:pt>
                <c:pt idx="22">
                  <c:v>1</c:v>
                </c:pt>
                <c:pt idx="23">
                  <c:v>2</c:v>
                </c:pt>
                <c:pt idx="24">
                  <c:v>2</c:v>
                </c:pt>
                <c:pt idx="25">
                  <c:v>4</c:v>
                </c:pt>
                <c:pt idx="26">
                  <c:v>0</c:v>
                </c:pt>
                <c:pt idx="27">
                  <c:v>0</c:v>
                </c:pt>
                <c:pt idx="28">
                  <c:v>2</c:v>
                </c:pt>
                <c:pt idx="29">
                  <c:v>0</c:v>
                </c:pt>
              </c:numCache>
            </c:numRef>
          </c:val>
          <c:smooth val="0"/>
        </c:ser>
        <c:ser>
          <c:idx val="5"/>
          <c:order val="5"/>
          <c:tx>
            <c:strRef>
              <c:f>'Tanker Data'!$G$204</c:f>
              <c:strCache>
                <c:ptCount val="1"/>
                <c:pt idx="0">
                  <c:v>Avrage Nc</c:v>
                </c:pt>
              </c:strCache>
            </c:strRef>
          </c:tx>
          <c:spPr>
            <a:ln w="34925" cap="rnd">
              <a:solidFill>
                <a:schemeClr val="accent6"/>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Data'!$A$205:$A$234</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Data'!$G$205:$G$234</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ser>
        <c:ser>
          <c:idx val="6"/>
          <c:order val="6"/>
          <c:tx>
            <c:strRef>
              <c:f>'Tanker Data'!$H$204</c:f>
              <c:strCache>
                <c:ptCount val="1"/>
                <c:pt idx="0">
                  <c:v>Average obs</c:v>
                </c:pt>
              </c:strCache>
            </c:strRef>
          </c:tx>
          <c:spPr>
            <a:ln w="34925" cap="rnd">
              <a:solidFill>
                <a:schemeClr val="accent1">
                  <a:lumMod val="60000"/>
                </a:schemeClr>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Data'!$A$205:$A$234</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Data'!$H$205:$H$234</c:f>
              <c:numCache>
                <c:formatCode>General</c:formatCode>
                <c:ptCount val="30"/>
                <c:pt idx="0">
                  <c:v>0</c:v>
                </c:pt>
                <c:pt idx="1">
                  <c:v>0</c:v>
                </c:pt>
                <c:pt idx="2">
                  <c:v>4</c:v>
                </c:pt>
                <c:pt idx="3">
                  <c:v>6</c:v>
                </c:pt>
                <c:pt idx="4">
                  <c:v>0</c:v>
                </c:pt>
                <c:pt idx="5">
                  <c:v>2</c:v>
                </c:pt>
                <c:pt idx="6">
                  <c:v>0</c:v>
                </c:pt>
                <c:pt idx="7">
                  <c:v>0</c:v>
                </c:pt>
                <c:pt idx="8">
                  <c:v>4</c:v>
                </c:pt>
                <c:pt idx="9">
                  <c:v>2</c:v>
                </c:pt>
                <c:pt idx="10">
                  <c:v>4</c:v>
                </c:pt>
                <c:pt idx="11">
                  <c:v>1</c:v>
                </c:pt>
                <c:pt idx="12">
                  <c:v>0</c:v>
                </c:pt>
                <c:pt idx="13">
                  <c:v>6</c:v>
                </c:pt>
                <c:pt idx="14">
                  <c:v>3.5</c:v>
                </c:pt>
                <c:pt idx="15">
                  <c:v>4</c:v>
                </c:pt>
                <c:pt idx="16">
                  <c:v>2</c:v>
                </c:pt>
                <c:pt idx="17">
                  <c:v>0</c:v>
                </c:pt>
                <c:pt idx="18">
                  <c:v>6</c:v>
                </c:pt>
                <c:pt idx="19">
                  <c:v>4</c:v>
                </c:pt>
                <c:pt idx="20">
                  <c:v>2</c:v>
                </c:pt>
                <c:pt idx="21">
                  <c:v>0</c:v>
                </c:pt>
                <c:pt idx="22">
                  <c:v>1</c:v>
                </c:pt>
                <c:pt idx="23">
                  <c:v>2</c:v>
                </c:pt>
                <c:pt idx="24">
                  <c:v>2</c:v>
                </c:pt>
                <c:pt idx="25">
                  <c:v>4</c:v>
                </c:pt>
                <c:pt idx="26">
                  <c:v>0</c:v>
                </c:pt>
                <c:pt idx="27">
                  <c:v>0</c:v>
                </c:pt>
                <c:pt idx="28">
                  <c:v>2</c:v>
                </c:pt>
                <c:pt idx="29">
                  <c:v>0</c:v>
                </c:pt>
              </c:numCache>
            </c:numRef>
          </c:val>
          <c:smooth val="0"/>
        </c:ser>
        <c:dLbls>
          <c:showLegendKey val="0"/>
          <c:showVal val="0"/>
          <c:showCatName val="0"/>
          <c:showSerName val="0"/>
          <c:showPercent val="0"/>
          <c:showBubbleSize val="0"/>
        </c:dLbls>
        <c:marker val="0"/>
        <c:smooth val="0"/>
        <c:axId val="589957104"/>
        <c:axId val="589959456"/>
      </c:lineChart>
      <c:catAx>
        <c:axId val="5899571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89959456"/>
        <c:crosses val="autoZero"/>
        <c:auto val="1"/>
        <c:lblAlgn val="ctr"/>
        <c:lblOffset val="100"/>
        <c:noMultiLvlLbl val="0"/>
      </c:catAx>
      <c:valAx>
        <c:axId val="5899594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8995710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legend>
    <c:plotVisOnly val="1"/>
    <c:dispBlanksAs val="gap"/>
    <c:showDLblsOverMax val="0"/>
    <c:extLst>
      <c:ext uri="{0b15fc19-7d7d-44ad-8c2d-2c3a37ce22c3}">
        <chartProps xmlns="https://web.wps.cn/et/2018/main" chartId="{6412c3dc-4231-4f45-8bd0-d5e774e0254a}"/>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it-IT"/>
              <a:t>Internal</a:t>
            </a:r>
            <a:r>
              <a:rPr lang="it-IT" baseline="0"/>
              <a:t> Audit</a:t>
            </a:r>
            <a:endParaRPr lang="it-IT"/>
          </a:p>
        </c:rich>
      </c:tx>
      <c:layout/>
      <c:overlay val="0"/>
      <c:spPr>
        <a:noFill/>
        <a:ln>
          <a:noFill/>
        </a:ln>
        <a:effectLst/>
      </c:spPr>
    </c:title>
    <c:autoTitleDeleted val="0"/>
    <c:plotArea>
      <c:layout/>
      <c:barChart>
        <c:barDir val="col"/>
        <c:grouping val="clustered"/>
        <c:varyColors val="0"/>
        <c:ser>
          <c:idx val="0"/>
          <c:order val="0"/>
          <c:tx>
            <c:strRef>
              <c:f>'Tanker Data'!$B$238</c:f>
              <c:strCache>
                <c:ptCount val="1"/>
                <c:pt idx="0">
                  <c:v>Remarks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Data'!$A$239:$A$268</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Data'!$B$239:$B$268</c:f>
              <c:numCache>
                <c:formatCode>General</c:formatCode>
                <c:ptCount val="30"/>
                <c:pt idx="0">
                  <c:v>0</c:v>
                </c:pt>
                <c:pt idx="1">
                  <c:v>0</c:v>
                </c:pt>
                <c:pt idx="2">
                  <c:v>5</c:v>
                </c:pt>
                <c:pt idx="3">
                  <c:v>6</c:v>
                </c:pt>
                <c:pt idx="4">
                  <c:v>5</c:v>
                </c:pt>
                <c:pt idx="5">
                  <c:v>6</c:v>
                </c:pt>
                <c:pt idx="6">
                  <c:v>5</c:v>
                </c:pt>
                <c:pt idx="7">
                  <c:v>6</c:v>
                </c:pt>
                <c:pt idx="8">
                  <c:v>4</c:v>
                </c:pt>
                <c:pt idx="9">
                  <c:v>3</c:v>
                </c:pt>
                <c:pt idx="10">
                  <c:v>3</c:v>
                </c:pt>
                <c:pt idx="11">
                  <c:v>4</c:v>
                </c:pt>
                <c:pt idx="12">
                  <c:v>4</c:v>
                </c:pt>
                <c:pt idx="13">
                  <c:v>6</c:v>
                </c:pt>
                <c:pt idx="14">
                  <c:v>9</c:v>
                </c:pt>
                <c:pt idx="15">
                  <c:v>4</c:v>
                </c:pt>
                <c:pt idx="16">
                  <c:v>5</c:v>
                </c:pt>
                <c:pt idx="17">
                  <c:v>0</c:v>
                </c:pt>
                <c:pt idx="18">
                  <c:v>7</c:v>
                </c:pt>
                <c:pt idx="19">
                  <c:v>4</c:v>
                </c:pt>
                <c:pt idx="20">
                  <c:v>5</c:v>
                </c:pt>
                <c:pt idx="21">
                  <c:v>3</c:v>
                </c:pt>
                <c:pt idx="22">
                  <c:v>5</c:v>
                </c:pt>
                <c:pt idx="23">
                  <c:v>2</c:v>
                </c:pt>
                <c:pt idx="24">
                  <c:v>0</c:v>
                </c:pt>
                <c:pt idx="25">
                  <c:v>3</c:v>
                </c:pt>
                <c:pt idx="26">
                  <c:v>3</c:v>
                </c:pt>
                <c:pt idx="27">
                  <c:v>6</c:v>
                </c:pt>
                <c:pt idx="28">
                  <c:v>1</c:v>
                </c:pt>
                <c:pt idx="29">
                  <c:v>4</c:v>
                </c:pt>
              </c:numCache>
            </c:numRef>
          </c:val>
        </c:ser>
        <c:ser>
          <c:idx val="1"/>
          <c:order val="1"/>
          <c:tx>
            <c:strRef>
              <c:f>'Tanker Data'!$C$238</c:f>
              <c:strCache>
                <c:ptCount val="1"/>
                <c:pt idx="0">
                  <c:v>Non Conformity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Data'!$A$239:$A$268</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Data'!$C$239:$C$268</c:f>
              <c:numCache>
                <c:formatCode>General</c:formatCode>
                <c:ptCount val="30"/>
                <c:pt idx="0">
                  <c:v>0</c:v>
                </c:pt>
                <c:pt idx="1">
                  <c:v>0</c:v>
                </c:pt>
                <c:pt idx="2">
                  <c:v>0</c:v>
                </c:pt>
                <c:pt idx="3">
                  <c:v>0</c:v>
                </c:pt>
                <c:pt idx="4">
                  <c:v>1</c:v>
                </c:pt>
                <c:pt idx="5">
                  <c:v>0</c:v>
                </c:pt>
                <c:pt idx="6">
                  <c:v>0</c:v>
                </c:pt>
                <c:pt idx="7">
                  <c:v>0</c:v>
                </c:pt>
                <c:pt idx="8">
                  <c:v>0</c:v>
                </c:pt>
                <c:pt idx="9">
                  <c:v>0</c:v>
                </c:pt>
                <c:pt idx="10">
                  <c:v>1</c:v>
                </c:pt>
                <c:pt idx="11">
                  <c:v>1</c:v>
                </c:pt>
                <c:pt idx="12">
                  <c:v>0</c:v>
                </c:pt>
                <c:pt idx="13">
                  <c:v>1</c:v>
                </c:pt>
                <c:pt idx="14">
                  <c:v>1</c:v>
                </c:pt>
                <c:pt idx="15">
                  <c:v>0</c:v>
                </c:pt>
                <c:pt idx="16">
                  <c:v>1</c:v>
                </c:pt>
                <c:pt idx="17">
                  <c:v>0</c:v>
                </c:pt>
                <c:pt idx="18">
                  <c:v>0</c:v>
                </c:pt>
                <c:pt idx="19">
                  <c:v>0</c:v>
                </c:pt>
                <c:pt idx="20">
                  <c:v>1</c:v>
                </c:pt>
                <c:pt idx="21">
                  <c:v>0</c:v>
                </c:pt>
                <c:pt idx="22">
                  <c:v>0</c:v>
                </c:pt>
                <c:pt idx="23">
                  <c:v>0</c:v>
                </c:pt>
                <c:pt idx="24">
                  <c:v>0</c:v>
                </c:pt>
                <c:pt idx="25">
                  <c:v>1</c:v>
                </c:pt>
                <c:pt idx="26">
                  <c:v>0</c:v>
                </c:pt>
                <c:pt idx="27">
                  <c:v>1</c:v>
                </c:pt>
                <c:pt idx="28">
                  <c:v>0</c:v>
                </c:pt>
                <c:pt idx="29">
                  <c:v>0</c:v>
                </c:pt>
              </c:numCache>
            </c:numRef>
          </c:val>
        </c:ser>
        <c:ser>
          <c:idx val="2"/>
          <c:order val="2"/>
          <c:tx>
            <c:strRef>
              <c:f>'Tanker Data'!$D$238</c:f>
              <c:strCache>
                <c:ptCount val="1"/>
                <c:pt idx="0">
                  <c:v>Observation</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Data'!$A$239:$A$268</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Data'!$D$239:$D$268</c:f>
              <c:numCache>
                <c:formatCode>General</c:formatCode>
                <c:ptCount val="30"/>
                <c:pt idx="0">
                  <c:v>0</c:v>
                </c:pt>
                <c:pt idx="1">
                  <c:v>0</c:v>
                </c:pt>
                <c:pt idx="2">
                  <c:v>5</c:v>
                </c:pt>
                <c:pt idx="3">
                  <c:v>6</c:v>
                </c:pt>
                <c:pt idx="4">
                  <c:v>4</c:v>
                </c:pt>
                <c:pt idx="5">
                  <c:v>6</c:v>
                </c:pt>
                <c:pt idx="6">
                  <c:v>5</c:v>
                </c:pt>
                <c:pt idx="7">
                  <c:v>6</c:v>
                </c:pt>
                <c:pt idx="8">
                  <c:v>4</c:v>
                </c:pt>
                <c:pt idx="9">
                  <c:v>3</c:v>
                </c:pt>
                <c:pt idx="10">
                  <c:v>2</c:v>
                </c:pt>
                <c:pt idx="11">
                  <c:v>3</c:v>
                </c:pt>
                <c:pt idx="12">
                  <c:v>4</c:v>
                </c:pt>
                <c:pt idx="13">
                  <c:v>5</c:v>
                </c:pt>
                <c:pt idx="14">
                  <c:v>8</c:v>
                </c:pt>
                <c:pt idx="15">
                  <c:v>4</c:v>
                </c:pt>
                <c:pt idx="16">
                  <c:v>4</c:v>
                </c:pt>
                <c:pt idx="17">
                  <c:v>0</c:v>
                </c:pt>
                <c:pt idx="18">
                  <c:v>7</c:v>
                </c:pt>
                <c:pt idx="19">
                  <c:v>4</c:v>
                </c:pt>
                <c:pt idx="20">
                  <c:v>4</c:v>
                </c:pt>
                <c:pt idx="21">
                  <c:v>3</c:v>
                </c:pt>
                <c:pt idx="22">
                  <c:v>5</c:v>
                </c:pt>
                <c:pt idx="23">
                  <c:v>2</c:v>
                </c:pt>
                <c:pt idx="24">
                  <c:v>0</c:v>
                </c:pt>
                <c:pt idx="25">
                  <c:v>2</c:v>
                </c:pt>
                <c:pt idx="26">
                  <c:v>3</c:v>
                </c:pt>
                <c:pt idx="27">
                  <c:v>5</c:v>
                </c:pt>
                <c:pt idx="28">
                  <c:v>1</c:v>
                </c:pt>
                <c:pt idx="29">
                  <c:v>4</c:v>
                </c:pt>
              </c:numCache>
            </c:numRef>
          </c:val>
        </c:ser>
        <c:ser>
          <c:idx val="3"/>
          <c:order val="3"/>
          <c:tx>
            <c:strRef>
              <c:f>'Tanker Data'!$E$238</c:f>
              <c:strCache>
                <c:ptCount val="1"/>
                <c:pt idx="0">
                  <c:v>Inspection </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Data'!$A$239:$A$268</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Data'!$E$239:$E$268</c:f>
              <c:numCache>
                <c:formatCode>General</c:formatCode>
                <c:ptCount val="30"/>
                <c:pt idx="0">
                  <c:v>0</c:v>
                </c:pt>
                <c:pt idx="1">
                  <c:v>0</c:v>
                </c:pt>
                <c:pt idx="2">
                  <c:v>1</c:v>
                </c:pt>
                <c:pt idx="3">
                  <c:v>1</c:v>
                </c:pt>
                <c:pt idx="4">
                  <c:v>0</c:v>
                </c:pt>
                <c:pt idx="5">
                  <c:v>1</c:v>
                </c:pt>
                <c:pt idx="6">
                  <c:v>2</c:v>
                </c:pt>
                <c:pt idx="7">
                  <c:v>1</c:v>
                </c:pt>
                <c:pt idx="8">
                  <c:v>1</c:v>
                </c:pt>
                <c:pt idx="9">
                  <c:v>1</c:v>
                </c:pt>
                <c:pt idx="10">
                  <c:v>1</c:v>
                </c:pt>
                <c:pt idx="11">
                  <c:v>1</c:v>
                </c:pt>
                <c:pt idx="12">
                  <c:v>1</c:v>
                </c:pt>
                <c:pt idx="13">
                  <c:v>1</c:v>
                </c:pt>
                <c:pt idx="14">
                  <c:v>2</c:v>
                </c:pt>
                <c:pt idx="15">
                  <c:v>1</c:v>
                </c:pt>
                <c:pt idx="16">
                  <c:v>1</c:v>
                </c:pt>
                <c:pt idx="17">
                  <c:v>0</c:v>
                </c:pt>
                <c:pt idx="18">
                  <c:v>1</c:v>
                </c:pt>
                <c:pt idx="19">
                  <c:v>1</c:v>
                </c:pt>
                <c:pt idx="20">
                  <c:v>1</c:v>
                </c:pt>
                <c:pt idx="21">
                  <c:v>1</c:v>
                </c:pt>
                <c:pt idx="22">
                  <c:v>2</c:v>
                </c:pt>
                <c:pt idx="23">
                  <c:v>1</c:v>
                </c:pt>
                <c:pt idx="24">
                  <c:v>0</c:v>
                </c:pt>
                <c:pt idx="25">
                  <c:v>1</c:v>
                </c:pt>
                <c:pt idx="26">
                  <c:v>1</c:v>
                </c:pt>
                <c:pt idx="27">
                  <c:v>1</c:v>
                </c:pt>
                <c:pt idx="28">
                  <c:v>1</c:v>
                </c:pt>
                <c:pt idx="29">
                  <c:v>1</c:v>
                </c:pt>
              </c:numCache>
            </c:numRef>
          </c:val>
        </c:ser>
        <c:dLbls>
          <c:showLegendKey val="0"/>
          <c:showVal val="0"/>
          <c:showCatName val="0"/>
          <c:showSerName val="0"/>
          <c:showPercent val="0"/>
          <c:showBubbleSize val="0"/>
        </c:dLbls>
        <c:gapWidth val="75"/>
        <c:axId val="589957888"/>
        <c:axId val="589961416"/>
      </c:barChart>
      <c:lineChart>
        <c:grouping val="standard"/>
        <c:varyColors val="0"/>
        <c:ser>
          <c:idx val="4"/>
          <c:order val="4"/>
          <c:tx>
            <c:strRef>
              <c:f>'Tanker Data'!$F$238</c:f>
              <c:strCache>
                <c:ptCount val="1"/>
                <c:pt idx="0">
                  <c:v>Average Remarks</c:v>
                </c:pt>
              </c:strCache>
            </c:strRef>
          </c:tx>
          <c:spPr>
            <a:ln w="34925" cap="rnd">
              <a:solidFill>
                <a:schemeClr val="accent5"/>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Data'!$A$239:$A$268</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Data'!$F$239:$F$268</c:f>
              <c:numCache>
                <c:formatCode>General</c:formatCode>
                <c:ptCount val="30"/>
                <c:pt idx="0">
                  <c:v>0</c:v>
                </c:pt>
                <c:pt idx="1">
                  <c:v>0</c:v>
                </c:pt>
                <c:pt idx="2">
                  <c:v>5</c:v>
                </c:pt>
                <c:pt idx="3">
                  <c:v>6</c:v>
                </c:pt>
                <c:pt idx="4">
                  <c:v>0</c:v>
                </c:pt>
                <c:pt idx="5">
                  <c:v>6</c:v>
                </c:pt>
                <c:pt idx="6">
                  <c:v>2.5</c:v>
                </c:pt>
                <c:pt idx="7">
                  <c:v>6</c:v>
                </c:pt>
                <c:pt idx="8">
                  <c:v>4</c:v>
                </c:pt>
                <c:pt idx="9">
                  <c:v>3</c:v>
                </c:pt>
                <c:pt idx="10">
                  <c:v>3</c:v>
                </c:pt>
                <c:pt idx="11">
                  <c:v>4</c:v>
                </c:pt>
                <c:pt idx="12">
                  <c:v>4</c:v>
                </c:pt>
                <c:pt idx="13">
                  <c:v>6</c:v>
                </c:pt>
                <c:pt idx="14">
                  <c:v>4.5</c:v>
                </c:pt>
                <c:pt idx="15">
                  <c:v>4</c:v>
                </c:pt>
                <c:pt idx="16">
                  <c:v>5</c:v>
                </c:pt>
                <c:pt idx="17">
                  <c:v>0</c:v>
                </c:pt>
                <c:pt idx="18">
                  <c:v>7</c:v>
                </c:pt>
                <c:pt idx="19">
                  <c:v>4</c:v>
                </c:pt>
                <c:pt idx="20">
                  <c:v>5</c:v>
                </c:pt>
                <c:pt idx="21">
                  <c:v>3</c:v>
                </c:pt>
                <c:pt idx="22">
                  <c:v>2.5</c:v>
                </c:pt>
                <c:pt idx="23">
                  <c:v>2</c:v>
                </c:pt>
                <c:pt idx="24">
                  <c:v>0</c:v>
                </c:pt>
                <c:pt idx="25">
                  <c:v>3</c:v>
                </c:pt>
                <c:pt idx="26">
                  <c:v>3</c:v>
                </c:pt>
                <c:pt idx="27">
                  <c:v>6</c:v>
                </c:pt>
                <c:pt idx="28">
                  <c:v>1</c:v>
                </c:pt>
                <c:pt idx="29">
                  <c:v>4</c:v>
                </c:pt>
              </c:numCache>
            </c:numRef>
          </c:val>
          <c:smooth val="0"/>
        </c:ser>
        <c:ser>
          <c:idx val="5"/>
          <c:order val="5"/>
          <c:tx>
            <c:strRef>
              <c:f>'Tanker Data'!$G$238</c:f>
              <c:strCache>
                <c:ptCount val="1"/>
                <c:pt idx="0">
                  <c:v>Avrage Nc</c:v>
                </c:pt>
              </c:strCache>
            </c:strRef>
          </c:tx>
          <c:spPr>
            <a:ln w="34925" cap="rnd">
              <a:solidFill>
                <a:schemeClr val="accent6"/>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Data'!$A$239:$A$268</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Data'!$G$239:$G$268</c:f>
              <c:numCache>
                <c:formatCode>General</c:formatCode>
                <c:ptCount val="30"/>
                <c:pt idx="0">
                  <c:v>0</c:v>
                </c:pt>
                <c:pt idx="1">
                  <c:v>0</c:v>
                </c:pt>
                <c:pt idx="2">
                  <c:v>0</c:v>
                </c:pt>
                <c:pt idx="3">
                  <c:v>0</c:v>
                </c:pt>
                <c:pt idx="4">
                  <c:v>0</c:v>
                </c:pt>
                <c:pt idx="5">
                  <c:v>0</c:v>
                </c:pt>
                <c:pt idx="6">
                  <c:v>0</c:v>
                </c:pt>
                <c:pt idx="7">
                  <c:v>0</c:v>
                </c:pt>
                <c:pt idx="8">
                  <c:v>0</c:v>
                </c:pt>
                <c:pt idx="9">
                  <c:v>0</c:v>
                </c:pt>
                <c:pt idx="10">
                  <c:v>1</c:v>
                </c:pt>
                <c:pt idx="11">
                  <c:v>1</c:v>
                </c:pt>
                <c:pt idx="12">
                  <c:v>0</c:v>
                </c:pt>
                <c:pt idx="13">
                  <c:v>1</c:v>
                </c:pt>
                <c:pt idx="14">
                  <c:v>0.5</c:v>
                </c:pt>
                <c:pt idx="15">
                  <c:v>0</c:v>
                </c:pt>
                <c:pt idx="16">
                  <c:v>1</c:v>
                </c:pt>
                <c:pt idx="17">
                  <c:v>0</c:v>
                </c:pt>
                <c:pt idx="18">
                  <c:v>0</c:v>
                </c:pt>
                <c:pt idx="19">
                  <c:v>0</c:v>
                </c:pt>
                <c:pt idx="20">
                  <c:v>1</c:v>
                </c:pt>
                <c:pt idx="21">
                  <c:v>0</c:v>
                </c:pt>
                <c:pt idx="22">
                  <c:v>0</c:v>
                </c:pt>
                <c:pt idx="23">
                  <c:v>0</c:v>
                </c:pt>
                <c:pt idx="24">
                  <c:v>0</c:v>
                </c:pt>
                <c:pt idx="25">
                  <c:v>1</c:v>
                </c:pt>
                <c:pt idx="26">
                  <c:v>0</c:v>
                </c:pt>
                <c:pt idx="27">
                  <c:v>1</c:v>
                </c:pt>
                <c:pt idx="28">
                  <c:v>0</c:v>
                </c:pt>
                <c:pt idx="29">
                  <c:v>0</c:v>
                </c:pt>
              </c:numCache>
            </c:numRef>
          </c:val>
          <c:smooth val="0"/>
        </c:ser>
        <c:ser>
          <c:idx val="6"/>
          <c:order val="6"/>
          <c:tx>
            <c:strRef>
              <c:f>'Tanker Data'!$H$238</c:f>
              <c:strCache>
                <c:ptCount val="1"/>
                <c:pt idx="0">
                  <c:v>Average obs</c:v>
                </c:pt>
              </c:strCache>
            </c:strRef>
          </c:tx>
          <c:spPr>
            <a:ln w="34925" cap="rnd">
              <a:solidFill>
                <a:schemeClr val="accent1">
                  <a:lumMod val="60000"/>
                </a:schemeClr>
              </a:solidFill>
              <a:round/>
            </a:ln>
            <a:effectLst>
              <a:outerShdw blurRad="40000" dist="23000" dir="5400000" rotWithShape="0">
                <a:srgbClr val="000000">
                  <a:alpha val="35000"/>
                </a:srgbClr>
              </a:outerShdw>
            </a:effectLst>
          </c:spPr>
          <c:marker>
            <c:symbol val="none"/>
          </c:marker>
          <c:dLbls>
            <c:dLbl>
              <c:idx val="0"/>
              <c:delete val="1"/>
            </c:dLbl>
            <c:dLbl>
              <c:idx val="1"/>
              <c:delete val="1"/>
            </c:dLbl>
            <c:dLbl>
              <c:idx val="2"/>
              <c:delete val="1"/>
            </c:dLbl>
            <c:dLbl>
              <c:idx val="3"/>
              <c:delete val="1"/>
            </c:dLbl>
            <c:dLbl>
              <c:idx val="4"/>
              <c:delete val="1"/>
            </c:dLbl>
            <c:dLbl>
              <c:idx val="5"/>
              <c:delete val="1"/>
            </c:dLbl>
            <c:dLbl>
              <c:idx val="6"/>
              <c:delete val="1"/>
            </c:dLbl>
            <c:dLbl>
              <c:idx val="7"/>
              <c:delete val="1"/>
            </c:dLbl>
            <c:dLbl>
              <c:idx val="8"/>
              <c:delete val="1"/>
            </c:dLbl>
            <c:dLbl>
              <c:idx val="9"/>
              <c:delete val="1"/>
            </c:dLbl>
            <c:dLbl>
              <c:idx val="10"/>
              <c:layout/>
              <c:dLblPos val="r"/>
              <c:showLegendKey val="0"/>
              <c:showVal val="1"/>
              <c:showCatName val="0"/>
              <c:showSerName val="0"/>
              <c:showPercent val="0"/>
              <c:showBubbleSize val="0"/>
              <c:extLst>
                <c:ext xmlns:c15="http://schemas.microsoft.com/office/drawing/2012/chart" uri="{CE6537A1-D6FC-4f65-9D91-7224C49458BB}"/>
              </c:extLst>
            </c:dLbl>
            <c:dLbl>
              <c:idx val="11"/>
              <c:delete val="1"/>
            </c:dLbl>
            <c:dLbl>
              <c:idx val="12"/>
              <c:delete val="1"/>
            </c:dLbl>
            <c:dLbl>
              <c:idx val="13"/>
              <c:delete val="1"/>
            </c:dLbl>
            <c:dLbl>
              <c:idx val="14"/>
              <c:delete val="1"/>
            </c:dLbl>
            <c:dLbl>
              <c:idx val="15"/>
              <c:delete val="1"/>
            </c:dLbl>
            <c:dLbl>
              <c:idx val="16"/>
              <c:delete val="1"/>
            </c:dLbl>
            <c:dLbl>
              <c:idx val="17"/>
              <c:delete val="1"/>
            </c:dLbl>
            <c:dLbl>
              <c:idx val="18"/>
              <c:delete val="1"/>
            </c:dLbl>
            <c:dLbl>
              <c:idx val="19"/>
              <c:delete val="1"/>
            </c:dLbl>
            <c:dLbl>
              <c:idx val="20"/>
              <c:delete val="1"/>
            </c:dLbl>
            <c:dLbl>
              <c:idx val="21"/>
              <c:delete val="1"/>
            </c:dLbl>
            <c:dLbl>
              <c:idx val="22"/>
              <c:delete val="1"/>
            </c:dLbl>
            <c:dLbl>
              <c:idx val="23"/>
              <c:delete val="1"/>
            </c:dLbl>
            <c:dLbl>
              <c:idx val="24"/>
              <c:delete val="1"/>
            </c:dLbl>
            <c:dLbl>
              <c:idx val="25"/>
              <c:delete val="1"/>
            </c:dLbl>
            <c:dLbl>
              <c:idx val="26"/>
              <c:delete val="1"/>
            </c:dLbl>
            <c:dLbl>
              <c:idx val="27"/>
              <c:delete val="1"/>
            </c:dLbl>
            <c:dLbl>
              <c:idx val="28"/>
              <c:delete val="1"/>
            </c:dLbl>
            <c:dLbl>
              <c:idx val="29"/>
              <c:delete val="1"/>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0"/>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Data'!$A$239:$A$268</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Data'!$H$239:$H$268</c:f>
              <c:numCache>
                <c:formatCode>General</c:formatCode>
                <c:ptCount val="30"/>
                <c:pt idx="0">
                  <c:v>0</c:v>
                </c:pt>
                <c:pt idx="1">
                  <c:v>0</c:v>
                </c:pt>
                <c:pt idx="2">
                  <c:v>5</c:v>
                </c:pt>
                <c:pt idx="3">
                  <c:v>6</c:v>
                </c:pt>
                <c:pt idx="4">
                  <c:v>0</c:v>
                </c:pt>
                <c:pt idx="5">
                  <c:v>6</c:v>
                </c:pt>
                <c:pt idx="6">
                  <c:v>2.5</c:v>
                </c:pt>
                <c:pt idx="7">
                  <c:v>6</c:v>
                </c:pt>
                <c:pt idx="8">
                  <c:v>4</c:v>
                </c:pt>
                <c:pt idx="9">
                  <c:v>3</c:v>
                </c:pt>
                <c:pt idx="10">
                  <c:v>2</c:v>
                </c:pt>
                <c:pt idx="11">
                  <c:v>3</c:v>
                </c:pt>
                <c:pt idx="12">
                  <c:v>4</c:v>
                </c:pt>
                <c:pt idx="13">
                  <c:v>5</c:v>
                </c:pt>
                <c:pt idx="14">
                  <c:v>4</c:v>
                </c:pt>
                <c:pt idx="15">
                  <c:v>4</c:v>
                </c:pt>
                <c:pt idx="16">
                  <c:v>4</c:v>
                </c:pt>
                <c:pt idx="17">
                  <c:v>0</c:v>
                </c:pt>
                <c:pt idx="18">
                  <c:v>7</c:v>
                </c:pt>
                <c:pt idx="19">
                  <c:v>4</c:v>
                </c:pt>
                <c:pt idx="20">
                  <c:v>4</c:v>
                </c:pt>
                <c:pt idx="21">
                  <c:v>3</c:v>
                </c:pt>
                <c:pt idx="22">
                  <c:v>2.5</c:v>
                </c:pt>
                <c:pt idx="23">
                  <c:v>2</c:v>
                </c:pt>
                <c:pt idx="24">
                  <c:v>0</c:v>
                </c:pt>
                <c:pt idx="25">
                  <c:v>2</c:v>
                </c:pt>
                <c:pt idx="26">
                  <c:v>3</c:v>
                </c:pt>
                <c:pt idx="27">
                  <c:v>5</c:v>
                </c:pt>
                <c:pt idx="28">
                  <c:v>1</c:v>
                </c:pt>
                <c:pt idx="29">
                  <c:v>4</c:v>
                </c:pt>
              </c:numCache>
            </c:numRef>
          </c:val>
          <c:smooth val="0"/>
        </c:ser>
        <c:dLbls>
          <c:showLegendKey val="0"/>
          <c:showVal val="0"/>
          <c:showCatName val="0"/>
          <c:showSerName val="0"/>
          <c:showPercent val="0"/>
          <c:showBubbleSize val="0"/>
        </c:dLbls>
        <c:marker val="0"/>
        <c:smooth val="0"/>
        <c:axId val="589957888"/>
        <c:axId val="589961416"/>
      </c:lineChart>
      <c:catAx>
        <c:axId val="5899578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89961416"/>
        <c:crosses val="autoZero"/>
        <c:auto val="1"/>
        <c:lblAlgn val="ctr"/>
        <c:lblOffset val="100"/>
        <c:noMultiLvlLbl val="0"/>
      </c:catAx>
      <c:valAx>
        <c:axId val="5899614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8995788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legend>
    <c:plotVisOnly val="1"/>
    <c:dispBlanksAs val="gap"/>
    <c:showDLblsOverMax val="0"/>
    <c:extLst>
      <c:ext uri="{0b15fc19-7d7d-44ad-8c2d-2c3a37ce22c3}">
        <chartProps xmlns="https://web.wps.cn/et/2018/main" chartId="{a55ef133-13eb-4844-9039-9906d8ad538f}"/>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it-IT"/>
              <a:t>Navigation Audit</a:t>
            </a:r>
            <a:endParaRPr lang="it-IT"/>
          </a:p>
        </c:rich>
      </c:tx>
      <c:layout/>
      <c:overlay val="0"/>
      <c:spPr>
        <a:noFill/>
        <a:ln>
          <a:noFill/>
        </a:ln>
        <a:effectLst/>
      </c:spPr>
    </c:title>
    <c:autoTitleDeleted val="0"/>
    <c:plotArea>
      <c:layout/>
      <c:barChart>
        <c:barDir val="col"/>
        <c:grouping val="clustered"/>
        <c:varyColors val="0"/>
        <c:ser>
          <c:idx val="0"/>
          <c:order val="0"/>
          <c:tx>
            <c:strRef>
              <c:f>'Tanker Data'!$B$272</c:f>
              <c:strCache>
                <c:ptCount val="1"/>
                <c:pt idx="0">
                  <c:v>Remarks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Data'!$A$273:$A$302</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Data'!$B$273:$B$302</c:f>
              <c:numCache>
                <c:formatCode>General</c:formatCode>
                <c:ptCount val="30"/>
                <c:pt idx="0">
                  <c:v>0</c:v>
                </c:pt>
                <c:pt idx="1">
                  <c:v>0</c:v>
                </c:pt>
                <c:pt idx="2">
                  <c:v>3</c:v>
                </c:pt>
                <c:pt idx="3">
                  <c:v>3</c:v>
                </c:pt>
                <c:pt idx="4">
                  <c:v>4</c:v>
                </c:pt>
                <c:pt idx="5">
                  <c:v>2</c:v>
                </c:pt>
                <c:pt idx="6">
                  <c:v>1</c:v>
                </c:pt>
                <c:pt idx="7">
                  <c:v>3</c:v>
                </c:pt>
                <c:pt idx="8">
                  <c:v>7</c:v>
                </c:pt>
                <c:pt idx="9">
                  <c:v>2</c:v>
                </c:pt>
                <c:pt idx="10">
                  <c:v>6</c:v>
                </c:pt>
                <c:pt idx="11">
                  <c:v>2</c:v>
                </c:pt>
                <c:pt idx="12">
                  <c:v>0</c:v>
                </c:pt>
                <c:pt idx="13">
                  <c:v>4</c:v>
                </c:pt>
                <c:pt idx="14">
                  <c:v>3</c:v>
                </c:pt>
                <c:pt idx="15">
                  <c:v>2</c:v>
                </c:pt>
                <c:pt idx="16">
                  <c:v>4</c:v>
                </c:pt>
                <c:pt idx="17">
                  <c:v>0</c:v>
                </c:pt>
                <c:pt idx="18">
                  <c:v>0</c:v>
                </c:pt>
                <c:pt idx="19">
                  <c:v>4</c:v>
                </c:pt>
                <c:pt idx="20">
                  <c:v>1</c:v>
                </c:pt>
                <c:pt idx="21">
                  <c:v>2</c:v>
                </c:pt>
                <c:pt idx="22">
                  <c:v>4</c:v>
                </c:pt>
                <c:pt idx="23">
                  <c:v>3</c:v>
                </c:pt>
                <c:pt idx="24">
                  <c:v>2</c:v>
                </c:pt>
                <c:pt idx="25">
                  <c:v>4</c:v>
                </c:pt>
                <c:pt idx="26">
                  <c:v>0</c:v>
                </c:pt>
                <c:pt idx="27">
                  <c:v>0</c:v>
                </c:pt>
                <c:pt idx="28">
                  <c:v>2</c:v>
                </c:pt>
                <c:pt idx="29">
                  <c:v>3</c:v>
                </c:pt>
              </c:numCache>
            </c:numRef>
          </c:val>
        </c:ser>
        <c:ser>
          <c:idx val="1"/>
          <c:order val="1"/>
          <c:tx>
            <c:strRef>
              <c:f>'Tanker Data'!$C$272</c:f>
              <c:strCache>
                <c:ptCount val="1"/>
                <c:pt idx="0">
                  <c:v>Non Conformity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Data'!$A$273:$A$302</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Data'!$C$273:$C$302</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er>
        <c:ser>
          <c:idx val="2"/>
          <c:order val="2"/>
          <c:tx>
            <c:strRef>
              <c:f>'Tanker Data'!$D$272</c:f>
              <c:strCache>
                <c:ptCount val="1"/>
                <c:pt idx="0">
                  <c:v>Observation</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Data'!$A$273:$A$302</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Data'!$D$273:$D$302</c:f>
              <c:numCache>
                <c:formatCode>General</c:formatCode>
                <c:ptCount val="30"/>
                <c:pt idx="0">
                  <c:v>0</c:v>
                </c:pt>
                <c:pt idx="1">
                  <c:v>0</c:v>
                </c:pt>
                <c:pt idx="2">
                  <c:v>3</c:v>
                </c:pt>
                <c:pt idx="3">
                  <c:v>3</c:v>
                </c:pt>
                <c:pt idx="4">
                  <c:v>4</c:v>
                </c:pt>
                <c:pt idx="5">
                  <c:v>2</c:v>
                </c:pt>
                <c:pt idx="6">
                  <c:v>1</c:v>
                </c:pt>
                <c:pt idx="7">
                  <c:v>3</c:v>
                </c:pt>
                <c:pt idx="8">
                  <c:v>7</c:v>
                </c:pt>
                <c:pt idx="9">
                  <c:v>2</c:v>
                </c:pt>
                <c:pt idx="10">
                  <c:v>6</c:v>
                </c:pt>
                <c:pt idx="11">
                  <c:v>2</c:v>
                </c:pt>
                <c:pt idx="12">
                  <c:v>0</c:v>
                </c:pt>
                <c:pt idx="13">
                  <c:v>4</c:v>
                </c:pt>
                <c:pt idx="14">
                  <c:v>3</c:v>
                </c:pt>
                <c:pt idx="15">
                  <c:v>2</c:v>
                </c:pt>
                <c:pt idx="16">
                  <c:v>3</c:v>
                </c:pt>
                <c:pt idx="17">
                  <c:v>0</c:v>
                </c:pt>
                <c:pt idx="18">
                  <c:v>0</c:v>
                </c:pt>
                <c:pt idx="19">
                  <c:v>4</c:v>
                </c:pt>
                <c:pt idx="20">
                  <c:v>1</c:v>
                </c:pt>
                <c:pt idx="21">
                  <c:v>2</c:v>
                </c:pt>
                <c:pt idx="22">
                  <c:v>4</c:v>
                </c:pt>
                <c:pt idx="23">
                  <c:v>3</c:v>
                </c:pt>
                <c:pt idx="24">
                  <c:v>2</c:v>
                </c:pt>
                <c:pt idx="25">
                  <c:v>4</c:v>
                </c:pt>
                <c:pt idx="26">
                  <c:v>0</c:v>
                </c:pt>
                <c:pt idx="27">
                  <c:v>0</c:v>
                </c:pt>
                <c:pt idx="28">
                  <c:v>2</c:v>
                </c:pt>
                <c:pt idx="29">
                  <c:v>3</c:v>
                </c:pt>
              </c:numCache>
            </c:numRef>
          </c:val>
        </c:ser>
        <c:ser>
          <c:idx val="3"/>
          <c:order val="3"/>
          <c:tx>
            <c:strRef>
              <c:f>'Tanker Data'!$E$272</c:f>
              <c:strCache>
                <c:ptCount val="1"/>
                <c:pt idx="0">
                  <c:v>Inspection </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Data'!$A$273:$A$302</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Data'!$E$273:$E$302</c:f>
              <c:numCache>
                <c:formatCode>General</c:formatCode>
                <c:ptCount val="30"/>
                <c:pt idx="0">
                  <c:v>0</c:v>
                </c:pt>
                <c:pt idx="1">
                  <c:v>0</c:v>
                </c:pt>
                <c:pt idx="2">
                  <c:v>1</c:v>
                </c:pt>
                <c:pt idx="3">
                  <c:v>1</c:v>
                </c:pt>
                <c:pt idx="4">
                  <c:v>0</c:v>
                </c:pt>
                <c:pt idx="5">
                  <c:v>1</c:v>
                </c:pt>
                <c:pt idx="6">
                  <c:v>1</c:v>
                </c:pt>
                <c:pt idx="7">
                  <c:v>1</c:v>
                </c:pt>
                <c:pt idx="8">
                  <c:v>1</c:v>
                </c:pt>
                <c:pt idx="9">
                  <c:v>1</c:v>
                </c:pt>
                <c:pt idx="10">
                  <c:v>1</c:v>
                </c:pt>
                <c:pt idx="11">
                  <c:v>1</c:v>
                </c:pt>
                <c:pt idx="12">
                  <c:v>0</c:v>
                </c:pt>
                <c:pt idx="13">
                  <c:v>1</c:v>
                </c:pt>
                <c:pt idx="14">
                  <c:v>1</c:v>
                </c:pt>
                <c:pt idx="15">
                  <c:v>1</c:v>
                </c:pt>
                <c:pt idx="16">
                  <c:v>1</c:v>
                </c:pt>
                <c:pt idx="17">
                  <c:v>0</c:v>
                </c:pt>
                <c:pt idx="18">
                  <c:v>0</c:v>
                </c:pt>
                <c:pt idx="19">
                  <c:v>1</c:v>
                </c:pt>
                <c:pt idx="20">
                  <c:v>1</c:v>
                </c:pt>
                <c:pt idx="21">
                  <c:v>1</c:v>
                </c:pt>
                <c:pt idx="22">
                  <c:v>1</c:v>
                </c:pt>
                <c:pt idx="23">
                  <c:v>1</c:v>
                </c:pt>
                <c:pt idx="24">
                  <c:v>1</c:v>
                </c:pt>
                <c:pt idx="25">
                  <c:v>1</c:v>
                </c:pt>
                <c:pt idx="26">
                  <c:v>0</c:v>
                </c:pt>
                <c:pt idx="27">
                  <c:v>0</c:v>
                </c:pt>
                <c:pt idx="28">
                  <c:v>1</c:v>
                </c:pt>
                <c:pt idx="29">
                  <c:v>1</c:v>
                </c:pt>
              </c:numCache>
            </c:numRef>
          </c:val>
        </c:ser>
        <c:dLbls>
          <c:showLegendKey val="0"/>
          <c:showVal val="0"/>
          <c:showCatName val="0"/>
          <c:showSerName val="0"/>
          <c:showPercent val="0"/>
          <c:showBubbleSize val="0"/>
        </c:dLbls>
        <c:gapWidth val="75"/>
        <c:axId val="589962200"/>
        <c:axId val="589962592"/>
      </c:barChart>
      <c:lineChart>
        <c:grouping val="standard"/>
        <c:varyColors val="0"/>
        <c:ser>
          <c:idx val="4"/>
          <c:order val="4"/>
          <c:tx>
            <c:strRef>
              <c:f>'Tanker Data'!$F$272</c:f>
              <c:strCache>
                <c:ptCount val="1"/>
                <c:pt idx="0">
                  <c:v>Average Remarks</c:v>
                </c:pt>
              </c:strCache>
            </c:strRef>
          </c:tx>
          <c:spPr>
            <a:ln w="34925" cap="rnd">
              <a:solidFill>
                <a:schemeClr val="accent5"/>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Data'!$A$273:$A$302</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Data'!$F$273:$F$302</c:f>
              <c:numCache>
                <c:formatCode>General</c:formatCode>
                <c:ptCount val="30"/>
                <c:pt idx="0">
                  <c:v>0</c:v>
                </c:pt>
                <c:pt idx="1">
                  <c:v>0</c:v>
                </c:pt>
                <c:pt idx="2">
                  <c:v>3</c:v>
                </c:pt>
                <c:pt idx="3">
                  <c:v>3</c:v>
                </c:pt>
                <c:pt idx="4">
                  <c:v>0</c:v>
                </c:pt>
                <c:pt idx="5">
                  <c:v>2</c:v>
                </c:pt>
                <c:pt idx="6">
                  <c:v>1</c:v>
                </c:pt>
                <c:pt idx="7">
                  <c:v>3</c:v>
                </c:pt>
                <c:pt idx="8">
                  <c:v>7</c:v>
                </c:pt>
                <c:pt idx="9">
                  <c:v>2</c:v>
                </c:pt>
                <c:pt idx="10">
                  <c:v>6</c:v>
                </c:pt>
                <c:pt idx="11">
                  <c:v>2</c:v>
                </c:pt>
                <c:pt idx="12">
                  <c:v>0</c:v>
                </c:pt>
                <c:pt idx="13">
                  <c:v>4</c:v>
                </c:pt>
                <c:pt idx="14">
                  <c:v>3</c:v>
                </c:pt>
                <c:pt idx="15">
                  <c:v>2</c:v>
                </c:pt>
                <c:pt idx="16">
                  <c:v>4</c:v>
                </c:pt>
                <c:pt idx="17">
                  <c:v>0</c:v>
                </c:pt>
                <c:pt idx="18">
                  <c:v>0</c:v>
                </c:pt>
                <c:pt idx="19">
                  <c:v>4</c:v>
                </c:pt>
                <c:pt idx="20">
                  <c:v>1</c:v>
                </c:pt>
                <c:pt idx="21">
                  <c:v>2</c:v>
                </c:pt>
                <c:pt idx="22">
                  <c:v>4</c:v>
                </c:pt>
                <c:pt idx="23">
                  <c:v>3</c:v>
                </c:pt>
                <c:pt idx="24">
                  <c:v>2</c:v>
                </c:pt>
                <c:pt idx="25">
                  <c:v>4</c:v>
                </c:pt>
                <c:pt idx="26">
                  <c:v>0</c:v>
                </c:pt>
                <c:pt idx="27">
                  <c:v>0</c:v>
                </c:pt>
                <c:pt idx="28">
                  <c:v>2</c:v>
                </c:pt>
                <c:pt idx="29">
                  <c:v>3</c:v>
                </c:pt>
              </c:numCache>
            </c:numRef>
          </c:val>
          <c:smooth val="0"/>
        </c:ser>
        <c:ser>
          <c:idx val="5"/>
          <c:order val="5"/>
          <c:tx>
            <c:strRef>
              <c:f>'Tanker Data'!$G$272</c:f>
              <c:strCache>
                <c:ptCount val="1"/>
                <c:pt idx="0">
                  <c:v>Avrage Nc</c:v>
                </c:pt>
              </c:strCache>
            </c:strRef>
          </c:tx>
          <c:spPr>
            <a:ln w="34925" cap="rnd">
              <a:solidFill>
                <a:schemeClr val="accent6"/>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Data'!$A$273:$A$302</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Data'!$G$273:$G$302</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ser>
        <c:ser>
          <c:idx val="6"/>
          <c:order val="6"/>
          <c:tx>
            <c:strRef>
              <c:f>'Tanker Data'!$H$272</c:f>
              <c:strCache>
                <c:ptCount val="1"/>
                <c:pt idx="0">
                  <c:v>Average obs</c:v>
                </c:pt>
              </c:strCache>
            </c:strRef>
          </c:tx>
          <c:spPr>
            <a:ln w="34925" cap="rnd">
              <a:solidFill>
                <a:schemeClr val="accent1">
                  <a:lumMod val="60000"/>
                </a:schemeClr>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Data'!$A$273:$A$302</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Data'!$H$273:$H$302</c:f>
              <c:numCache>
                <c:formatCode>General</c:formatCode>
                <c:ptCount val="30"/>
                <c:pt idx="0">
                  <c:v>0</c:v>
                </c:pt>
                <c:pt idx="1">
                  <c:v>0</c:v>
                </c:pt>
                <c:pt idx="2">
                  <c:v>3</c:v>
                </c:pt>
                <c:pt idx="3">
                  <c:v>3</c:v>
                </c:pt>
                <c:pt idx="4">
                  <c:v>0</c:v>
                </c:pt>
                <c:pt idx="5">
                  <c:v>2</c:v>
                </c:pt>
                <c:pt idx="6">
                  <c:v>1</c:v>
                </c:pt>
                <c:pt idx="7">
                  <c:v>3</c:v>
                </c:pt>
                <c:pt idx="8">
                  <c:v>7</c:v>
                </c:pt>
                <c:pt idx="9">
                  <c:v>2</c:v>
                </c:pt>
                <c:pt idx="10">
                  <c:v>6</c:v>
                </c:pt>
                <c:pt idx="11">
                  <c:v>2</c:v>
                </c:pt>
                <c:pt idx="12">
                  <c:v>0</c:v>
                </c:pt>
                <c:pt idx="13">
                  <c:v>4</c:v>
                </c:pt>
                <c:pt idx="14">
                  <c:v>3</c:v>
                </c:pt>
                <c:pt idx="15">
                  <c:v>2</c:v>
                </c:pt>
                <c:pt idx="16">
                  <c:v>3</c:v>
                </c:pt>
                <c:pt idx="17">
                  <c:v>0</c:v>
                </c:pt>
                <c:pt idx="18">
                  <c:v>0</c:v>
                </c:pt>
                <c:pt idx="19">
                  <c:v>4</c:v>
                </c:pt>
                <c:pt idx="20">
                  <c:v>1</c:v>
                </c:pt>
                <c:pt idx="21">
                  <c:v>2</c:v>
                </c:pt>
                <c:pt idx="22">
                  <c:v>4</c:v>
                </c:pt>
                <c:pt idx="23">
                  <c:v>3</c:v>
                </c:pt>
                <c:pt idx="24">
                  <c:v>2</c:v>
                </c:pt>
                <c:pt idx="25">
                  <c:v>4</c:v>
                </c:pt>
                <c:pt idx="26">
                  <c:v>0</c:v>
                </c:pt>
                <c:pt idx="27">
                  <c:v>0</c:v>
                </c:pt>
                <c:pt idx="28">
                  <c:v>2</c:v>
                </c:pt>
                <c:pt idx="29">
                  <c:v>3</c:v>
                </c:pt>
              </c:numCache>
            </c:numRef>
          </c:val>
          <c:smooth val="0"/>
        </c:ser>
        <c:dLbls>
          <c:showLegendKey val="0"/>
          <c:showVal val="0"/>
          <c:showCatName val="0"/>
          <c:showSerName val="0"/>
          <c:showPercent val="0"/>
          <c:showBubbleSize val="0"/>
        </c:dLbls>
        <c:marker val="0"/>
        <c:smooth val="0"/>
        <c:axId val="589962200"/>
        <c:axId val="589962592"/>
      </c:lineChart>
      <c:catAx>
        <c:axId val="5899622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89962592"/>
        <c:crosses val="autoZero"/>
        <c:auto val="1"/>
        <c:lblAlgn val="ctr"/>
        <c:lblOffset val="100"/>
        <c:noMultiLvlLbl val="0"/>
      </c:catAx>
      <c:valAx>
        <c:axId val="5899625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8996220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legend>
    <c:plotVisOnly val="1"/>
    <c:dispBlanksAs val="gap"/>
    <c:showDLblsOverMax val="0"/>
    <c:extLst>
      <c:ext uri="{0b15fc19-7d7d-44ad-8c2d-2c3a37ce22c3}">
        <chartProps xmlns="https://web.wps.cn/et/2018/main" chartId="{f3283d63-25fb-4279-99b6-1f57bf1982b5}"/>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it-IT"/>
              <a:t>Isps Audit</a:t>
            </a:r>
            <a:endParaRPr lang="it-IT"/>
          </a:p>
        </c:rich>
      </c:tx>
      <c:layout/>
      <c:overlay val="0"/>
      <c:spPr>
        <a:noFill/>
        <a:ln>
          <a:noFill/>
        </a:ln>
        <a:effectLst/>
      </c:spPr>
    </c:title>
    <c:autoTitleDeleted val="0"/>
    <c:plotArea>
      <c:layout/>
      <c:barChart>
        <c:barDir val="col"/>
        <c:grouping val="clustered"/>
        <c:varyColors val="0"/>
        <c:ser>
          <c:idx val="0"/>
          <c:order val="0"/>
          <c:tx>
            <c:strRef>
              <c:f>'Tanker Data'!$B$306</c:f>
              <c:strCache>
                <c:ptCount val="1"/>
                <c:pt idx="0">
                  <c:v>Remarks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Data'!$A$307:$A$336</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Data'!$B$307:$B$336</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1</c:v>
                </c:pt>
                <c:pt idx="22">
                  <c:v>0</c:v>
                </c:pt>
                <c:pt idx="23">
                  <c:v>0</c:v>
                </c:pt>
                <c:pt idx="24">
                  <c:v>0</c:v>
                </c:pt>
                <c:pt idx="25">
                  <c:v>1</c:v>
                </c:pt>
                <c:pt idx="26">
                  <c:v>0</c:v>
                </c:pt>
                <c:pt idx="27">
                  <c:v>0</c:v>
                </c:pt>
                <c:pt idx="28">
                  <c:v>0</c:v>
                </c:pt>
                <c:pt idx="29">
                  <c:v>0</c:v>
                </c:pt>
              </c:numCache>
            </c:numRef>
          </c:val>
        </c:ser>
        <c:ser>
          <c:idx val="1"/>
          <c:order val="1"/>
          <c:tx>
            <c:strRef>
              <c:f>'Tanker Data'!$C$306</c:f>
              <c:strCache>
                <c:ptCount val="1"/>
                <c:pt idx="0">
                  <c:v>Non Conformity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Data'!$A$307:$A$336</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Data'!$C$307:$C$336</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er>
        <c:ser>
          <c:idx val="2"/>
          <c:order val="2"/>
          <c:tx>
            <c:strRef>
              <c:f>'Tanker Data'!$D$306</c:f>
              <c:strCache>
                <c:ptCount val="1"/>
                <c:pt idx="0">
                  <c:v>Observation</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Data'!$A$307:$A$336</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Data'!$D$307:$D$336</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1</c:v>
                </c:pt>
                <c:pt idx="22">
                  <c:v>0</c:v>
                </c:pt>
                <c:pt idx="23">
                  <c:v>0</c:v>
                </c:pt>
                <c:pt idx="24">
                  <c:v>0</c:v>
                </c:pt>
                <c:pt idx="25">
                  <c:v>1</c:v>
                </c:pt>
                <c:pt idx="26">
                  <c:v>0</c:v>
                </c:pt>
                <c:pt idx="27">
                  <c:v>0</c:v>
                </c:pt>
                <c:pt idx="28">
                  <c:v>0</c:v>
                </c:pt>
                <c:pt idx="29">
                  <c:v>0</c:v>
                </c:pt>
              </c:numCache>
            </c:numRef>
          </c:val>
        </c:ser>
        <c:ser>
          <c:idx val="3"/>
          <c:order val="3"/>
          <c:tx>
            <c:strRef>
              <c:f>'Tanker Data'!$E$306</c:f>
              <c:strCache>
                <c:ptCount val="1"/>
                <c:pt idx="0">
                  <c:v>Inspection </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Data'!$A$307:$A$336</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Data'!$E$307:$E$336</c:f>
              <c:numCache>
                <c:formatCode>General</c:formatCode>
                <c:ptCount val="30"/>
                <c:pt idx="0">
                  <c:v>0</c:v>
                </c:pt>
                <c:pt idx="1">
                  <c:v>0</c:v>
                </c:pt>
                <c:pt idx="2">
                  <c:v>1</c:v>
                </c:pt>
                <c:pt idx="3">
                  <c:v>1</c:v>
                </c:pt>
                <c:pt idx="4">
                  <c:v>0</c:v>
                </c:pt>
                <c:pt idx="5">
                  <c:v>1</c:v>
                </c:pt>
                <c:pt idx="6">
                  <c:v>2</c:v>
                </c:pt>
                <c:pt idx="7">
                  <c:v>1</c:v>
                </c:pt>
                <c:pt idx="8">
                  <c:v>1</c:v>
                </c:pt>
                <c:pt idx="9">
                  <c:v>1</c:v>
                </c:pt>
                <c:pt idx="10">
                  <c:v>1</c:v>
                </c:pt>
                <c:pt idx="11">
                  <c:v>1</c:v>
                </c:pt>
                <c:pt idx="12">
                  <c:v>1</c:v>
                </c:pt>
                <c:pt idx="13">
                  <c:v>1</c:v>
                </c:pt>
                <c:pt idx="14">
                  <c:v>2</c:v>
                </c:pt>
                <c:pt idx="15">
                  <c:v>1</c:v>
                </c:pt>
                <c:pt idx="16">
                  <c:v>1</c:v>
                </c:pt>
                <c:pt idx="17">
                  <c:v>0</c:v>
                </c:pt>
                <c:pt idx="18">
                  <c:v>1</c:v>
                </c:pt>
                <c:pt idx="19">
                  <c:v>1</c:v>
                </c:pt>
                <c:pt idx="20">
                  <c:v>1</c:v>
                </c:pt>
                <c:pt idx="21">
                  <c:v>1</c:v>
                </c:pt>
                <c:pt idx="22">
                  <c:v>2</c:v>
                </c:pt>
                <c:pt idx="23">
                  <c:v>1</c:v>
                </c:pt>
                <c:pt idx="24">
                  <c:v>0</c:v>
                </c:pt>
                <c:pt idx="25">
                  <c:v>1</c:v>
                </c:pt>
                <c:pt idx="26">
                  <c:v>1</c:v>
                </c:pt>
                <c:pt idx="27">
                  <c:v>1</c:v>
                </c:pt>
                <c:pt idx="28">
                  <c:v>1</c:v>
                </c:pt>
                <c:pt idx="29">
                  <c:v>1</c:v>
                </c:pt>
              </c:numCache>
            </c:numRef>
          </c:val>
        </c:ser>
        <c:dLbls>
          <c:showLegendKey val="0"/>
          <c:showVal val="0"/>
          <c:showCatName val="0"/>
          <c:showSerName val="0"/>
          <c:showPercent val="0"/>
          <c:showBubbleSize val="0"/>
        </c:dLbls>
        <c:gapWidth val="75"/>
        <c:axId val="589955928"/>
        <c:axId val="590471312"/>
      </c:barChart>
      <c:lineChart>
        <c:grouping val="standard"/>
        <c:varyColors val="0"/>
        <c:ser>
          <c:idx val="4"/>
          <c:order val="4"/>
          <c:tx>
            <c:strRef>
              <c:f>'Tanker Data'!$F$306</c:f>
              <c:strCache>
                <c:ptCount val="1"/>
                <c:pt idx="0">
                  <c:v>Average Remarks</c:v>
                </c:pt>
              </c:strCache>
            </c:strRef>
          </c:tx>
          <c:spPr>
            <a:ln w="34925" cap="rnd">
              <a:solidFill>
                <a:schemeClr val="accent5"/>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Data'!$A$307:$A$336</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Data'!$F$307:$F$336</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1</c:v>
                </c:pt>
                <c:pt idx="22">
                  <c:v>0</c:v>
                </c:pt>
                <c:pt idx="23">
                  <c:v>0</c:v>
                </c:pt>
                <c:pt idx="24">
                  <c:v>0</c:v>
                </c:pt>
                <c:pt idx="25">
                  <c:v>1</c:v>
                </c:pt>
                <c:pt idx="26">
                  <c:v>0</c:v>
                </c:pt>
                <c:pt idx="27">
                  <c:v>0</c:v>
                </c:pt>
                <c:pt idx="28">
                  <c:v>0</c:v>
                </c:pt>
                <c:pt idx="29">
                  <c:v>0</c:v>
                </c:pt>
              </c:numCache>
            </c:numRef>
          </c:val>
          <c:smooth val="0"/>
        </c:ser>
        <c:ser>
          <c:idx val="5"/>
          <c:order val="5"/>
          <c:tx>
            <c:strRef>
              <c:f>'Tanker Data'!$G$306</c:f>
              <c:strCache>
                <c:ptCount val="1"/>
                <c:pt idx="0">
                  <c:v>Avrage Nc</c:v>
                </c:pt>
              </c:strCache>
            </c:strRef>
          </c:tx>
          <c:spPr>
            <a:ln w="34925" cap="rnd">
              <a:solidFill>
                <a:schemeClr val="accent6"/>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Data'!$A$307:$A$336</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Data'!$G$307:$G$336</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ser>
        <c:ser>
          <c:idx val="6"/>
          <c:order val="6"/>
          <c:tx>
            <c:strRef>
              <c:f>'Tanker Data'!$H$306</c:f>
              <c:strCache>
                <c:ptCount val="1"/>
                <c:pt idx="0">
                  <c:v>Average obs</c:v>
                </c:pt>
              </c:strCache>
            </c:strRef>
          </c:tx>
          <c:spPr>
            <a:ln w="34925" cap="rnd">
              <a:solidFill>
                <a:schemeClr val="accent1">
                  <a:lumMod val="60000"/>
                </a:schemeClr>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Data'!$A$307:$A$336</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Data'!$H$307:$H$336</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1</c:v>
                </c:pt>
                <c:pt idx="22">
                  <c:v>0</c:v>
                </c:pt>
                <c:pt idx="23">
                  <c:v>0</c:v>
                </c:pt>
                <c:pt idx="24">
                  <c:v>0</c:v>
                </c:pt>
                <c:pt idx="25">
                  <c:v>1</c:v>
                </c:pt>
                <c:pt idx="26">
                  <c:v>0</c:v>
                </c:pt>
                <c:pt idx="27">
                  <c:v>0</c:v>
                </c:pt>
                <c:pt idx="28">
                  <c:v>0</c:v>
                </c:pt>
                <c:pt idx="29">
                  <c:v>0</c:v>
                </c:pt>
              </c:numCache>
            </c:numRef>
          </c:val>
          <c:smooth val="0"/>
        </c:ser>
        <c:dLbls>
          <c:showLegendKey val="0"/>
          <c:showVal val="0"/>
          <c:showCatName val="0"/>
          <c:showSerName val="0"/>
          <c:showPercent val="0"/>
          <c:showBubbleSize val="0"/>
        </c:dLbls>
        <c:marker val="0"/>
        <c:smooth val="0"/>
        <c:axId val="589955928"/>
        <c:axId val="590471312"/>
      </c:lineChart>
      <c:catAx>
        <c:axId val="5899559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90471312"/>
        <c:crosses val="autoZero"/>
        <c:auto val="1"/>
        <c:lblAlgn val="ctr"/>
        <c:lblOffset val="100"/>
        <c:noMultiLvlLbl val="0"/>
      </c:catAx>
      <c:valAx>
        <c:axId val="5904713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89955928"/>
        <c:crosses val="autoZero"/>
        <c:crossBetween val="between"/>
      </c:valAx>
      <c:spPr>
        <a:noFill/>
        <a:ln>
          <a:noFill/>
        </a:ln>
        <a:effectLst/>
      </c:spPr>
    </c:plotArea>
    <c:plotVisOnly val="1"/>
    <c:dispBlanksAs val="gap"/>
    <c:showDLblsOverMax val="0"/>
    <c:extLst>
      <c:ext uri="{0b15fc19-7d7d-44ad-8c2d-2c3a37ce22c3}">
        <chartProps xmlns="https://web.wps.cn/et/2018/main" chartId="{e15589e1-55a3-4254-8648-f3b325cb0f93}"/>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it-IT"/>
              <a:t>Safety Inspection</a:t>
            </a:r>
            <a:endParaRPr lang="it-IT"/>
          </a:p>
        </c:rich>
      </c:tx>
      <c:layout>
        <c:manualLayout>
          <c:xMode val="edge"/>
          <c:yMode val="edge"/>
          <c:x val="0.433067729083665"/>
          <c:y val="0.0243055555555556"/>
        </c:manualLayout>
      </c:layout>
      <c:overlay val="0"/>
      <c:spPr>
        <a:noFill/>
        <a:ln>
          <a:noFill/>
        </a:ln>
        <a:effectLst/>
      </c:spPr>
    </c:title>
    <c:autoTitleDeleted val="0"/>
    <c:plotArea>
      <c:layout/>
      <c:barChart>
        <c:barDir val="col"/>
        <c:grouping val="clustered"/>
        <c:varyColors val="0"/>
        <c:ser>
          <c:idx val="0"/>
          <c:order val="0"/>
          <c:tx>
            <c:strRef>
              <c:f>'Tanker Data'!$B$340</c:f>
              <c:strCache>
                <c:ptCount val="1"/>
                <c:pt idx="0">
                  <c:v>Remarks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Data'!$A$341:$A$370</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Data'!$B$341:$B$370</c:f>
              <c:numCache>
                <c:formatCode>General</c:formatCode>
                <c:ptCount val="30"/>
                <c:pt idx="0">
                  <c:v>0</c:v>
                </c:pt>
                <c:pt idx="1">
                  <c:v>0</c:v>
                </c:pt>
                <c:pt idx="2">
                  <c:v>5</c:v>
                </c:pt>
                <c:pt idx="3">
                  <c:v>6</c:v>
                </c:pt>
                <c:pt idx="4">
                  <c:v>5</c:v>
                </c:pt>
                <c:pt idx="5">
                  <c:v>6</c:v>
                </c:pt>
                <c:pt idx="6">
                  <c:v>6</c:v>
                </c:pt>
                <c:pt idx="7">
                  <c:v>6</c:v>
                </c:pt>
                <c:pt idx="8">
                  <c:v>7</c:v>
                </c:pt>
                <c:pt idx="9">
                  <c:v>3</c:v>
                </c:pt>
                <c:pt idx="10">
                  <c:v>5</c:v>
                </c:pt>
                <c:pt idx="11">
                  <c:v>5</c:v>
                </c:pt>
                <c:pt idx="12">
                  <c:v>5</c:v>
                </c:pt>
                <c:pt idx="13">
                  <c:v>0</c:v>
                </c:pt>
                <c:pt idx="14">
                  <c:v>9</c:v>
                </c:pt>
                <c:pt idx="15">
                  <c:v>8</c:v>
                </c:pt>
                <c:pt idx="16">
                  <c:v>7</c:v>
                </c:pt>
                <c:pt idx="17">
                  <c:v>0</c:v>
                </c:pt>
                <c:pt idx="18">
                  <c:v>6</c:v>
                </c:pt>
                <c:pt idx="19">
                  <c:v>5</c:v>
                </c:pt>
                <c:pt idx="20">
                  <c:v>6</c:v>
                </c:pt>
                <c:pt idx="21">
                  <c:v>6</c:v>
                </c:pt>
                <c:pt idx="22">
                  <c:v>8</c:v>
                </c:pt>
                <c:pt idx="23">
                  <c:v>5</c:v>
                </c:pt>
                <c:pt idx="24">
                  <c:v>3</c:v>
                </c:pt>
                <c:pt idx="25">
                  <c:v>6</c:v>
                </c:pt>
                <c:pt idx="26">
                  <c:v>5</c:v>
                </c:pt>
                <c:pt idx="27">
                  <c:v>0</c:v>
                </c:pt>
                <c:pt idx="28">
                  <c:v>2</c:v>
                </c:pt>
                <c:pt idx="29">
                  <c:v>4</c:v>
                </c:pt>
              </c:numCache>
            </c:numRef>
          </c:val>
        </c:ser>
        <c:ser>
          <c:idx val="1"/>
          <c:order val="1"/>
          <c:tx>
            <c:strRef>
              <c:f>'Tanker Data'!$C$340</c:f>
              <c:strCache>
                <c:ptCount val="1"/>
                <c:pt idx="0">
                  <c:v>Non Conformity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Data'!$A$341:$A$370</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Data'!$C$341:$C$370</c:f>
              <c:numCache>
                <c:formatCode>General</c:formatCode>
                <c:ptCount val="3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0</c:v>
                </c:pt>
                <c:pt idx="16">
                  <c:v>1</c:v>
                </c:pt>
                <c:pt idx="17">
                  <c:v>0</c:v>
                </c:pt>
                <c:pt idx="18">
                  <c:v>0</c:v>
                </c:pt>
                <c:pt idx="19">
                  <c:v>0</c:v>
                </c:pt>
                <c:pt idx="20">
                  <c:v>0</c:v>
                </c:pt>
                <c:pt idx="21">
                  <c:v>1</c:v>
                </c:pt>
                <c:pt idx="22">
                  <c:v>1</c:v>
                </c:pt>
                <c:pt idx="23">
                  <c:v>0</c:v>
                </c:pt>
                <c:pt idx="24">
                  <c:v>0</c:v>
                </c:pt>
                <c:pt idx="25">
                  <c:v>0</c:v>
                </c:pt>
                <c:pt idx="26">
                  <c:v>0</c:v>
                </c:pt>
                <c:pt idx="27">
                  <c:v>0</c:v>
                </c:pt>
                <c:pt idx="28">
                  <c:v>0</c:v>
                </c:pt>
                <c:pt idx="29">
                  <c:v>0</c:v>
                </c:pt>
              </c:numCache>
            </c:numRef>
          </c:val>
        </c:ser>
        <c:ser>
          <c:idx val="2"/>
          <c:order val="2"/>
          <c:tx>
            <c:strRef>
              <c:f>'Tanker Data'!$D$340</c:f>
              <c:strCache>
                <c:ptCount val="1"/>
                <c:pt idx="0">
                  <c:v>Observation</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Data'!$A$341:$A$370</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Data'!$D$341:$D$370</c:f>
              <c:numCache>
                <c:formatCode>General</c:formatCode>
                <c:ptCount val="30"/>
                <c:pt idx="0">
                  <c:v>0</c:v>
                </c:pt>
                <c:pt idx="1">
                  <c:v>0</c:v>
                </c:pt>
                <c:pt idx="2">
                  <c:v>5</c:v>
                </c:pt>
                <c:pt idx="3">
                  <c:v>6</c:v>
                </c:pt>
                <c:pt idx="4">
                  <c:v>5</c:v>
                </c:pt>
                <c:pt idx="5">
                  <c:v>6</c:v>
                </c:pt>
                <c:pt idx="6">
                  <c:v>6</c:v>
                </c:pt>
                <c:pt idx="7">
                  <c:v>6</c:v>
                </c:pt>
                <c:pt idx="8">
                  <c:v>6</c:v>
                </c:pt>
                <c:pt idx="9">
                  <c:v>3</c:v>
                </c:pt>
                <c:pt idx="10">
                  <c:v>5</c:v>
                </c:pt>
                <c:pt idx="11">
                  <c:v>5</c:v>
                </c:pt>
                <c:pt idx="12">
                  <c:v>5</c:v>
                </c:pt>
                <c:pt idx="13">
                  <c:v>0</c:v>
                </c:pt>
                <c:pt idx="14">
                  <c:v>9</c:v>
                </c:pt>
                <c:pt idx="15">
                  <c:v>8</c:v>
                </c:pt>
                <c:pt idx="16">
                  <c:v>6</c:v>
                </c:pt>
                <c:pt idx="17">
                  <c:v>0</c:v>
                </c:pt>
                <c:pt idx="18">
                  <c:v>6</c:v>
                </c:pt>
                <c:pt idx="19">
                  <c:v>5</c:v>
                </c:pt>
                <c:pt idx="20">
                  <c:v>6</c:v>
                </c:pt>
                <c:pt idx="21">
                  <c:v>5</c:v>
                </c:pt>
                <c:pt idx="22">
                  <c:v>7</c:v>
                </c:pt>
                <c:pt idx="23">
                  <c:v>5</c:v>
                </c:pt>
                <c:pt idx="24">
                  <c:v>3</c:v>
                </c:pt>
                <c:pt idx="25">
                  <c:v>6</c:v>
                </c:pt>
                <c:pt idx="26">
                  <c:v>5</c:v>
                </c:pt>
                <c:pt idx="27">
                  <c:v>0</c:v>
                </c:pt>
                <c:pt idx="28">
                  <c:v>2</c:v>
                </c:pt>
                <c:pt idx="29">
                  <c:v>4</c:v>
                </c:pt>
              </c:numCache>
            </c:numRef>
          </c:val>
        </c:ser>
        <c:ser>
          <c:idx val="3"/>
          <c:order val="3"/>
          <c:tx>
            <c:strRef>
              <c:f>'Tanker Data'!$E$340</c:f>
              <c:strCache>
                <c:ptCount val="1"/>
                <c:pt idx="0">
                  <c:v>Inspection </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Data'!$A$341:$A$370</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Data'!$E$341:$E$370</c:f>
              <c:numCache>
                <c:formatCode>General</c:formatCode>
                <c:ptCount val="30"/>
                <c:pt idx="0">
                  <c:v>0</c:v>
                </c:pt>
                <c:pt idx="1">
                  <c:v>0</c:v>
                </c:pt>
                <c:pt idx="2">
                  <c:v>1</c:v>
                </c:pt>
                <c:pt idx="3">
                  <c:v>1</c:v>
                </c:pt>
                <c:pt idx="4">
                  <c:v>0</c:v>
                </c:pt>
                <c:pt idx="5">
                  <c:v>1</c:v>
                </c:pt>
                <c:pt idx="6">
                  <c:v>2</c:v>
                </c:pt>
                <c:pt idx="7">
                  <c:v>1</c:v>
                </c:pt>
                <c:pt idx="8">
                  <c:v>1</c:v>
                </c:pt>
                <c:pt idx="9">
                  <c:v>1</c:v>
                </c:pt>
                <c:pt idx="10">
                  <c:v>1</c:v>
                </c:pt>
                <c:pt idx="11">
                  <c:v>1</c:v>
                </c:pt>
                <c:pt idx="12">
                  <c:v>1</c:v>
                </c:pt>
                <c:pt idx="13">
                  <c:v>0</c:v>
                </c:pt>
                <c:pt idx="14">
                  <c:v>1</c:v>
                </c:pt>
                <c:pt idx="15">
                  <c:v>1</c:v>
                </c:pt>
                <c:pt idx="16">
                  <c:v>1</c:v>
                </c:pt>
                <c:pt idx="17">
                  <c:v>0</c:v>
                </c:pt>
                <c:pt idx="18">
                  <c:v>1</c:v>
                </c:pt>
                <c:pt idx="19">
                  <c:v>1</c:v>
                </c:pt>
                <c:pt idx="20">
                  <c:v>1</c:v>
                </c:pt>
                <c:pt idx="21">
                  <c:v>1</c:v>
                </c:pt>
                <c:pt idx="22">
                  <c:v>2</c:v>
                </c:pt>
                <c:pt idx="23">
                  <c:v>1</c:v>
                </c:pt>
                <c:pt idx="24">
                  <c:v>1</c:v>
                </c:pt>
                <c:pt idx="25">
                  <c:v>1</c:v>
                </c:pt>
                <c:pt idx="26">
                  <c:v>1</c:v>
                </c:pt>
                <c:pt idx="27">
                  <c:v>0</c:v>
                </c:pt>
                <c:pt idx="28">
                  <c:v>1</c:v>
                </c:pt>
                <c:pt idx="29">
                  <c:v>1</c:v>
                </c:pt>
              </c:numCache>
            </c:numRef>
          </c:val>
        </c:ser>
        <c:dLbls>
          <c:showLegendKey val="0"/>
          <c:showVal val="0"/>
          <c:showCatName val="0"/>
          <c:showSerName val="0"/>
          <c:showPercent val="0"/>
          <c:showBubbleSize val="0"/>
        </c:dLbls>
        <c:gapWidth val="75"/>
        <c:axId val="590476800"/>
        <c:axId val="590476408"/>
      </c:barChart>
      <c:lineChart>
        <c:grouping val="standard"/>
        <c:varyColors val="0"/>
        <c:ser>
          <c:idx val="4"/>
          <c:order val="4"/>
          <c:tx>
            <c:strRef>
              <c:f>'Tanker Data'!$F$340</c:f>
              <c:strCache>
                <c:ptCount val="1"/>
                <c:pt idx="0">
                  <c:v>Average Remarks</c:v>
                </c:pt>
              </c:strCache>
            </c:strRef>
          </c:tx>
          <c:spPr>
            <a:ln w="34925" cap="rnd">
              <a:solidFill>
                <a:schemeClr val="accent5"/>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Data'!$A$341:$A$370</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Data'!$F$341:$F$370</c:f>
              <c:numCache>
                <c:formatCode>General</c:formatCode>
                <c:ptCount val="30"/>
                <c:pt idx="0">
                  <c:v>0</c:v>
                </c:pt>
                <c:pt idx="1">
                  <c:v>0</c:v>
                </c:pt>
                <c:pt idx="2">
                  <c:v>5</c:v>
                </c:pt>
                <c:pt idx="3">
                  <c:v>6</c:v>
                </c:pt>
                <c:pt idx="4">
                  <c:v>0</c:v>
                </c:pt>
                <c:pt idx="5">
                  <c:v>6</c:v>
                </c:pt>
                <c:pt idx="6">
                  <c:v>3</c:v>
                </c:pt>
                <c:pt idx="7">
                  <c:v>6</c:v>
                </c:pt>
                <c:pt idx="8">
                  <c:v>7</c:v>
                </c:pt>
                <c:pt idx="9">
                  <c:v>3</c:v>
                </c:pt>
                <c:pt idx="10">
                  <c:v>5</c:v>
                </c:pt>
                <c:pt idx="11">
                  <c:v>5</c:v>
                </c:pt>
                <c:pt idx="12">
                  <c:v>5</c:v>
                </c:pt>
                <c:pt idx="13">
                  <c:v>0</c:v>
                </c:pt>
                <c:pt idx="14">
                  <c:v>9</c:v>
                </c:pt>
                <c:pt idx="15">
                  <c:v>8</c:v>
                </c:pt>
                <c:pt idx="16">
                  <c:v>7</c:v>
                </c:pt>
                <c:pt idx="17">
                  <c:v>0</c:v>
                </c:pt>
                <c:pt idx="18">
                  <c:v>6</c:v>
                </c:pt>
                <c:pt idx="19">
                  <c:v>5</c:v>
                </c:pt>
                <c:pt idx="20">
                  <c:v>6</c:v>
                </c:pt>
                <c:pt idx="21">
                  <c:v>6</c:v>
                </c:pt>
                <c:pt idx="22">
                  <c:v>4</c:v>
                </c:pt>
                <c:pt idx="23">
                  <c:v>5</c:v>
                </c:pt>
                <c:pt idx="24">
                  <c:v>3</c:v>
                </c:pt>
                <c:pt idx="25">
                  <c:v>6</c:v>
                </c:pt>
                <c:pt idx="26">
                  <c:v>5</c:v>
                </c:pt>
                <c:pt idx="27">
                  <c:v>0</c:v>
                </c:pt>
                <c:pt idx="28">
                  <c:v>2</c:v>
                </c:pt>
                <c:pt idx="29">
                  <c:v>4</c:v>
                </c:pt>
              </c:numCache>
            </c:numRef>
          </c:val>
          <c:smooth val="0"/>
        </c:ser>
        <c:ser>
          <c:idx val="5"/>
          <c:order val="5"/>
          <c:tx>
            <c:strRef>
              <c:f>'Tanker Data'!$G$340</c:f>
              <c:strCache>
                <c:ptCount val="1"/>
                <c:pt idx="0">
                  <c:v>Avrage Nc</c:v>
                </c:pt>
              </c:strCache>
            </c:strRef>
          </c:tx>
          <c:spPr>
            <a:ln w="34925" cap="rnd">
              <a:solidFill>
                <a:schemeClr val="accent6"/>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Data'!$A$341:$A$370</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Data'!$G$341:$G$370</c:f>
              <c:numCache>
                <c:formatCode>General</c:formatCode>
                <c:ptCount val="3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0</c:v>
                </c:pt>
                <c:pt idx="16">
                  <c:v>1</c:v>
                </c:pt>
                <c:pt idx="17">
                  <c:v>0</c:v>
                </c:pt>
                <c:pt idx="18">
                  <c:v>0</c:v>
                </c:pt>
                <c:pt idx="19">
                  <c:v>0</c:v>
                </c:pt>
                <c:pt idx="20">
                  <c:v>0</c:v>
                </c:pt>
                <c:pt idx="21">
                  <c:v>1</c:v>
                </c:pt>
                <c:pt idx="22">
                  <c:v>0.5</c:v>
                </c:pt>
                <c:pt idx="23">
                  <c:v>0</c:v>
                </c:pt>
                <c:pt idx="24">
                  <c:v>0</c:v>
                </c:pt>
                <c:pt idx="25">
                  <c:v>0</c:v>
                </c:pt>
                <c:pt idx="26">
                  <c:v>0</c:v>
                </c:pt>
                <c:pt idx="27">
                  <c:v>0</c:v>
                </c:pt>
                <c:pt idx="28">
                  <c:v>0</c:v>
                </c:pt>
                <c:pt idx="29">
                  <c:v>0</c:v>
                </c:pt>
              </c:numCache>
            </c:numRef>
          </c:val>
          <c:smooth val="0"/>
        </c:ser>
        <c:ser>
          <c:idx val="6"/>
          <c:order val="6"/>
          <c:tx>
            <c:strRef>
              <c:f>'Tanker Data'!$H$340</c:f>
              <c:strCache>
                <c:ptCount val="1"/>
                <c:pt idx="0">
                  <c:v>Average obs</c:v>
                </c:pt>
              </c:strCache>
            </c:strRef>
          </c:tx>
          <c:spPr>
            <a:ln w="34925" cap="rnd">
              <a:solidFill>
                <a:schemeClr val="accent1">
                  <a:lumMod val="60000"/>
                </a:schemeClr>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'Tanker Data'!$A$341:$A$370</c:f>
              <c:strCache>
                <c:ptCount val="30"/>
                <c:pt idx="0">
                  <c:v>Alpine Pembroke (Sold)</c:v>
                </c:pt>
                <c:pt idx="1">
                  <c:v>Alpine Pioneer (Sold)</c:v>
                </c:pt>
                <c:pt idx="2">
                  <c:v>Bagheera</c:v>
                </c:pt>
                <c:pt idx="3">
                  <c:v>Bantry Bay</c:v>
                </c:pt>
                <c:pt idx="4">
                  <c:v>Bright Future</c:v>
                </c:pt>
                <c:pt idx="5">
                  <c:v>Cielo di Houston</c:v>
                </c:pt>
                <c:pt idx="6">
                  <c:v>Cielo Rosso</c:v>
                </c:pt>
                <c:pt idx="7">
                  <c:v>Clearocean Maria</c:v>
                </c:pt>
                <c:pt idx="8">
                  <c:v>Clearocean Mary</c:v>
                </c:pt>
                <c:pt idx="9">
                  <c:v>Clearocean Mathilde</c:v>
                </c:pt>
                <c:pt idx="10">
                  <c:v>Clearocean Music</c:v>
                </c:pt>
                <c:pt idx="11">
                  <c:v>Rui Fu Xing (Glenda Melanie)</c:v>
                </c:pt>
                <c:pt idx="12">
                  <c:v>Glenda Melissa</c:v>
                </c:pt>
                <c:pt idx="13">
                  <c:v>Glenda Melody</c:v>
                </c:pt>
                <c:pt idx="14">
                  <c:v>Glenda Meryl</c:v>
                </c:pt>
                <c:pt idx="15">
                  <c:v>Herolds Bay</c:v>
                </c:pt>
                <c:pt idx="16">
                  <c:v>High Explorer</c:v>
                </c:pt>
                <c:pt idx="17">
                  <c:v>High Mariner</c:v>
                </c:pt>
                <c:pt idx="18">
                  <c:v>High Transporter</c:v>
                </c:pt>
                <c:pt idx="19">
                  <c:v>Kalk Bay</c:v>
                </c:pt>
                <c:pt idx="20">
                  <c:v>Mossel Bay</c:v>
                </c:pt>
                <c:pt idx="21">
                  <c:v>Philotimos</c:v>
                </c:pt>
                <c:pt idx="22">
                  <c:v>Philoxenia</c:v>
                </c:pt>
                <c:pt idx="23">
                  <c:v>PNX Conqueror</c:v>
                </c:pt>
                <c:pt idx="24">
                  <c:v>PS Tokyo (Gone)</c:v>
                </c:pt>
                <c:pt idx="25">
                  <c:v>PS Vancouver</c:v>
                </c:pt>
                <c:pt idx="26">
                  <c:v>Table Bay</c:v>
                </c:pt>
                <c:pt idx="27">
                  <c:v>Rui Fu Sheng</c:v>
                </c:pt>
                <c:pt idx="28">
                  <c:v>Vialli</c:v>
                </c:pt>
                <c:pt idx="29">
                  <c:v>Victoria Bay</c:v>
                </c:pt>
              </c:strCache>
            </c:strRef>
          </c:cat>
          <c:val>
            <c:numRef>
              <c:f>'Tanker Data'!$H$341:$H$370</c:f>
              <c:numCache>
                <c:formatCode>General</c:formatCode>
                <c:ptCount val="30"/>
                <c:pt idx="0">
                  <c:v>0</c:v>
                </c:pt>
                <c:pt idx="1">
                  <c:v>0</c:v>
                </c:pt>
                <c:pt idx="2">
                  <c:v>5</c:v>
                </c:pt>
                <c:pt idx="3">
                  <c:v>6</c:v>
                </c:pt>
                <c:pt idx="4">
                  <c:v>0</c:v>
                </c:pt>
                <c:pt idx="5">
                  <c:v>6</c:v>
                </c:pt>
                <c:pt idx="6">
                  <c:v>3</c:v>
                </c:pt>
                <c:pt idx="7">
                  <c:v>6</c:v>
                </c:pt>
                <c:pt idx="8">
                  <c:v>6</c:v>
                </c:pt>
                <c:pt idx="9">
                  <c:v>3</c:v>
                </c:pt>
                <c:pt idx="10">
                  <c:v>5</c:v>
                </c:pt>
                <c:pt idx="11">
                  <c:v>5</c:v>
                </c:pt>
                <c:pt idx="12">
                  <c:v>5</c:v>
                </c:pt>
                <c:pt idx="13">
                  <c:v>0</c:v>
                </c:pt>
                <c:pt idx="14">
                  <c:v>9</c:v>
                </c:pt>
                <c:pt idx="15">
                  <c:v>8</c:v>
                </c:pt>
                <c:pt idx="16">
                  <c:v>6</c:v>
                </c:pt>
                <c:pt idx="17">
                  <c:v>0</c:v>
                </c:pt>
                <c:pt idx="18">
                  <c:v>6</c:v>
                </c:pt>
                <c:pt idx="19">
                  <c:v>5</c:v>
                </c:pt>
                <c:pt idx="20">
                  <c:v>6</c:v>
                </c:pt>
                <c:pt idx="21">
                  <c:v>5</c:v>
                </c:pt>
                <c:pt idx="22">
                  <c:v>3.5</c:v>
                </c:pt>
                <c:pt idx="23">
                  <c:v>5</c:v>
                </c:pt>
                <c:pt idx="24">
                  <c:v>3</c:v>
                </c:pt>
                <c:pt idx="25">
                  <c:v>6</c:v>
                </c:pt>
                <c:pt idx="26">
                  <c:v>5</c:v>
                </c:pt>
                <c:pt idx="27">
                  <c:v>0</c:v>
                </c:pt>
                <c:pt idx="28">
                  <c:v>2</c:v>
                </c:pt>
                <c:pt idx="29">
                  <c:v>4</c:v>
                </c:pt>
              </c:numCache>
            </c:numRef>
          </c:val>
          <c:smooth val="0"/>
        </c:ser>
        <c:dLbls>
          <c:showLegendKey val="0"/>
          <c:showVal val="0"/>
          <c:showCatName val="0"/>
          <c:showSerName val="0"/>
          <c:showPercent val="0"/>
          <c:showBubbleSize val="0"/>
        </c:dLbls>
        <c:marker val="0"/>
        <c:smooth val="0"/>
        <c:axId val="590476800"/>
        <c:axId val="590476408"/>
      </c:lineChart>
      <c:catAx>
        <c:axId val="5904768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90476408"/>
        <c:crosses val="autoZero"/>
        <c:auto val="1"/>
        <c:lblAlgn val="ctr"/>
        <c:lblOffset val="100"/>
        <c:noMultiLvlLbl val="0"/>
      </c:catAx>
      <c:valAx>
        <c:axId val="5904764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90476800"/>
        <c:crosses val="autoZero"/>
        <c:crossBetween val="between"/>
      </c:valAx>
      <c:spPr>
        <a:noFill/>
        <a:ln>
          <a:noFill/>
        </a:ln>
        <a:effectLst/>
      </c:spPr>
    </c:plotArea>
    <c:plotVisOnly val="1"/>
    <c:dispBlanksAs val="gap"/>
    <c:showDLblsOverMax val="0"/>
    <c:extLst>
      <c:ext uri="{0b15fc19-7d7d-44ad-8c2d-2c3a37ce22c3}">
        <chartProps xmlns="https://web.wps.cn/et/2018/main" chartId="{3032b801-c12d-43a0-8460-340bdac4f35e}"/>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it-IT"/>
              <a:t>Environmental Audit</a:t>
            </a:r>
            <a:endParaRPr lang="it-IT"/>
          </a:p>
        </c:rich>
      </c:tx>
      <c:layout/>
      <c:overlay val="0"/>
      <c:spPr>
        <a:noFill/>
        <a:ln>
          <a:noFill/>
        </a:ln>
        <a:effectLst/>
      </c:spPr>
    </c:title>
    <c:autoTitleDeleted val="0"/>
    <c:plotArea>
      <c:layout/>
      <c:barChart>
        <c:barDir val="col"/>
        <c:grouping val="clustered"/>
        <c:varyColors val="0"/>
        <c:ser>
          <c:idx val="0"/>
          <c:order val="0"/>
          <c:tx>
            <c:strRef>
              <c:f>'Dry Data'!$B$96</c:f>
              <c:strCache>
                <c:ptCount val="1"/>
                <c:pt idx="0">
                  <c:v>Remarks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Data'!$A$97:$A$108</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Data'!$B$97:$B$108</c:f>
              <c:numCache>
                <c:formatCode>General</c:formatCode>
                <c:ptCount val="12"/>
                <c:pt idx="0">
                  <c:v>0</c:v>
                </c:pt>
                <c:pt idx="1">
                  <c:v>0</c:v>
                </c:pt>
                <c:pt idx="2">
                  <c:v>0</c:v>
                </c:pt>
                <c:pt idx="3">
                  <c:v>0</c:v>
                </c:pt>
                <c:pt idx="4">
                  <c:v>0</c:v>
                </c:pt>
                <c:pt idx="5">
                  <c:v>1</c:v>
                </c:pt>
                <c:pt idx="6">
                  <c:v>0</c:v>
                </c:pt>
                <c:pt idx="7">
                  <c:v>0</c:v>
                </c:pt>
                <c:pt idx="8">
                  <c:v>4</c:v>
                </c:pt>
                <c:pt idx="9">
                  <c:v>0</c:v>
                </c:pt>
                <c:pt idx="10">
                  <c:v>0</c:v>
                </c:pt>
                <c:pt idx="11">
                  <c:v>5</c:v>
                </c:pt>
              </c:numCache>
            </c:numRef>
          </c:val>
        </c:ser>
        <c:ser>
          <c:idx val="1"/>
          <c:order val="1"/>
          <c:tx>
            <c:strRef>
              <c:f>'Dry Data'!$C$96</c:f>
              <c:strCache>
                <c:ptCount val="1"/>
                <c:pt idx="0">
                  <c:v>Non Conformity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Data'!$A$97:$A$108</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Data'!$C$97:$C$108</c:f>
              <c:numCache>
                <c:formatCode>General</c:formatCode>
                <c:ptCount val="12"/>
                <c:pt idx="0">
                  <c:v>0</c:v>
                </c:pt>
                <c:pt idx="1">
                  <c:v>0</c:v>
                </c:pt>
                <c:pt idx="2">
                  <c:v>0</c:v>
                </c:pt>
                <c:pt idx="3">
                  <c:v>0</c:v>
                </c:pt>
                <c:pt idx="4" c:formatCode="0">
                  <c:v>0</c:v>
                </c:pt>
                <c:pt idx="5">
                  <c:v>0</c:v>
                </c:pt>
                <c:pt idx="6">
                  <c:v>0</c:v>
                </c:pt>
                <c:pt idx="7">
                  <c:v>0</c:v>
                </c:pt>
                <c:pt idx="8" c:formatCode="0">
                  <c:v>1</c:v>
                </c:pt>
                <c:pt idx="9">
                  <c:v>0</c:v>
                </c:pt>
                <c:pt idx="10">
                  <c:v>0</c:v>
                </c:pt>
                <c:pt idx="11">
                  <c:v>0</c:v>
                </c:pt>
              </c:numCache>
            </c:numRef>
          </c:val>
        </c:ser>
        <c:ser>
          <c:idx val="2"/>
          <c:order val="2"/>
          <c:tx>
            <c:strRef>
              <c:f>'Dry Data'!$D$96</c:f>
              <c:strCache>
                <c:ptCount val="1"/>
                <c:pt idx="0">
                  <c:v>Observation</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Data'!$A$97:$A$108</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Data'!$D$97:$D$108</c:f>
              <c:numCache>
                <c:formatCode>General</c:formatCode>
                <c:ptCount val="12"/>
                <c:pt idx="0">
                  <c:v>0</c:v>
                </c:pt>
                <c:pt idx="1">
                  <c:v>0</c:v>
                </c:pt>
                <c:pt idx="2">
                  <c:v>0</c:v>
                </c:pt>
                <c:pt idx="3">
                  <c:v>0</c:v>
                </c:pt>
                <c:pt idx="4">
                  <c:v>0</c:v>
                </c:pt>
                <c:pt idx="5">
                  <c:v>1</c:v>
                </c:pt>
                <c:pt idx="6">
                  <c:v>0</c:v>
                </c:pt>
                <c:pt idx="7">
                  <c:v>0</c:v>
                </c:pt>
                <c:pt idx="8">
                  <c:v>3</c:v>
                </c:pt>
                <c:pt idx="9">
                  <c:v>0</c:v>
                </c:pt>
                <c:pt idx="10">
                  <c:v>0</c:v>
                </c:pt>
                <c:pt idx="11">
                  <c:v>5</c:v>
                </c:pt>
              </c:numCache>
            </c:numRef>
          </c:val>
        </c:ser>
        <c:ser>
          <c:idx val="3"/>
          <c:order val="3"/>
          <c:tx>
            <c:strRef>
              <c:f>'Dry Data'!$E$96</c:f>
              <c:strCache>
                <c:ptCount val="1"/>
                <c:pt idx="0">
                  <c:v>Inspection </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Data'!$A$97:$A$108</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Data'!$E$97:$E$108</c:f>
              <c:numCache>
                <c:formatCode>0</c:formatCode>
                <c:ptCount val="12"/>
                <c:pt idx="0">
                  <c:v>0</c:v>
                </c:pt>
                <c:pt idx="1">
                  <c:v>0</c:v>
                </c:pt>
                <c:pt idx="2">
                  <c:v>0</c:v>
                </c:pt>
                <c:pt idx="3">
                  <c:v>0</c:v>
                </c:pt>
                <c:pt idx="4">
                  <c:v>0</c:v>
                </c:pt>
                <c:pt idx="5">
                  <c:v>1</c:v>
                </c:pt>
                <c:pt idx="6">
                  <c:v>0</c:v>
                </c:pt>
                <c:pt idx="7" c:formatCode="General">
                  <c:v>0</c:v>
                </c:pt>
                <c:pt idx="8">
                  <c:v>1</c:v>
                </c:pt>
                <c:pt idx="9" c:formatCode="General">
                  <c:v>0</c:v>
                </c:pt>
                <c:pt idx="10">
                  <c:v>0</c:v>
                </c:pt>
                <c:pt idx="11">
                  <c:v>1</c:v>
                </c:pt>
              </c:numCache>
            </c:numRef>
          </c:val>
        </c:ser>
        <c:dLbls>
          <c:showLegendKey val="0"/>
          <c:showVal val="0"/>
          <c:showCatName val="0"/>
          <c:showSerName val="0"/>
          <c:showPercent val="0"/>
          <c:showBubbleSize val="0"/>
        </c:dLbls>
        <c:gapWidth val="75"/>
        <c:axId val="590475624"/>
        <c:axId val="590472488"/>
      </c:barChart>
      <c:lineChart>
        <c:grouping val="standard"/>
        <c:varyColors val="0"/>
        <c:ser>
          <c:idx val="4"/>
          <c:order val="4"/>
          <c:tx>
            <c:strRef>
              <c:f>'Dry Data'!$F$96</c:f>
              <c:strCache>
                <c:ptCount val="1"/>
                <c:pt idx="0">
                  <c:v>Average Remarks</c:v>
                </c:pt>
              </c:strCache>
            </c:strRef>
          </c:tx>
          <c:spPr>
            <a:ln w="34925" cap="rnd">
              <a:solidFill>
                <a:schemeClr val="accent5"/>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Data'!$A$97:$A$108</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Data'!$F$97:$F$108</c:f>
              <c:numCache>
                <c:formatCode>#,##0.00</c:formatCode>
                <c:ptCount val="12"/>
                <c:pt idx="0">
                  <c:v>0</c:v>
                </c:pt>
                <c:pt idx="1">
                  <c:v>0</c:v>
                </c:pt>
                <c:pt idx="2">
                  <c:v>0</c:v>
                </c:pt>
                <c:pt idx="3">
                  <c:v>0</c:v>
                </c:pt>
                <c:pt idx="4">
                  <c:v>0</c:v>
                </c:pt>
                <c:pt idx="5">
                  <c:v>1</c:v>
                </c:pt>
                <c:pt idx="6">
                  <c:v>0</c:v>
                </c:pt>
                <c:pt idx="7">
                  <c:v>0</c:v>
                </c:pt>
                <c:pt idx="8">
                  <c:v>4</c:v>
                </c:pt>
                <c:pt idx="9">
                  <c:v>0</c:v>
                </c:pt>
                <c:pt idx="10">
                  <c:v>0</c:v>
                </c:pt>
                <c:pt idx="11">
                  <c:v>5</c:v>
                </c:pt>
              </c:numCache>
            </c:numRef>
          </c:val>
          <c:smooth val="0"/>
        </c:ser>
        <c:ser>
          <c:idx val="5"/>
          <c:order val="5"/>
          <c:tx>
            <c:strRef>
              <c:f>'Dry Data'!$G$96</c:f>
              <c:strCache>
                <c:ptCount val="1"/>
                <c:pt idx="0">
                  <c:v>Avrage Nc</c:v>
                </c:pt>
              </c:strCache>
            </c:strRef>
          </c:tx>
          <c:spPr>
            <a:ln w="34925" cap="rnd">
              <a:solidFill>
                <a:schemeClr val="accent6"/>
              </a:solidFill>
              <a:round/>
            </a:ln>
            <a:effectLst>
              <a:outerShdw blurRad="40000" dist="23000" dir="48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Data'!$A$97:$A$108</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Data'!$G$97:$G$108</c:f>
              <c:numCache>
                <c:formatCode>General</c:formatCode>
                <c:ptCount val="12"/>
                <c:pt idx="0">
                  <c:v>0</c:v>
                </c:pt>
                <c:pt idx="1">
                  <c:v>0</c:v>
                </c:pt>
                <c:pt idx="2">
                  <c:v>0</c:v>
                </c:pt>
                <c:pt idx="3">
                  <c:v>0</c:v>
                </c:pt>
                <c:pt idx="4">
                  <c:v>0</c:v>
                </c:pt>
                <c:pt idx="5">
                  <c:v>0</c:v>
                </c:pt>
                <c:pt idx="6">
                  <c:v>0</c:v>
                </c:pt>
                <c:pt idx="7">
                  <c:v>0</c:v>
                </c:pt>
                <c:pt idx="8">
                  <c:v>1</c:v>
                </c:pt>
                <c:pt idx="9">
                  <c:v>0</c:v>
                </c:pt>
                <c:pt idx="10">
                  <c:v>0</c:v>
                </c:pt>
                <c:pt idx="11">
                  <c:v>0</c:v>
                </c:pt>
              </c:numCache>
            </c:numRef>
          </c:val>
          <c:smooth val="0"/>
        </c:ser>
        <c:ser>
          <c:idx val="6"/>
          <c:order val="6"/>
          <c:tx>
            <c:strRef>
              <c:f>'Dry Data'!$H$96</c:f>
              <c:strCache>
                <c:ptCount val="1"/>
                <c:pt idx="0">
                  <c:v>Average obs</c:v>
                </c:pt>
              </c:strCache>
            </c:strRef>
          </c:tx>
          <c:spPr>
            <a:ln w="34925" cap="rnd">
              <a:solidFill>
                <a:schemeClr val="tx2"/>
              </a:solidFill>
              <a:round/>
            </a:ln>
            <a:effectLst>
              <a:outerShdw blurRad="40000" dist="23000" dir="5400000" rotWithShape="0">
                <a:srgbClr val="FFFF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Data'!$A$97:$A$108</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Data'!$H$97:$H$108</c:f>
              <c:numCache>
                <c:formatCode>0.00</c:formatCode>
                <c:ptCount val="12"/>
                <c:pt idx="0">
                  <c:v>0</c:v>
                </c:pt>
                <c:pt idx="1">
                  <c:v>0</c:v>
                </c:pt>
                <c:pt idx="2">
                  <c:v>0</c:v>
                </c:pt>
                <c:pt idx="3">
                  <c:v>0</c:v>
                </c:pt>
                <c:pt idx="4">
                  <c:v>0</c:v>
                </c:pt>
                <c:pt idx="5">
                  <c:v>1</c:v>
                </c:pt>
                <c:pt idx="6">
                  <c:v>0</c:v>
                </c:pt>
                <c:pt idx="7">
                  <c:v>0</c:v>
                </c:pt>
                <c:pt idx="8">
                  <c:v>3</c:v>
                </c:pt>
                <c:pt idx="9">
                  <c:v>0</c:v>
                </c:pt>
                <c:pt idx="10">
                  <c:v>0</c:v>
                </c:pt>
                <c:pt idx="11">
                  <c:v>5</c:v>
                </c:pt>
              </c:numCache>
            </c:numRef>
          </c:val>
          <c:smooth val="0"/>
        </c:ser>
        <c:dLbls>
          <c:showLegendKey val="0"/>
          <c:showVal val="0"/>
          <c:showCatName val="0"/>
          <c:showSerName val="0"/>
          <c:showPercent val="0"/>
          <c:showBubbleSize val="0"/>
        </c:dLbls>
        <c:marker val="0"/>
        <c:smooth val="0"/>
        <c:axId val="590475624"/>
        <c:axId val="590472488"/>
      </c:lineChart>
      <c:catAx>
        <c:axId val="5904756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90472488"/>
        <c:crosses val="autoZero"/>
        <c:auto val="1"/>
        <c:lblAlgn val="ctr"/>
        <c:lblOffset val="100"/>
        <c:tickMarkSkip val="3"/>
        <c:noMultiLvlLbl val="0"/>
      </c:catAx>
      <c:valAx>
        <c:axId val="5904724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90475624"/>
        <c:crosses val="autoZero"/>
        <c:crossBetween val="between"/>
      </c:valAx>
      <c:spPr>
        <a:noFill/>
        <a:ln>
          <a:noFill/>
        </a:ln>
        <a:effectLst>
          <a:glow rad="127000">
            <a:schemeClr val="accent1">
              <a:alpha val="99000"/>
            </a:schemeClr>
          </a:glow>
          <a:outerShdw blurRad="50800" dist="50800" dir="5400000" algn="ctr" rotWithShape="0">
            <a:srgbClr val="000000">
              <a:alpha val="43137"/>
            </a:srgbClr>
          </a:outerShdw>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legend>
    <c:plotVisOnly val="1"/>
    <c:dispBlanksAs val="gap"/>
    <c:showDLblsOverMax val="0"/>
    <c:extLst>
      <c:ext uri="{0b15fc19-7d7d-44ad-8c2d-2c3a37ce22c3}">
        <chartProps xmlns="https://web.wps.cn/et/2018/main" chartId="{8ac3ee84-1d8f-472f-aac8-947d6d5d533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it-IT"/>
              <a:t>Internal Audit</a:t>
            </a:r>
            <a:endParaRPr lang="it-IT"/>
          </a:p>
        </c:rich>
      </c:tx>
      <c:layout/>
      <c:overlay val="0"/>
      <c:spPr>
        <a:noFill/>
        <a:ln>
          <a:noFill/>
        </a:ln>
        <a:effectLst/>
      </c:spPr>
    </c:title>
    <c:autoTitleDeleted val="0"/>
    <c:plotArea>
      <c:layout/>
      <c:barChart>
        <c:barDir val="col"/>
        <c:grouping val="clustered"/>
        <c:varyColors val="0"/>
        <c:ser>
          <c:idx val="0"/>
          <c:order val="0"/>
          <c:tx>
            <c:strRef>
              <c:f>'Dry Data'!$B$112</c:f>
              <c:strCache>
                <c:ptCount val="1"/>
                <c:pt idx="0">
                  <c:v>Remarks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Data'!$A$113:$A$124</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Data'!$B$113:$B$124</c:f>
              <c:numCache>
                <c:formatCode>General</c:formatCode>
                <c:ptCount val="12"/>
                <c:pt idx="0">
                  <c:v>0</c:v>
                </c:pt>
                <c:pt idx="1">
                  <c:v>4</c:v>
                </c:pt>
                <c:pt idx="2">
                  <c:v>3</c:v>
                </c:pt>
                <c:pt idx="3">
                  <c:v>5</c:v>
                </c:pt>
                <c:pt idx="4">
                  <c:v>0</c:v>
                </c:pt>
                <c:pt idx="5">
                  <c:v>3</c:v>
                </c:pt>
                <c:pt idx="6">
                  <c:v>3</c:v>
                </c:pt>
                <c:pt idx="7">
                  <c:v>4</c:v>
                </c:pt>
                <c:pt idx="8">
                  <c:v>5</c:v>
                </c:pt>
                <c:pt idx="9">
                  <c:v>6</c:v>
                </c:pt>
                <c:pt idx="10">
                  <c:v>3</c:v>
                </c:pt>
                <c:pt idx="11">
                  <c:v>4</c:v>
                </c:pt>
              </c:numCache>
            </c:numRef>
          </c:val>
        </c:ser>
        <c:ser>
          <c:idx val="1"/>
          <c:order val="1"/>
          <c:tx>
            <c:strRef>
              <c:f>'Dry Data'!$C$112</c:f>
              <c:strCache>
                <c:ptCount val="1"/>
                <c:pt idx="0">
                  <c:v>Non Conformity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Data'!$A$113:$A$124</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Data'!$C$113:$C$124</c:f>
              <c:numCache>
                <c:formatCode>General</c:formatCode>
                <c:ptCount val="12"/>
                <c:pt idx="0">
                  <c:v>0</c:v>
                </c:pt>
                <c:pt idx="1">
                  <c:v>0</c:v>
                </c:pt>
                <c:pt idx="2">
                  <c:v>0</c:v>
                </c:pt>
                <c:pt idx="3">
                  <c:v>0</c:v>
                </c:pt>
                <c:pt idx="4" c:formatCode="0">
                  <c:v>0</c:v>
                </c:pt>
                <c:pt idx="5">
                  <c:v>0</c:v>
                </c:pt>
                <c:pt idx="6">
                  <c:v>0</c:v>
                </c:pt>
                <c:pt idx="7">
                  <c:v>0</c:v>
                </c:pt>
                <c:pt idx="8">
                  <c:v>2</c:v>
                </c:pt>
                <c:pt idx="9">
                  <c:v>1</c:v>
                </c:pt>
                <c:pt idx="10">
                  <c:v>0</c:v>
                </c:pt>
                <c:pt idx="11">
                  <c:v>0</c:v>
                </c:pt>
              </c:numCache>
            </c:numRef>
          </c:val>
        </c:ser>
        <c:ser>
          <c:idx val="2"/>
          <c:order val="2"/>
          <c:tx>
            <c:strRef>
              <c:f>'Dry Data'!$D$112</c:f>
              <c:strCache>
                <c:ptCount val="1"/>
                <c:pt idx="0">
                  <c:v>Observation</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Data'!$A$113:$A$124</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Data'!$D$113:$D$124</c:f>
              <c:numCache>
                <c:formatCode>General</c:formatCode>
                <c:ptCount val="12"/>
                <c:pt idx="0">
                  <c:v>0</c:v>
                </c:pt>
                <c:pt idx="1">
                  <c:v>4</c:v>
                </c:pt>
                <c:pt idx="2">
                  <c:v>3</c:v>
                </c:pt>
                <c:pt idx="3">
                  <c:v>5</c:v>
                </c:pt>
                <c:pt idx="4">
                  <c:v>0</c:v>
                </c:pt>
                <c:pt idx="5">
                  <c:v>3</c:v>
                </c:pt>
                <c:pt idx="6">
                  <c:v>3</c:v>
                </c:pt>
                <c:pt idx="7">
                  <c:v>4</c:v>
                </c:pt>
                <c:pt idx="8">
                  <c:v>3</c:v>
                </c:pt>
                <c:pt idx="9">
                  <c:v>5</c:v>
                </c:pt>
                <c:pt idx="10">
                  <c:v>3</c:v>
                </c:pt>
                <c:pt idx="11">
                  <c:v>4</c:v>
                </c:pt>
              </c:numCache>
            </c:numRef>
          </c:val>
        </c:ser>
        <c:ser>
          <c:idx val="3"/>
          <c:order val="3"/>
          <c:tx>
            <c:strRef>
              <c:f>'Dry Data'!$E$112</c:f>
              <c:strCache>
                <c:ptCount val="1"/>
                <c:pt idx="0">
                  <c:v>Inspection </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Data'!$A$113:$A$124</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Data'!$E$113:$E$124</c:f>
              <c:numCache>
                <c:formatCode>0</c:formatCode>
                <c:ptCount val="12"/>
                <c:pt idx="0">
                  <c:v>0</c:v>
                </c:pt>
                <c:pt idx="1">
                  <c:v>1</c:v>
                </c:pt>
                <c:pt idx="2">
                  <c:v>1</c:v>
                </c:pt>
                <c:pt idx="3">
                  <c:v>1</c:v>
                </c:pt>
                <c:pt idx="4">
                  <c:v>0</c:v>
                </c:pt>
                <c:pt idx="5">
                  <c:v>1</c:v>
                </c:pt>
                <c:pt idx="6">
                  <c:v>1</c:v>
                </c:pt>
                <c:pt idx="7">
                  <c:v>1</c:v>
                </c:pt>
                <c:pt idx="8">
                  <c:v>1</c:v>
                </c:pt>
                <c:pt idx="9">
                  <c:v>1</c:v>
                </c:pt>
                <c:pt idx="10">
                  <c:v>1</c:v>
                </c:pt>
                <c:pt idx="11">
                  <c:v>1</c:v>
                </c:pt>
              </c:numCache>
            </c:numRef>
          </c:val>
        </c:ser>
        <c:dLbls>
          <c:showLegendKey val="0"/>
          <c:showVal val="0"/>
          <c:showCatName val="0"/>
          <c:showSerName val="0"/>
          <c:showPercent val="0"/>
          <c:showBubbleSize val="0"/>
        </c:dLbls>
        <c:gapWidth val="75"/>
        <c:axId val="590477192"/>
        <c:axId val="590477584"/>
      </c:barChart>
      <c:lineChart>
        <c:grouping val="standard"/>
        <c:varyColors val="0"/>
        <c:ser>
          <c:idx val="4"/>
          <c:order val="4"/>
          <c:tx>
            <c:strRef>
              <c:f>'Dry Data'!$F$112</c:f>
              <c:strCache>
                <c:ptCount val="1"/>
                <c:pt idx="0">
                  <c:v>Average</c:v>
                </c:pt>
              </c:strCache>
            </c:strRef>
          </c:tx>
          <c:spPr>
            <a:ln w="34925" cap="rnd">
              <a:solidFill>
                <a:schemeClr val="accent5"/>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Data'!$A$113:$A$124</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Data'!$F$113:$F$124</c:f>
              <c:numCache>
                <c:formatCode>#,##0.00</c:formatCode>
                <c:ptCount val="12"/>
                <c:pt idx="0">
                  <c:v>0</c:v>
                </c:pt>
                <c:pt idx="1">
                  <c:v>4</c:v>
                </c:pt>
                <c:pt idx="2">
                  <c:v>3</c:v>
                </c:pt>
                <c:pt idx="3">
                  <c:v>5</c:v>
                </c:pt>
                <c:pt idx="4">
                  <c:v>0</c:v>
                </c:pt>
                <c:pt idx="5">
                  <c:v>3</c:v>
                </c:pt>
                <c:pt idx="6">
                  <c:v>3</c:v>
                </c:pt>
                <c:pt idx="7">
                  <c:v>4</c:v>
                </c:pt>
                <c:pt idx="8">
                  <c:v>5</c:v>
                </c:pt>
                <c:pt idx="9">
                  <c:v>6</c:v>
                </c:pt>
                <c:pt idx="10">
                  <c:v>3</c:v>
                </c:pt>
                <c:pt idx="11">
                  <c:v>4</c:v>
                </c:pt>
              </c:numCache>
            </c:numRef>
          </c:val>
          <c:smooth val="0"/>
        </c:ser>
        <c:ser>
          <c:idx val="5"/>
          <c:order val="5"/>
          <c:tx>
            <c:strRef>
              <c:f>'Dry Data'!$G$112</c:f>
              <c:strCache>
                <c:ptCount val="1"/>
                <c:pt idx="0">
                  <c:v>Average Nc</c:v>
                </c:pt>
              </c:strCache>
            </c:strRef>
          </c:tx>
          <c:spPr>
            <a:ln w="34925" cap="rnd">
              <a:solidFill>
                <a:schemeClr val="accent6"/>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Data'!$A$113:$A$124</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Data'!$G$113:$G$124</c:f>
              <c:numCache>
                <c:formatCode>General</c:formatCode>
                <c:ptCount val="12"/>
                <c:pt idx="0">
                  <c:v>0</c:v>
                </c:pt>
                <c:pt idx="1">
                  <c:v>0</c:v>
                </c:pt>
                <c:pt idx="2">
                  <c:v>0</c:v>
                </c:pt>
                <c:pt idx="3">
                  <c:v>0</c:v>
                </c:pt>
                <c:pt idx="4">
                  <c:v>0</c:v>
                </c:pt>
                <c:pt idx="5">
                  <c:v>0</c:v>
                </c:pt>
                <c:pt idx="6">
                  <c:v>0</c:v>
                </c:pt>
                <c:pt idx="7">
                  <c:v>0</c:v>
                </c:pt>
                <c:pt idx="8">
                  <c:v>2</c:v>
                </c:pt>
                <c:pt idx="9">
                  <c:v>1</c:v>
                </c:pt>
                <c:pt idx="10">
                  <c:v>0</c:v>
                </c:pt>
                <c:pt idx="11">
                  <c:v>0</c:v>
                </c:pt>
              </c:numCache>
            </c:numRef>
          </c:val>
          <c:smooth val="0"/>
        </c:ser>
        <c:ser>
          <c:idx val="6"/>
          <c:order val="6"/>
          <c:tx>
            <c:strRef>
              <c:f>'Dry Data'!$H$112</c:f>
              <c:strCache>
                <c:ptCount val="1"/>
                <c:pt idx="0">
                  <c:v>Average obs</c:v>
                </c:pt>
              </c:strCache>
            </c:strRef>
          </c:tx>
          <c:spPr>
            <a:ln w="34925" cap="rnd">
              <a:solidFill>
                <a:schemeClr val="accent1">
                  <a:lumMod val="60000"/>
                </a:schemeClr>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Data'!$A$113:$A$124</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Data'!$H$113:$H$124</c:f>
              <c:numCache>
                <c:formatCode>0.00</c:formatCode>
                <c:ptCount val="12"/>
                <c:pt idx="0">
                  <c:v>0</c:v>
                </c:pt>
                <c:pt idx="1">
                  <c:v>4</c:v>
                </c:pt>
                <c:pt idx="2">
                  <c:v>3</c:v>
                </c:pt>
                <c:pt idx="3">
                  <c:v>5</c:v>
                </c:pt>
                <c:pt idx="4">
                  <c:v>0</c:v>
                </c:pt>
                <c:pt idx="5">
                  <c:v>3</c:v>
                </c:pt>
                <c:pt idx="6">
                  <c:v>3</c:v>
                </c:pt>
                <c:pt idx="7">
                  <c:v>4</c:v>
                </c:pt>
                <c:pt idx="8">
                  <c:v>3</c:v>
                </c:pt>
                <c:pt idx="9">
                  <c:v>5</c:v>
                </c:pt>
                <c:pt idx="10">
                  <c:v>3</c:v>
                </c:pt>
                <c:pt idx="11">
                  <c:v>4</c:v>
                </c:pt>
              </c:numCache>
            </c:numRef>
          </c:val>
          <c:smooth val="0"/>
        </c:ser>
        <c:dLbls>
          <c:showLegendKey val="0"/>
          <c:showVal val="0"/>
          <c:showCatName val="0"/>
          <c:showSerName val="0"/>
          <c:showPercent val="0"/>
          <c:showBubbleSize val="0"/>
        </c:dLbls>
        <c:marker val="0"/>
        <c:smooth val="0"/>
        <c:axId val="590477192"/>
        <c:axId val="590477584"/>
      </c:lineChart>
      <c:catAx>
        <c:axId val="5904771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90477584"/>
        <c:crosses val="autoZero"/>
        <c:auto val="1"/>
        <c:lblAlgn val="ctr"/>
        <c:lblOffset val="100"/>
        <c:noMultiLvlLbl val="0"/>
      </c:catAx>
      <c:valAx>
        <c:axId val="5904775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9047719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legend>
    <c:plotVisOnly val="1"/>
    <c:dispBlanksAs val="gap"/>
    <c:showDLblsOverMax val="0"/>
    <c:extLst>
      <c:ext uri="{0b15fc19-7d7d-44ad-8c2d-2c3a37ce22c3}">
        <chartProps xmlns="https://web.wps.cn/et/2018/main" chartId="{e0e75360-56ca-4554-89f1-ce987bf9b045}"/>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it-IT"/>
              <a:t>Navigation Audit</a:t>
            </a:r>
            <a:endParaRPr lang="it-IT"/>
          </a:p>
        </c:rich>
      </c:tx>
      <c:layout/>
      <c:overlay val="0"/>
      <c:spPr>
        <a:noFill/>
        <a:ln>
          <a:noFill/>
        </a:ln>
        <a:effectLst/>
      </c:spPr>
    </c:title>
    <c:autoTitleDeleted val="0"/>
    <c:plotArea>
      <c:layout/>
      <c:barChart>
        <c:barDir val="col"/>
        <c:grouping val="clustered"/>
        <c:varyColors val="0"/>
        <c:ser>
          <c:idx val="0"/>
          <c:order val="0"/>
          <c:tx>
            <c:strRef>
              <c:f>'Dry Data'!$B$128</c:f>
              <c:strCache>
                <c:ptCount val="1"/>
                <c:pt idx="0">
                  <c:v>Remarks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Data'!$A$129:$A$140</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Data'!$B$129:$B$140</c:f>
              <c:numCache>
                <c:formatCode>General</c:formatCode>
                <c:ptCount val="12"/>
                <c:pt idx="0">
                  <c:v>0</c:v>
                </c:pt>
                <c:pt idx="1">
                  <c:v>5</c:v>
                </c:pt>
                <c:pt idx="2">
                  <c:v>0</c:v>
                </c:pt>
                <c:pt idx="3">
                  <c:v>0</c:v>
                </c:pt>
                <c:pt idx="4">
                  <c:v>0</c:v>
                </c:pt>
                <c:pt idx="5">
                  <c:v>0</c:v>
                </c:pt>
                <c:pt idx="6">
                  <c:v>0</c:v>
                </c:pt>
                <c:pt idx="7">
                  <c:v>0</c:v>
                </c:pt>
                <c:pt idx="8">
                  <c:v>5</c:v>
                </c:pt>
                <c:pt idx="9">
                  <c:v>0</c:v>
                </c:pt>
                <c:pt idx="10">
                  <c:v>0</c:v>
                </c:pt>
                <c:pt idx="11">
                  <c:v>0</c:v>
                </c:pt>
              </c:numCache>
            </c:numRef>
          </c:val>
        </c:ser>
        <c:ser>
          <c:idx val="1"/>
          <c:order val="1"/>
          <c:tx>
            <c:strRef>
              <c:f>'Dry Data'!$C$128</c:f>
              <c:strCache>
                <c:ptCount val="1"/>
                <c:pt idx="0">
                  <c:v>Non Conformity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Data'!$A$129:$A$140</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Data'!$C$129:$C$140</c:f>
              <c:numCache>
                <c:formatCode>General</c:formatCode>
                <c:ptCount val="12"/>
                <c:pt idx="0">
                  <c:v>0</c:v>
                </c:pt>
                <c:pt idx="1">
                  <c:v>0</c:v>
                </c:pt>
                <c:pt idx="2">
                  <c:v>0</c:v>
                </c:pt>
                <c:pt idx="3">
                  <c:v>0</c:v>
                </c:pt>
                <c:pt idx="4" c:formatCode="0">
                  <c:v>0</c:v>
                </c:pt>
                <c:pt idx="5">
                  <c:v>0</c:v>
                </c:pt>
                <c:pt idx="6">
                  <c:v>0</c:v>
                </c:pt>
                <c:pt idx="7" c:formatCode="0">
                  <c:v>0</c:v>
                </c:pt>
                <c:pt idx="8">
                  <c:v>3</c:v>
                </c:pt>
                <c:pt idx="9" c:formatCode="0">
                  <c:v>0</c:v>
                </c:pt>
                <c:pt idx="10">
                  <c:v>0</c:v>
                </c:pt>
                <c:pt idx="11">
                  <c:v>0</c:v>
                </c:pt>
              </c:numCache>
            </c:numRef>
          </c:val>
        </c:ser>
        <c:ser>
          <c:idx val="2"/>
          <c:order val="2"/>
          <c:tx>
            <c:strRef>
              <c:f>'Dry Data'!$D$128</c:f>
              <c:strCache>
                <c:ptCount val="1"/>
                <c:pt idx="0">
                  <c:v>Observation</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Data'!$A$129:$A$140</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Data'!$D$129:$D$140</c:f>
              <c:numCache>
                <c:formatCode>General</c:formatCode>
                <c:ptCount val="12"/>
                <c:pt idx="0">
                  <c:v>0</c:v>
                </c:pt>
                <c:pt idx="1">
                  <c:v>5</c:v>
                </c:pt>
                <c:pt idx="2">
                  <c:v>0</c:v>
                </c:pt>
                <c:pt idx="3">
                  <c:v>0</c:v>
                </c:pt>
                <c:pt idx="4">
                  <c:v>0</c:v>
                </c:pt>
                <c:pt idx="5">
                  <c:v>0</c:v>
                </c:pt>
                <c:pt idx="6">
                  <c:v>0</c:v>
                </c:pt>
                <c:pt idx="7">
                  <c:v>0</c:v>
                </c:pt>
                <c:pt idx="8">
                  <c:v>2</c:v>
                </c:pt>
                <c:pt idx="9">
                  <c:v>0</c:v>
                </c:pt>
                <c:pt idx="10">
                  <c:v>0</c:v>
                </c:pt>
                <c:pt idx="11">
                  <c:v>0</c:v>
                </c:pt>
              </c:numCache>
            </c:numRef>
          </c:val>
        </c:ser>
        <c:ser>
          <c:idx val="3"/>
          <c:order val="3"/>
          <c:tx>
            <c:strRef>
              <c:f>'Dry Data'!$E$128</c:f>
              <c:strCache>
                <c:ptCount val="1"/>
                <c:pt idx="0">
                  <c:v>Inspection </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Data'!$A$129:$A$140</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Data'!$E$129:$E$140</c:f>
              <c:numCache>
                <c:formatCode>0</c:formatCode>
                <c:ptCount val="12"/>
                <c:pt idx="0">
                  <c:v>0</c:v>
                </c:pt>
                <c:pt idx="1">
                  <c:v>1</c:v>
                </c:pt>
                <c:pt idx="2">
                  <c:v>0</c:v>
                </c:pt>
                <c:pt idx="3">
                  <c:v>0</c:v>
                </c:pt>
                <c:pt idx="4">
                  <c:v>0</c:v>
                </c:pt>
                <c:pt idx="5">
                  <c:v>0</c:v>
                </c:pt>
                <c:pt idx="6">
                  <c:v>0</c:v>
                </c:pt>
                <c:pt idx="7">
                  <c:v>0</c:v>
                </c:pt>
                <c:pt idx="8">
                  <c:v>1</c:v>
                </c:pt>
                <c:pt idx="9">
                  <c:v>0</c:v>
                </c:pt>
                <c:pt idx="10">
                  <c:v>0</c:v>
                </c:pt>
                <c:pt idx="11">
                  <c:v>0</c:v>
                </c:pt>
              </c:numCache>
            </c:numRef>
          </c:val>
        </c:ser>
        <c:dLbls>
          <c:showLegendKey val="0"/>
          <c:showVal val="0"/>
          <c:showCatName val="0"/>
          <c:showSerName val="0"/>
          <c:showPercent val="0"/>
          <c:showBubbleSize val="0"/>
        </c:dLbls>
        <c:gapWidth val="75"/>
        <c:axId val="590473272"/>
        <c:axId val="590471704"/>
      </c:barChart>
      <c:lineChart>
        <c:grouping val="standard"/>
        <c:varyColors val="0"/>
        <c:ser>
          <c:idx val="4"/>
          <c:order val="4"/>
          <c:tx>
            <c:strRef>
              <c:f>'Dry Data'!$F$128</c:f>
              <c:strCache>
                <c:ptCount val="1"/>
                <c:pt idx="0">
                  <c:v>Average</c:v>
                </c:pt>
              </c:strCache>
            </c:strRef>
          </c:tx>
          <c:spPr>
            <a:ln w="34925" cap="rnd">
              <a:solidFill>
                <a:schemeClr val="accent5"/>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Data'!$A$129:$A$140</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Data'!$F$129:$F$140</c:f>
              <c:numCache>
                <c:formatCode>#,##0.00</c:formatCode>
                <c:ptCount val="12"/>
                <c:pt idx="0">
                  <c:v>0</c:v>
                </c:pt>
                <c:pt idx="1">
                  <c:v>5</c:v>
                </c:pt>
                <c:pt idx="2">
                  <c:v>0</c:v>
                </c:pt>
                <c:pt idx="3">
                  <c:v>0</c:v>
                </c:pt>
                <c:pt idx="4">
                  <c:v>0</c:v>
                </c:pt>
                <c:pt idx="5">
                  <c:v>0</c:v>
                </c:pt>
                <c:pt idx="6">
                  <c:v>0</c:v>
                </c:pt>
                <c:pt idx="7">
                  <c:v>0</c:v>
                </c:pt>
                <c:pt idx="8">
                  <c:v>5</c:v>
                </c:pt>
                <c:pt idx="9">
                  <c:v>0</c:v>
                </c:pt>
                <c:pt idx="10">
                  <c:v>0</c:v>
                </c:pt>
                <c:pt idx="11">
                  <c:v>0</c:v>
                </c:pt>
              </c:numCache>
            </c:numRef>
          </c:val>
          <c:smooth val="0"/>
        </c:ser>
        <c:ser>
          <c:idx val="5"/>
          <c:order val="5"/>
          <c:tx>
            <c:strRef>
              <c:f>'Dry Data'!$G$128</c:f>
              <c:strCache>
                <c:ptCount val="1"/>
                <c:pt idx="0">
                  <c:v>Average Nc</c:v>
                </c:pt>
              </c:strCache>
            </c:strRef>
          </c:tx>
          <c:spPr>
            <a:ln w="34925" cap="rnd">
              <a:solidFill>
                <a:schemeClr val="accent6"/>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Data'!$A$129:$A$140</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Data'!$G$129:$G$140</c:f>
              <c:numCache>
                <c:formatCode>General</c:formatCode>
                <c:ptCount val="12"/>
                <c:pt idx="0">
                  <c:v>0</c:v>
                </c:pt>
                <c:pt idx="1">
                  <c:v>0</c:v>
                </c:pt>
                <c:pt idx="2">
                  <c:v>0</c:v>
                </c:pt>
                <c:pt idx="3">
                  <c:v>0</c:v>
                </c:pt>
                <c:pt idx="4">
                  <c:v>0</c:v>
                </c:pt>
                <c:pt idx="5">
                  <c:v>0</c:v>
                </c:pt>
                <c:pt idx="6">
                  <c:v>0</c:v>
                </c:pt>
                <c:pt idx="7">
                  <c:v>0</c:v>
                </c:pt>
                <c:pt idx="8">
                  <c:v>3</c:v>
                </c:pt>
                <c:pt idx="9">
                  <c:v>0</c:v>
                </c:pt>
                <c:pt idx="10">
                  <c:v>0</c:v>
                </c:pt>
                <c:pt idx="11">
                  <c:v>0</c:v>
                </c:pt>
              </c:numCache>
            </c:numRef>
          </c:val>
          <c:smooth val="0"/>
        </c:ser>
        <c:ser>
          <c:idx val="6"/>
          <c:order val="6"/>
          <c:tx>
            <c:strRef>
              <c:f>'Dry Data'!$H$128</c:f>
              <c:strCache>
                <c:ptCount val="1"/>
                <c:pt idx="0">
                  <c:v>Average obs</c:v>
                </c:pt>
              </c:strCache>
            </c:strRef>
          </c:tx>
          <c:spPr>
            <a:ln w="34925" cap="rnd">
              <a:solidFill>
                <a:schemeClr val="accent1">
                  <a:lumMod val="60000"/>
                </a:schemeClr>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Data'!$A$129:$A$140</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Data'!$H$129:$H$140</c:f>
              <c:numCache>
                <c:formatCode>0.00</c:formatCode>
                <c:ptCount val="12"/>
                <c:pt idx="0">
                  <c:v>0</c:v>
                </c:pt>
                <c:pt idx="1">
                  <c:v>5</c:v>
                </c:pt>
                <c:pt idx="2">
                  <c:v>0</c:v>
                </c:pt>
                <c:pt idx="3">
                  <c:v>0</c:v>
                </c:pt>
                <c:pt idx="4">
                  <c:v>0</c:v>
                </c:pt>
                <c:pt idx="5">
                  <c:v>0</c:v>
                </c:pt>
                <c:pt idx="6">
                  <c:v>0</c:v>
                </c:pt>
                <c:pt idx="7">
                  <c:v>0</c:v>
                </c:pt>
                <c:pt idx="8">
                  <c:v>2</c:v>
                </c:pt>
                <c:pt idx="9">
                  <c:v>0</c:v>
                </c:pt>
                <c:pt idx="10">
                  <c:v>0</c:v>
                </c:pt>
                <c:pt idx="11">
                  <c:v>0</c:v>
                </c:pt>
              </c:numCache>
            </c:numRef>
          </c:val>
          <c:smooth val="0"/>
        </c:ser>
        <c:dLbls>
          <c:showLegendKey val="0"/>
          <c:showVal val="0"/>
          <c:showCatName val="0"/>
          <c:showSerName val="0"/>
          <c:showPercent val="0"/>
          <c:showBubbleSize val="0"/>
        </c:dLbls>
        <c:marker val="0"/>
        <c:smooth val="0"/>
        <c:axId val="590473272"/>
        <c:axId val="590471704"/>
      </c:lineChart>
      <c:catAx>
        <c:axId val="5904732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90471704"/>
        <c:crosses val="autoZero"/>
        <c:auto val="1"/>
        <c:lblAlgn val="ctr"/>
        <c:lblOffset val="100"/>
        <c:noMultiLvlLbl val="0"/>
      </c:catAx>
      <c:valAx>
        <c:axId val="5904717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9047327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legend>
    <c:plotVisOnly val="1"/>
    <c:dispBlanksAs val="gap"/>
    <c:showDLblsOverMax val="0"/>
    <c:extLst>
      <c:ext uri="{0b15fc19-7d7d-44ad-8c2d-2c3a37ce22c3}">
        <chartProps xmlns="https://web.wps.cn/et/2018/main" chartId="{040d7645-eacb-4f1a-af7e-37ddb542f9aa}"/>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it-IT"/>
              <a:t>Isps Audit</a:t>
            </a:r>
            <a:endParaRPr lang="it-IT"/>
          </a:p>
        </c:rich>
      </c:tx>
      <c:layout/>
      <c:overlay val="0"/>
      <c:spPr>
        <a:noFill/>
        <a:ln>
          <a:noFill/>
        </a:ln>
        <a:effectLst/>
      </c:spPr>
    </c:title>
    <c:autoTitleDeleted val="0"/>
    <c:plotArea>
      <c:layout/>
      <c:barChart>
        <c:barDir val="col"/>
        <c:grouping val="clustered"/>
        <c:varyColors val="0"/>
        <c:ser>
          <c:idx val="0"/>
          <c:order val="0"/>
          <c:tx>
            <c:strRef>
              <c:f>'Dry Data'!$B$144</c:f>
              <c:strCache>
                <c:ptCount val="1"/>
                <c:pt idx="0">
                  <c:v>Remarks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Data'!$A$145:$A$156</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Data'!$B$145:$B$156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'Dry Data'!$C$144</c:f>
              <c:strCache>
                <c:ptCount val="1"/>
                <c:pt idx="0">
                  <c:v>Non Conformity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Data'!$A$145:$A$156</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Data'!$C$145:$C$156</c:f>
              <c:numCache>
                <c:formatCode>0</c:formatCode>
                <c:ptCount val="12"/>
                <c:pt idx="0">
                  <c:v>0</c:v>
                </c:pt>
                <c:pt idx="1" c:formatCode="General">
                  <c:v>0</c:v>
                </c:pt>
                <c:pt idx="2" c:formatCode="General">
                  <c:v>0</c:v>
                </c:pt>
                <c:pt idx="3" c:formatCode="General">
                  <c:v>0</c:v>
                </c:pt>
                <c:pt idx="4">
                  <c:v>0</c:v>
                </c:pt>
                <c:pt idx="5" c:formatCode="General">
                  <c:v>0</c:v>
                </c:pt>
                <c:pt idx="6" c:formatCode="General">
                  <c:v>0</c:v>
                </c:pt>
                <c:pt idx="7">
                  <c:v>0</c:v>
                </c:pt>
                <c:pt idx="8" c:formatCode="General">
                  <c:v>0</c:v>
                </c:pt>
                <c:pt idx="9">
                  <c:v>0</c:v>
                </c:pt>
                <c:pt idx="10">
                  <c:v>0</c:v>
                </c:pt>
                <c:pt idx="11" c:formatCode="General">
                  <c:v>0</c:v>
                </c:pt>
              </c:numCache>
            </c:numRef>
          </c:val>
        </c:ser>
        <c:ser>
          <c:idx val="2"/>
          <c:order val="2"/>
          <c:tx>
            <c:strRef>
              <c:f>'Dry Data'!$D$144</c:f>
              <c:strCache>
                <c:ptCount val="1"/>
                <c:pt idx="0">
                  <c:v>Observation</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Data'!$A$145:$A$156</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Data'!$D$145:$D$156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'Dry Data'!$E$144</c:f>
              <c:strCache>
                <c:ptCount val="1"/>
                <c:pt idx="0">
                  <c:v>Inspection </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Data'!$A$145:$A$156</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Data'!$E$145:$E$156</c:f>
              <c:numCache>
                <c:formatCode>0</c:formatCode>
                <c:ptCount val="12"/>
                <c:pt idx="0">
                  <c:v>0</c:v>
                </c:pt>
                <c:pt idx="1">
                  <c:v>1</c:v>
                </c:pt>
                <c:pt idx="2">
                  <c:v>1</c:v>
                </c:pt>
                <c:pt idx="3">
                  <c:v>1</c:v>
                </c:pt>
                <c:pt idx="4">
                  <c:v>0</c:v>
                </c:pt>
                <c:pt idx="5">
                  <c:v>1</c:v>
                </c:pt>
                <c:pt idx="6">
                  <c:v>1</c:v>
                </c:pt>
                <c:pt idx="7">
                  <c:v>1</c:v>
                </c:pt>
                <c:pt idx="8">
                  <c:v>1</c:v>
                </c:pt>
                <c:pt idx="9">
                  <c:v>1</c:v>
                </c:pt>
                <c:pt idx="10">
                  <c:v>1</c:v>
                </c:pt>
                <c:pt idx="11">
                  <c:v>1</c:v>
                </c:pt>
              </c:numCache>
            </c:numRef>
          </c:val>
        </c:ser>
        <c:dLbls>
          <c:showLegendKey val="0"/>
          <c:showVal val="0"/>
          <c:showCatName val="0"/>
          <c:showSerName val="0"/>
          <c:showPercent val="0"/>
          <c:showBubbleSize val="0"/>
        </c:dLbls>
        <c:gapWidth val="75"/>
        <c:overlap val="-25"/>
        <c:axId val="590478368"/>
        <c:axId val="590474056"/>
      </c:barChart>
      <c:lineChart>
        <c:grouping val="standard"/>
        <c:varyColors val="0"/>
        <c:ser>
          <c:idx val="4"/>
          <c:order val="4"/>
          <c:tx>
            <c:strRef>
              <c:f>'Dry Data'!$F$144</c:f>
              <c:strCache>
                <c:ptCount val="1"/>
                <c:pt idx="0">
                  <c:v>Average</c:v>
                </c:pt>
              </c:strCache>
            </c:strRef>
          </c:tx>
          <c:spPr>
            <a:ln w="34925" cap="rnd">
              <a:solidFill>
                <a:schemeClr val="accent5"/>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Data'!$A$145:$A$156</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Data'!$F$145:$F$156</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5"/>
          <c:order val="5"/>
          <c:tx>
            <c:strRef>
              <c:f>'Dry Data'!$G$144</c:f>
              <c:strCache>
                <c:ptCount val="1"/>
                <c:pt idx="0">
                  <c:v>Avrage Nc</c:v>
                </c:pt>
              </c:strCache>
            </c:strRef>
          </c:tx>
          <c:spPr>
            <a:ln w="34925" cap="rnd">
              <a:solidFill>
                <a:schemeClr val="accent6"/>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Data'!$A$145:$A$156</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Data'!$G$145:$G$156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6"/>
          <c:order val="6"/>
          <c:tx>
            <c:strRef>
              <c:f>'Dry Data'!$H$144</c:f>
              <c:strCache>
                <c:ptCount val="1"/>
                <c:pt idx="0">
                  <c:v>Average obs</c:v>
                </c:pt>
              </c:strCache>
            </c:strRef>
          </c:tx>
          <c:spPr>
            <a:ln w="34925" cap="rnd">
              <a:solidFill>
                <a:schemeClr val="accent1">
                  <a:lumMod val="60000"/>
                </a:schemeClr>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Data'!$A$145:$A$156</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Data'!$H$145:$H$156</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590478368"/>
        <c:axId val="590474056"/>
      </c:lineChart>
      <c:catAx>
        <c:axId val="5904783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90474056"/>
        <c:crosses val="autoZero"/>
        <c:auto val="1"/>
        <c:lblAlgn val="ctr"/>
        <c:lblOffset val="100"/>
        <c:noMultiLvlLbl val="0"/>
      </c:catAx>
      <c:valAx>
        <c:axId val="5904740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9047836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legend>
    <c:plotVisOnly val="1"/>
    <c:dispBlanksAs val="gap"/>
    <c:showDLblsOverMax val="0"/>
    <c:extLst>
      <c:ext uri="{0b15fc19-7d7d-44ad-8c2d-2c3a37ce22c3}">
        <chartProps xmlns="https://web.wps.cn/et/2018/main" chartId="{37cfbcfe-3c96-44f8-a33a-75c38b4e0dd2}"/>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it-IT"/>
              <a:t>Safety Inspection</a:t>
            </a:r>
            <a:endParaRPr lang="it-IT"/>
          </a:p>
        </c:rich>
      </c:tx>
      <c:layout/>
      <c:overlay val="0"/>
      <c:spPr>
        <a:noFill/>
        <a:ln>
          <a:noFill/>
        </a:ln>
        <a:effectLst/>
      </c:spPr>
    </c:title>
    <c:autoTitleDeleted val="0"/>
    <c:plotArea>
      <c:layout/>
      <c:barChart>
        <c:barDir val="col"/>
        <c:grouping val="clustered"/>
        <c:varyColors val="0"/>
        <c:ser>
          <c:idx val="0"/>
          <c:order val="0"/>
          <c:tx>
            <c:strRef>
              <c:f>'Dry Data'!$B$160</c:f>
              <c:strCache>
                <c:ptCount val="1"/>
                <c:pt idx="0">
                  <c:v>Remarks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Data'!$A$161:$A$172</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Data'!$B$161:$B$172</c:f>
              <c:numCache>
                <c:formatCode>General</c:formatCode>
                <c:ptCount val="12"/>
                <c:pt idx="0">
                  <c:v>0</c:v>
                </c:pt>
                <c:pt idx="1">
                  <c:v>0</c:v>
                </c:pt>
                <c:pt idx="2">
                  <c:v>5</c:v>
                </c:pt>
                <c:pt idx="3">
                  <c:v>0</c:v>
                </c:pt>
                <c:pt idx="4">
                  <c:v>0</c:v>
                </c:pt>
                <c:pt idx="5">
                  <c:v>0</c:v>
                </c:pt>
                <c:pt idx="6">
                  <c:v>0</c:v>
                </c:pt>
                <c:pt idx="7">
                  <c:v>2</c:v>
                </c:pt>
                <c:pt idx="8">
                  <c:v>6</c:v>
                </c:pt>
                <c:pt idx="9">
                  <c:v>7</c:v>
                </c:pt>
                <c:pt idx="10">
                  <c:v>0</c:v>
                </c:pt>
                <c:pt idx="11">
                  <c:v>6</c:v>
                </c:pt>
              </c:numCache>
            </c:numRef>
          </c:val>
        </c:ser>
        <c:ser>
          <c:idx val="1"/>
          <c:order val="1"/>
          <c:tx>
            <c:strRef>
              <c:f>'Dry Data'!$C$160</c:f>
              <c:strCache>
                <c:ptCount val="1"/>
                <c:pt idx="0">
                  <c:v>Non Conformity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Data'!$A$161:$A$172</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Data'!$C$161:$C$172</c:f>
              <c:numCache>
                <c:formatCode>General</c:formatCode>
                <c:ptCount val="12"/>
                <c:pt idx="0">
                  <c:v>0</c:v>
                </c:pt>
                <c:pt idx="1">
                  <c:v>0</c:v>
                </c:pt>
                <c:pt idx="2">
                  <c:v>0</c:v>
                </c:pt>
                <c:pt idx="3">
                  <c:v>0</c:v>
                </c:pt>
                <c:pt idx="4" c:formatCode="0">
                  <c:v>0</c:v>
                </c:pt>
                <c:pt idx="5">
                  <c:v>0</c:v>
                </c:pt>
                <c:pt idx="6">
                  <c:v>0</c:v>
                </c:pt>
                <c:pt idx="7">
                  <c:v>0</c:v>
                </c:pt>
                <c:pt idx="8">
                  <c:v>1</c:v>
                </c:pt>
                <c:pt idx="9">
                  <c:v>0</c:v>
                </c:pt>
                <c:pt idx="10">
                  <c:v>0</c:v>
                </c:pt>
                <c:pt idx="11">
                  <c:v>0</c:v>
                </c:pt>
              </c:numCache>
            </c:numRef>
          </c:val>
        </c:ser>
        <c:ser>
          <c:idx val="2"/>
          <c:order val="2"/>
          <c:tx>
            <c:strRef>
              <c:f>'Dry Data'!$D$160</c:f>
              <c:strCache>
                <c:ptCount val="1"/>
                <c:pt idx="0">
                  <c:v>Observation</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Data'!$A$161:$A$172</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Data'!$D$161:$D$172</c:f>
              <c:numCache>
                <c:formatCode>General</c:formatCode>
                <c:ptCount val="12"/>
                <c:pt idx="0">
                  <c:v>0</c:v>
                </c:pt>
                <c:pt idx="1">
                  <c:v>0</c:v>
                </c:pt>
                <c:pt idx="2">
                  <c:v>5</c:v>
                </c:pt>
                <c:pt idx="3">
                  <c:v>0</c:v>
                </c:pt>
                <c:pt idx="4">
                  <c:v>0</c:v>
                </c:pt>
                <c:pt idx="5">
                  <c:v>0</c:v>
                </c:pt>
                <c:pt idx="6">
                  <c:v>0</c:v>
                </c:pt>
                <c:pt idx="7">
                  <c:v>2</c:v>
                </c:pt>
                <c:pt idx="8">
                  <c:v>5</c:v>
                </c:pt>
                <c:pt idx="9">
                  <c:v>7</c:v>
                </c:pt>
                <c:pt idx="10">
                  <c:v>0</c:v>
                </c:pt>
                <c:pt idx="11">
                  <c:v>6</c:v>
                </c:pt>
              </c:numCache>
            </c:numRef>
          </c:val>
        </c:ser>
        <c:ser>
          <c:idx val="3"/>
          <c:order val="3"/>
          <c:tx>
            <c:strRef>
              <c:f>'Dry Data'!$E$160</c:f>
              <c:strCache>
                <c:ptCount val="1"/>
                <c:pt idx="0">
                  <c:v>Inspection </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Data'!$A$161:$A$172</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Data'!$E$161:$E$172</c:f>
              <c:numCache>
                <c:formatCode>0</c:formatCode>
                <c:ptCount val="12"/>
                <c:pt idx="0">
                  <c:v>0</c:v>
                </c:pt>
                <c:pt idx="1">
                  <c:v>0</c:v>
                </c:pt>
                <c:pt idx="2">
                  <c:v>1</c:v>
                </c:pt>
                <c:pt idx="3">
                  <c:v>0</c:v>
                </c:pt>
                <c:pt idx="4">
                  <c:v>0</c:v>
                </c:pt>
                <c:pt idx="5">
                  <c:v>0</c:v>
                </c:pt>
                <c:pt idx="6">
                  <c:v>0</c:v>
                </c:pt>
                <c:pt idx="7">
                  <c:v>1</c:v>
                </c:pt>
                <c:pt idx="8">
                  <c:v>1</c:v>
                </c:pt>
                <c:pt idx="9">
                  <c:v>1</c:v>
                </c:pt>
                <c:pt idx="10">
                  <c:v>0</c:v>
                </c:pt>
                <c:pt idx="11">
                  <c:v>1</c:v>
                </c:pt>
              </c:numCache>
            </c:numRef>
          </c:val>
        </c:ser>
        <c:dLbls>
          <c:showLegendKey val="0"/>
          <c:showVal val="0"/>
          <c:showCatName val="0"/>
          <c:showSerName val="0"/>
          <c:showPercent val="0"/>
          <c:showBubbleSize val="0"/>
        </c:dLbls>
        <c:gapWidth val="75"/>
        <c:overlap val="-25"/>
        <c:axId val="590472096"/>
        <c:axId val="590474840"/>
      </c:barChart>
      <c:lineChart>
        <c:grouping val="standard"/>
        <c:varyColors val="0"/>
        <c:ser>
          <c:idx val="4"/>
          <c:order val="4"/>
          <c:tx>
            <c:strRef>
              <c:f>'Dry Data'!$F$160</c:f>
              <c:strCache>
                <c:ptCount val="1"/>
                <c:pt idx="0">
                  <c:v>Average</c:v>
                </c:pt>
              </c:strCache>
            </c:strRef>
          </c:tx>
          <c:spPr>
            <a:ln w="34925" cap="rnd">
              <a:solidFill>
                <a:schemeClr val="accent5"/>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Data'!$A$161:$A$172</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Data'!$F$161:$F$172</c:f>
              <c:numCache>
                <c:formatCode>0.00</c:formatCode>
                <c:ptCount val="12"/>
                <c:pt idx="0">
                  <c:v>0</c:v>
                </c:pt>
                <c:pt idx="1">
                  <c:v>0</c:v>
                </c:pt>
                <c:pt idx="2">
                  <c:v>5</c:v>
                </c:pt>
                <c:pt idx="3">
                  <c:v>0</c:v>
                </c:pt>
                <c:pt idx="4">
                  <c:v>0</c:v>
                </c:pt>
                <c:pt idx="5">
                  <c:v>0</c:v>
                </c:pt>
                <c:pt idx="6">
                  <c:v>0</c:v>
                </c:pt>
                <c:pt idx="7">
                  <c:v>2</c:v>
                </c:pt>
                <c:pt idx="8">
                  <c:v>6</c:v>
                </c:pt>
                <c:pt idx="9">
                  <c:v>7</c:v>
                </c:pt>
                <c:pt idx="10">
                  <c:v>0</c:v>
                </c:pt>
                <c:pt idx="11">
                  <c:v>6</c:v>
                </c:pt>
              </c:numCache>
            </c:numRef>
          </c:val>
          <c:smooth val="0"/>
        </c:ser>
        <c:ser>
          <c:idx val="5"/>
          <c:order val="5"/>
          <c:tx>
            <c:strRef>
              <c:f>'Dry Data'!$G$160</c:f>
              <c:strCache>
                <c:ptCount val="1"/>
                <c:pt idx="0">
                  <c:v>Average Nc</c:v>
                </c:pt>
              </c:strCache>
            </c:strRef>
          </c:tx>
          <c:spPr>
            <a:ln w="34925" cap="rnd">
              <a:solidFill>
                <a:schemeClr val="accent6"/>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Data'!$A$161:$A$172</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Data'!$G$161:$G$172</c:f>
              <c:numCache>
                <c:formatCode>0.00</c:formatCode>
                <c:ptCount val="12"/>
                <c:pt idx="0">
                  <c:v>0</c:v>
                </c:pt>
                <c:pt idx="1">
                  <c:v>0</c:v>
                </c:pt>
                <c:pt idx="2">
                  <c:v>0</c:v>
                </c:pt>
                <c:pt idx="3">
                  <c:v>0</c:v>
                </c:pt>
                <c:pt idx="4">
                  <c:v>0</c:v>
                </c:pt>
                <c:pt idx="5">
                  <c:v>0</c:v>
                </c:pt>
                <c:pt idx="6">
                  <c:v>0</c:v>
                </c:pt>
                <c:pt idx="7">
                  <c:v>0</c:v>
                </c:pt>
                <c:pt idx="8">
                  <c:v>1</c:v>
                </c:pt>
                <c:pt idx="9">
                  <c:v>0</c:v>
                </c:pt>
                <c:pt idx="10">
                  <c:v>0</c:v>
                </c:pt>
                <c:pt idx="11">
                  <c:v>0</c:v>
                </c:pt>
              </c:numCache>
            </c:numRef>
          </c:val>
          <c:smooth val="0"/>
        </c:ser>
        <c:ser>
          <c:idx val="6"/>
          <c:order val="6"/>
          <c:tx>
            <c:strRef>
              <c:f>'Dry Data'!$H$160</c:f>
              <c:strCache>
                <c:ptCount val="1"/>
                <c:pt idx="0">
                  <c:v>Average obs</c:v>
                </c:pt>
              </c:strCache>
            </c:strRef>
          </c:tx>
          <c:spPr>
            <a:ln w="34925" cap="rnd">
              <a:solidFill>
                <a:schemeClr val="accent1">
                  <a:lumMod val="60000"/>
                </a:schemeClr>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'Dry Data'!$A$161:$A$172</c:f>
              <c:strCache>
                <c:ptCount val="12"/>
                <c:pt idx="0">
                  <c:v>Cielo di Valparaiso</c:v>
                </c:pt>
                <c:pt idx="1">
                  <c:v>Cielo Dei Maronti</c:v>
                </c:pt>
                <c:pt idx="2">
                  <c:v>Medi Adriatico</c:v>
                </c:pt>
                <c:pt idx="3">
                  <c:v>Medi Atlantico</c:v>
                </c:pt>
                <c:pt idx="4">
                  <c:v>Medi Caboto</c:v>
                </c:pt>
                <c:pt idx="5">
                  <c:v>Medi Egadi</c:v>
                </c:pt>
                <c:pt idx="6">
                  <c:v>Medi Egeo</c:v>
                </c:pt>
                <c:pt idx="7">
                  <c:v>Medi Matsuura</c:v>
                </c:pt>
                <c:pt idx="8">
                  <c:v>Medi Palmarola</c:v>
                </c:pt>
                <c:pt idx="9">
                  <c:v>Medi Sydney</c:v>
                </c:pt>
                <c:pt idx="10">
                  <c:v>Medi Tirreno</c:v>
                </c:pt>
                <c:pt idx="11">
                  <c:v>Medi Zuoz</c:v>
                </c:pt>
              </c:strCache>
            </c:strRef>
          </c:cat>
          <c:val>
            <c:numRef>
              <c:f>'Dry Data'!$H$161:$H$172</c:f>
              <c:numCache>
                <c:formatCode>0.00</c:formatCode>
                <c:ptCount val="12"/>
                <c:pt idx="0">
                  <c:v>0</c:v>
                </c:pt>
                <c:pt idx="1">
                  <c:v>0</c:v>
                </c:pt>
                <c:pt idx="2">
                  <c:v>5</c:v>
                </c:pt>
                <c:pt idx="3">
                  <c:v>0</c:v>
                </c:pt>
                <c:pt idx="4">
                  <c:v>0</c:v>
                </c:pt>
                <c:pt idx="5">
                  <c:v>0</c:v>
                </c:pt>
                <c:pt idx="6">
                  <c:v>0</c:v>
                </c:pt>
                <c:pt idx="7">
                  <c:v>2</c:v>
                </c:pt>
                <c:pt idx="8">
                  <c:v>5</c:v>
                </c:pt>
                <c:pt idx="9">
                  <c:v>7</c:v>
                </c:pt>
                <c:pt idx="10">
                  <c:v>0</c:v>
                </c:pt>
                <c:pt idx="11">
                  <c:v>6</c:v>
                </c:pt>
              </c:numCache>
            </c:numRef>
          </c:val>
          <c:smooth val="0"/>
        </c:ser>
        <c:dLbls>
          <c:showLegendKey val="0"/>
          <c:showVal val="0"/>
          <c:showCatName val="0"/>
          <c:showSerName val="0"/>
          <c:showPercent val="0"/>
          <c:showBubbleSize val="0"/>
        </c:dLbls>
        <c:marker val="0"/>
        <c:smooth val="0"/>
        <c:axId val="590472096"/>
        <c:axId val="590474840"/>
      </c:lineChart>
      <c:catAx>
        <c:axId val="5904720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90474840"/>
        <c:crosses val="autoZero"/>
        <c:auto val="1"/>
        <c:lblAlgn val="ctr"/>
        <c:lblOffset val="100"/>
        <c:noMultiLvlLbl val="0"/>
      </c:catAx>
      <c:valAx>
        <c:axId val="5904748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59047209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legend>
    <c:plotVisOnly val="1"/>
    <c:dispBlanksAs val="gap"/>
    <c:showDLblsOverMax val="0"/>
    <c:extLst>
      <c:ext uri="{0b15fc19-7d7d-44ad-8c2d-2c3a37ce22c3}">
        <chartProps xmlns="https://web.wps.cn/et/2018/main" chartId="{79a18b69-52a3-40aa-a330-77b626f32022}"/>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5" Type="http://schemas.openxmlformats.org/officeDocument/2006/relationships/chart" Target="../charts/chart10.xml"/><Relationship Id="rId4" Type="http://schemas.openxmlformats.org/officeDocument/2006/relationships/chart" Target="../charts/chart9.xml"/><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4" Type="http://schemas.openxmlformats.org/officeDocument/2006/relationships/chart" Target="../charts/chart20.xml"/><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4" Type="http://schemas.openxmlformats.org/officeDocument/2006/relationships/chart" Target="../charts/chart24.xml"/><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s>
</file>

<file path=xl/drawings/_rels/drawing8.xml.rels><?xml version="1.0" encoding="UTF-8" standalone="yes"?>
<Relationships xmlns="http://schemas.openxmlformats.org/package/2006/relationships"><Relationship Id="rId6" Type="http://schemas.openxmlformats.org/officeDocument/2006/relationships/chart" Target="../charts/chart30.xml"/><Relationship Id="rId5" Type="http://schemas.openxmlformats.org/officeDocument/2006/relationships/chart" Target="../charts/chart29.xml"/><Relationship Id="rId4" Type="http://schemas.openxmlformats.org/officeDocument/2006/relationships/chart" Target="../charts/chart28.xml"/><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s>
</file>

<file path=xl/drawings/_rels/drawing10.xml.rels><?xml version="1.0" encoding="UTF-8" standalone="yes"?>
<Relationships xmlns="http://schemas.openxmlformats.org/package/2006/relationships"><Relationship Id="rId7" Type="http://schemas.openxmlformats.org/officeDocument/2006/relationships/chart" Target="../charts/chart40.xml"/><Relationship Id="rId6" Type="http://schemas.openxmlformats.org/officeDocument/2006/relationships/chart" Target="../charts/chart39.xml"/><Relationship Id="rId5" Type="http://schemas.openxmlformats.org/officeDocument/2006/relationships/chart" Target="../charts/chart38.xml"/><Relationship Id="rId4" Type="http://schemas.openxmlformats.org/officeDocument/2006/relationships/chart" Target="../charts/chart37.xml"/><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s>
</file>

<file path=xl/drawings/_rels/drawing11.xml.rels><?xml version="1.0" encoding="UTF-8" standalone="yes"?>
<Relationships xmlns="http://schemas.openxmlformats.org/package/2006/relationships"><Relationship Id="rId7" Type="http://schemas.openxmlformats.org/officeDocument/2006/relationships/chart" Target="../charts/chart47.xml"/><Relationship Id="rId6" Type="http://schemas.openxmlformats.org/officeDocument/2006/relationships/chart" Target="../charts/chart46.xml"/><Relationship Id="rId5" Type="http://schemas.openxmlformats.org/officeDocument/2006/relationships/chart" Target="../charts/chart45.xml"/><Relationship Id="rId4" Type="http://schemas.openxmlformats.org/officeDocument/2006/relationships/chart" Target="../charts/chart44.xml"/><Relationship Id="rId3" Type="http://schemas.openxmlformats.org/officeDocument/2006/relationships/chart" Target="../charts/chart43.xml"/><Relationship Id="rId2" Type="http://schemas.openxmlformats.org/officeDocument/2006/relationships/chart" Target="../charts/chart42.xml"/><Relationship Id="rId1" Type="http://schemas.openxmlformats.org/officeDocument/2006/relationships/chart" Target="../charts/chart41.xml"/></Relationships>
</file>

<file path=xl/drawings/_rels/drawing12.xml.rels><?xml version="1.0" encoding="UTF-8" standalone="yes"?>
<Relationships xmlns="http://schemas.openxmlformats.org/package/2006/relationships"><Relationship Id="rId6" Type="http://schemas.openxmlformats.org/officeDocument/2006/relationships/chart" Target="../charts/chart53.xml"/><Relationship Id="rId5" Type="http://schemas.openxmlformats.org/officeDocument/2006/relationships/chart" Target="../charts/chart52.xml"/><Relationship Id="rId4" Type="http://schemas.openxmlformats.org/officeDocument/2006/relationships/chart" Target="../charts/chart51.xml"/><Relationship Id="rId3" Type="http://schemas.openxmlformats.org/officeDocument/2006/relationships/chart" Target="../charts/chart50.xml"/><Relationship Id="rId2" Type="http://schemas.openxmlformats.org/officeDocument/2006/relationships/chart" Target="../charts/chart49.xml"/><Relationship Id="rId1" Type="http://schemas.openxmlformats.org/officeDocument/2006/relationships/chart" Target="../charts/chart48.xml"/></Relationships>
</file>

<file path=xl/drawings/_rels/drawing13.xml.rels><?xml version="1.0" encoding="UTF-8" standalone="yes"?>
<Relationships xmlns="http://schemas.openxmlformats.org/package/2006/relationships"><Relationship Id="rId5" Type="http://schemas.openxmlformats.org/officeDocument/2006/relationships/chart" Target="../charts/chart58.xml"/><Relationship Id="rId4" Type="http://schemas.openxmlformats.org/officeDocument/2006/relationships/chart" Target="../charts/chart57.xml"/><Relationship Id="rId3" Type="http://schemas.openxmlformats.org/officeDocument/2006/relationships/chart" Target="../charts/chart56.xml"/><Relationship Id="rId2" Type="http://schemas.openxmlformats.org/officeDocument/2006/relationships/chart" Target="../charts/chart55.xml"/><Relationship Id="rId1" Type="http://schemas.openxmlformats.org/officeDocument/2006/relationships/chart" Target="../charts/chart54.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8</xdr:col>
      <xdr:colOff>364332</xdr:colOff>
      <xdr:row>22</xdr:row>
      <xdr:rowOff>104775</xdr:rowOff>
    </xdr:from>
    <xdr:to>
      <xdr:col>8</xdr:col>
      <xdr:colOff>1152525</xdr:colOff>
      <xdr:row>24</xdr:row>
      <xdr:rowOff>7143</xdr:rowOff>
    </xdr:to>
    <xdr:sp>
      <xdr:nvSpPr>
        <xdr:cNvPr id="7" name="Callout 2 6"/>
        <xdr:cNvSpPr/>
      </xdr:nvSpPr>
      <xdr:spPr>
        <a:xfrm>
          <a:off x="6488430" y="5101590"/>
          <a:ext cx="617220" cy="283210"/>
        </a:xfrm>
        <a:prstGeom prst="borderCallout2">
          <a:avLst>
            <a:gd name="adj1" fmla="val 18750"/>
            <a:gd name="adj2" fmla="val -8333"/>
            <a:gd name="adj3" fmla="val 13988"/>
            <a:gd name="adj4" fmla="val -15028"/>
            <a:gd name="adj5" fmla="val 166781"/>
            <a:gd name="adj6" fmla="val -44407"/>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it-IT" sz="1100" b="1"/>
            <a:t>+ 90 days</a:t>
          </a:r>
          <a:endParaRPr lang="it-IT" sz="1100" b="1"/>
        </a:p>
      </xdr:txBody>
    </xdr:sp>
    <xdr:clientData/>
  </xdr:twoCellAnchor>
  <xdr:twoCellAnchor>
    <xdr:from>
      <xdr:col>2</xdr:col>
      <xdr:colOff>1257299</xdr:colOff>
      <xdr:row>22</xdr:row>
      <xdr:rowOff>176211</xdr:rowOff>
    </xdr:from>
    <xdr:to>
      <xdr:col>3</xdr:col>
      <xdr:colOff>481012</xdr:colOff>
      <xdr:row>24</xdr:row>
      <xdr:rowOff>28573</xdr:rowOff>
    </xdr:to>
    <xdr:sp>
      <xdr:nvSpPr>
        <xdr:cNvPr id="8" name="Rettangolo 7"/>
        <xdr:cNvSpPr/>
      </xdr:nvSpPr>
      <xdr:spPr>
        <a:xfrm>
          <a:off x="2495550" y="5172710"/>
          <a:ext cx="480695" cy="233045"/>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it-IT" sz="1100">
              <a:solidFill>
                <a:sysClr val="windowText" lastClr="000000"/>
              </a:solidFill>
            </a:rPr>
            <a:t>-30 days</a:t>
          </a:r>
          <a:endParaRPr lang="it-IT" sz="1100">
            <a:solidFill>
              <a:sysClr val="windowText" lastClr="000000"/>
            </a:solidFill>
          </a:endParaRPr>
        </a:p>
      </xdr:txBody>
    </xdr:sp>
    <xdr:clientData/>
  </xdr:twoCellAnchor>
  <xdr:twoCellAnchor>
    <xdr:from>
      <xdr:col>3</xdr:col>
      <xdr:colOff>509587</xdr:colOff>
      <xdr:row>23</xdr:row>
      <xdr:rowOff>111917</xdr:rowOff>
    </xdr:from>
    <xdr:to>
      <xdr:col>4</xdr:col>
      <xdr:colOff>247651</xdr:colOff>
      <xdr:row>24</xdr:row>
      <xdr:rowOff>180974</xdr:rowOff>
    </xdr:to>
    <xdr:cxnSp>
      <xdr:nvCxnSpPr>
        <xdr:cNvPr id="9" name="Connettore 4 8"/>
        <xdr:cNvCxnSpPr/>
      </xdr:nvCxnSpPr>
      <xdr:spPr>
        <a:xfrm>
          <a:off x="3004820" y="5299075"/>
          <a:ext cx="309880" cy="25908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469105</xdr:colOff>
      <xdr:row>20</xdr:row>
      <xdr:rowOff>152401</xdr:rowOff>
    </xdr:from>
    <xdr:to>
      <xdr:col>7</xdr:col>
      <xdr:colOff>66675</xdr:colOff>
      <xdr:row>23</xdr:row>
      <xdr:rowOff>5430</xdr:rowOff>
    </xdr:to>
    <xdr:sp>
      <xdr:nvSpPr>
        <xdr:cNvPr id="10" name="Callout 2 9"/>
        <xdr:cNvSpPr/>
      </xdr:nvSpPr>
      <xdr:spPr>
        <a:xfrm>
          <a:off x="5031105" y="4768215"/>
          <a:ext cx="579120" cy="424180"/>
        </a:xfrm>
        <a:prstGeom prst="borderCallout2">
          <a:avLst>
            <a:gd name="adj1" fmla="val 18750"/>
            <a:gd name="adj2" fmla="val -8333"/>
            <a:gd name="adj3" fmla="val 18750"/>
            <a:gd name="adj4" fmla="val -16667"/>
            <a:gd name="adj5" fmla="val 185828"/>
            <a:gd name="adj6" fmla="val -54243"/>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it-IT" sz="1100" b="1"/>
            <a:t>Anniversay</a:t>
          </a:r>
          <a:r>
            <a:rPr lang="it-IT" sz="1100" b="1" baseline="0"/>
            <a:t> Date</a:t>
          </a:r>
          <a:endParaRPr lang="it-IT" sz="1100" b="1"/>
        </a:p>
      </xdr:txBody>
    </xdr:sp>
    <xdr:clientData/>
  </xdr:twoCellAnchor>
  <xdr:twoCellAnchor editAs="oneCell">
    <xdr:from>
      <xdr:col>1</xdr:col>
      <xdr:colOff>194734</xdr:colOff>
      <xdr:row>0</xdr:row>
      <xdr:rowOff>118534</xdr:rowOff>
    </xdr:from>
    <xdr:to>
      <xdr:col>2</xdr:col>
      <xdr:colOff>72853</xdr:colOff>
      <xdr:row>0</xdr:row>
      <xdr:rowOff>491183</xdr:rowOff>
    </xdr:to>
    <xdr:pic>
      <xdr:nvPicPr>
        <xdr:cNvPr id="3" name="Picture 2"/>
        <xdr:cNvPicPr>
          <a:picLocks noChangeAspect="1"/>
        </xdr:cNvPicPr>
      </xdr:nvPicPr>
      <xdr:blipFill>
        <a:blip r:embed="rId1" cstate="email"/>
        <a:stretch>
          <a:fillRect/>
        </a:stretch>
      </xdr:blipFill>
      <xdr:spPr>
        <a:xfrm>
          <a:off x="432435" y="118110"/>
          <a:ext cx="1154430" cy="37274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8</xdr:col>
      <xdr:colOff>364332</xdr:colOff>
      <xdr:row>39</xdr:row>
      <xdr:rowOff>104775</xdr:rowOff>
    </xdr:from>
    <xdr:to>
      <xdr:col>8</xdr:col>
      <xdr:colOff>1152525</xdr:colOff>
      <xdr:row>41</xdr:row>
      <xdr:rowOff>7143</xdr:rowOff>
    </xdr:to>
    <xdr:sp>
      <xdr:nvSpPr>
        <xdr:cNvPr id="7" name="Callout 2 6"/>
        <xdr:cNvSpPr/>
      </xdr:nvSpPr>
      <xdr:spPr>
        <a:xfrm>
          <a:off x="6878955" y="8803640"/>
          <a:ext cx="617220" cy="283210"/>
        </a:xfrm>
        <a:prstGeom prst="borderCallout2">
          <a:avLst>
            <a:gd name="adj1" fmla="val 18750"/>
            <a:gd name="adj2" fmla="val -8333"/>
            <a:gd name="adj3" fmla="val 13988"/>
            <a:gd name="adj4" fmla="val -15028"/>
            <a:gd name="adj5" fmla="val 166781"/>
            <a:gd name="adj6" fmla="val -44407"/>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it-IT" sz="1100" b="1"/>
            <a:t>+ 90 days</a:t>
          </a:r>
          <a:endParaRPr lang="it-IT" sz="1100" b="1"/>
        </a:p>
      </xdr:txBody>
    </xdr:sp>
    <xdr:clientData/>
  </xdr:twoCellAnchor>
  <xdr:twoCellAnchor>
    <xdr:from>
      <xdr:col>2</xdr:col>
      <xdr:colOff>1257299</xdr:colOff>
      <xdr:row>39</xdr:row>
      <xdr:rowOff>176211</xdr:rowOff>
    </xdr:from>
    <xdr:to>
      <xdr:col>3</xdr:col>
      <xdr:colOff>481012</xdr:colOff>
      <xdr:row>41</xdr:row>
      <xdr:rowOff>28573</xdr:rowOff>
    </xdr:to>
    <xdr:sp>
      <xdr:nvSpPr>
        <xdr:cNvPr id="8" name="Rettangolo 7"/>
        <xdr:cNvSpPr/>
      </xdr:nvSpPr>
      <xdr:spPr>
        <a:xfrm>
          <a:off x="2876550" y="8874760"/>
          <a:ext cx="480695" cy="233045"/>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it-IT" sz="1100">
              <a:solidFill>
                <a:sysClr val="windowText" lastClr="000000"/>
              </a:solidFill>
            </a:rPr>
            <a:t>-30 days</a:t>
          </a:r>
          <a:endParaRPr lang="it-IT" sz="1100">
            <a:solidFill>
              <a:sysClr val="windowText" lastClr="000000"/>
            </a:solidFill>
          </a:endParaRPr>
        </a:p>
      </xdr:txBody>
    </xdr:sp>
    <xdr:clientData/>
  </xdr:twoCellAnchor>
  <xdr:twoCellAnchor>
    <xdr:from>
      <xdr:col>3</xdr:col>
      <xdr:colOff>509587</xdr:colOff>
      <xdr:row>40</xdr:row>
      <xdr:rowOff>111917</xdr:rowOff>
    </xdr:from>
    <xdr:to>
      <xdr:col>4</xdr:col>
      <xdr:colOff>247651</xdr:colOff>
      <xdr:row>41</xdr:row>
      <xdr:rowOff>180974</xdr:rowOff>
    </xdr:to>
    <xdr:cxnSp>
      <xdr:nvCxnSpPr>
        <xdr:cNvPr id="9" name="Connettore 4 8"/>
        <xdr:cNvCxnSpPr/>
      </xdr:nvCxnSpPr>
      <xdr:spPr>
        <a:xfrm>
          <a:off x="3385820" y="9001125"/>
          <a:ext cx="319405" cy="25908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564355</xdr:colOff>
      <xdr:row>36</xdr:row>
      <xdr:rowOff>173568</xdr:rowOff>
    </xdr:from>
    <xdr:to>
      <xdr:col>7</xdr:col>
      <xdr:colOff>264583</xdr:colOff>
      <xdr:row>39</xdr:row>
      <xdr:rowOff>127000</xdr:rowOff>
    </xdr:to>
    <xdr:sp>
      <xdr:nvSpPr>
        <xdr:cNvPr id="10" name="Callout 2 9"/>
        <xdr:cNvSpPr/>
      </xdr:nvSpPr>
      <xdr:spPr>
        <a:xfrm>
          <a:off x="5516880" y="8300720"/>
          <a:ext cx="681355" cy="525145"/>
        </a:xfrm>
        <a:prstGeom prst="borderCallout2">
          <a:avLst>
            <a:gd name="adj1" fmla="val 18750"/>
            <a:gd name="adj2" fmla="val -8333"/>
            <a:gd name="adj3" fmla="val 18750"/>
            <a:gd name="adj4" fmla="val -16667"/>
            <a:gd name="adj5" fmla="val 185828"/>
            <a:gd name="adj6" fmla="val -54243"/>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it-IT" sz="1100" b="1"/>
            <a:t>Anniversary</a:t>
          </a:r>
          <a:r>
            <a:rPr lang="it-IT" sz="1100" b="1" baseline="0"/>
            <a:t> Date</a:t>
          </a:r>
          <a:endParaRPr lang="it-IT" sz="1100" b="1"/>
        </a:p>
      </xdr:txBody>
    </xdr:sp>
    <xdr:clientData/>
  </xdr:twoCellAnchor>
  <xdr:twoCellAnchor editAs="oneCell">
    <xdr:from>
      <xdr:col>1</xdr:col>
      <xdr:colOff>84666</xdr:colOff>
      <xdr:row>0</xdr:row>
      <xdr:rowOff>118533</xdr:rowOff>
    </xdr:from>
    <xdr:to>
      <xdr:col>1</xdr:col>
      <xdr:colOff>1218141</xdr:colOff>
      <xdr:row>0</xdr:row>
      <xdr:rowOff>482388</xdr:rowOff>
    </xdr:to>
    <xdr:pic>
      <xdr:nvPicPr>
        <xdr:cNvPr id="11" name="Picture 10"/>
        <xdr:cNvPicPr>
          <a:picLocks noChangeAspect="1"/>
        </xdr:cNvPicPr>
      </xdr:nvPicPr>
      <xdr:blipFill>
        <a:blip r:embed="rId1"/>
        <a:srcRect/>
        <a:stretch>
          <a:fillRect/>
        </a:stretch>
      </xdr:blipFill>
      <xdr:spPr>
        <a:xfrm>
          <a:off x="351155" y="118110"/>
          <a:ext cx="1133475" cy="363855"/>
        </a:xfrm>
        <a:prstGeom prst="rect">
          <a:avLst/>
        </a:prstGeom>
        <a:noFill/>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71437</xdr:colOff>
      <xdr:row>0</xdr:row>
      <xdr:rowOff>23813</xdr:rowOff>
    </xdr:from>
    <xdr:to>
      <xdr:col>6</xdr:col>
      <xdr:colOff>261937</xdr:colOff>
      <xdr:row>24</xdr:row>
      <xdr:rowOff>83343</xdr:rowOff>
    </xdr:to>
    <xdr:graphicFrame>
      <xdr:nvGraphicFramePr>
        <xdr:cNvPr id="7" name="Grafico 6"/>
        <xdr:cNvGraphicFramePr/>
      </xdr:nvGraphicFramePr>
      <xdr:xfrm>
        <a:off x="71120" y="23495"/>
        <a:ext cx="3790950" cy="46316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381000</xdr:colOff>
      <xdr:row>0</xdr:row>
      <xdr:rowOff>59530</xdr:rowOff>
    </xdr:from>
    <xdr:to>
      <xdr:col>20</xdr:col>
      <xdr:colOff>535782</xdr:colOff>
      <xdr:row>24</xdr:row>
      <xdr:rowOff>130967</xdr:rowOff>
    </xdr:to>
    <xdr:graphicFrame>
      <xdr:nvGraphicFramePr>
        <xdr:cNvPr id="8" name="Grafico 7"/>
        <xdr:cNvGraphicFramePr/>
      </xdr:nvGraphicFramePr>
      <xdr:xfrm>
        <a:off x="3981450" y="59055"/>
        <a:ext cx="8555355" cy="464375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83344</xdr:colOff>
      <xdr:row>26</xdr:row>
      <xdr:rowOff>0</xdr:rowOff>
    </xdr:from>
    <xdr:to>
      <xdr:col>6</xdr:col>
      <xdr:colOff>106204</xdr:colOff>
      <xdr:row>48</xdr:row>
      <xdr:rowOff>137584</xdr:rowOff>
    </xdr:to>
    <xdr:graphicFrame>
      <xdr:nvGraphicFramePr>
        <xdr:cNvPr id="9" name="Grafico 8"/>
        <xdr:cNvGraphicFramePr/>
      </xdr:nvGraphicFramePr>
      <xdr:xfrm>
        <a:off x="83185" y="4953000"/>
        <a:ext cx="3623310" cy="43281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287445</xdr:colOff>
      <xdr:row>26</xdr:row>
      <xdr:rowOff>7621</xdr:rowOff>
    </xdr:from>
    <xdr:to>
      <xdr:col>13</xdr:col>
      <xdr:colOff>281940</xdr:colOff>
      <xdr:row>48</xdr:row>
      <xdr:rowOff>175260</xdr:rowOff>
    </xdr:to>
    <xdr:graphicFrame>
      <xdr:nvGraphicFramePr>
        <xdr:cNvPr id="10" name="Grafico 9"/>
        <xdr:cNvGraphicFramePr/>
      </xdr:nvGraphicFramePr>
      <xdr:xfrm>
        <a:off x="4487545" y="4960620"/>
        <a:ext cx="3595370" cy="4358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14393</xdr:colOff>
      <xdr:row>25</xdr:row>
      <xdr:rowOff>181187</xdr:rowOff>
    </xdr:from>
    <xdr:to>
      <xdr:col>20</xdr:col>
      <xdr:colOff>594360</xdr:colOff>
      <xdr:row>48</xdr:row>
      <xdr:rowOff>167640</xdr:rowOff>
    </xdr:to>
    <xdr:graphicFrame>
      <xdr:nvGraphicFramePr>
        <xdr:cNvPr id="11" name="Grafico 10"/>
        <xdr:cNvGraphicFramePr/>
      </xdr:nvGraphicFramePr>
      <xdr:xfrm>
        <a:off x="9015095" y="4943475"/>
        <a:ext cx="3580765" cy="436816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71437</xdr:colOff>
      <xdr:row>0</xdr:row>
      <xdr:rowOff>23813</xdr:rowOff>
    </xdr:from>
    <xdr:to>
      <xdr:col>6</xdr:col>
      <xdr:colOff>261937</xdr:colOff>
      <xdr:row>24</xdr:row>
      <xdr:rowOff>83343</xdr:rowOff>
    </xdr:to>
    <xdr:graphicFrame>
      <xdr:nvGraphicFramePr>
        <xdr:cNvPr id="2" name="Grafico 1"/>
        <xdr:cNvGraphicFramePr/>
      </xdr:nvGraphicFramePr>
      <xdr:xfrm>
        <a:off x="71120" y="23495"/>
        <a:ext cx="3790950" cy="46316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381000</xdr:colOff>
      <xdr:row>0</xdr:row>
      <xdr:rowOff>59530</xdr:rowOff>
    </xdr:from>
    <xdr:to>
      <xdr:col>20</xdr:col>
      <xdr:colOff>535782</xdr:colOff>
      <xdr:row>24</xdr:row>
      <xdr:rowOff>130967</xdr:rowOff>
    </xdr:to>
    <xdr:graphicFrame>
      <xdr:nvGraphicFramePr>
        <xdr:cNvPr id="3" name="Grafico 2"/>
        <xdr:cNvGraphicFramePr/>
      </xdr:nvGraphicFramePr>
      <xdr:xfrm>
        <a:off x="3981450" y="59055"/>
        <a:ext cx="8555355" cy="464375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0</xdr:rowOff>
    </xdr:from>
    <xdr:to>
      <xdr:col>6</xdr:col>
      <xdr:colOff>0</xdr:colOff>
      <xdr:row>48</xdr:row>
      <xdr:rowOff>137584</xdr:rowOff>
    </xdr:to>
    <xdr:graphicFrame>
      <xdr:nvGraphicFramePr>
        <xdr:cNvPr id="4" name="Grafico 3"/>
        <xdr:cNvGraphicFramePr/>
      </xdr:nvGraphicFramePr>
      <xdr:xfrm>
        <a:off x="0" y="4953000"/>
        <a:ext cx="3600450" cy="43281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228600</xdr:colOff>
      <xdr:row>25</xdr:row>
      <xdr:rowOff>175261</xdr:rowOff>
    </xdr:from>
    <xdr:to>
      <xdr:col>13</xdr:col>
      <xdr:colOff>251460</xdr:colOff>
      <xdr:row>48</xdr:row>
      <xdr:rowOff>144780</xdr:rowOff>
    </xdr:to>
    <xdr:graphicFrame>
      <xdr:nvGraphicFramePr>
        <xdr:cNvPr id="5" name="Grafico 4"/>
        <xdr:cNvGraphicFramePr/>
      </xdr:nvGraphicFramePr>
      <xdr:xfrm>
        <a:off x="4429125" y="4937760"/>
        <a:ext cx="3623310" cy="43510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111761</xdr:colOff>
      <xdr:row>26</xdr:row>
      <xdr:rowOff>41487</xdr:rowOff>
    </xdr:from>
    <xdr:to>
      <xdr:col>20</xdr:col>
      <xdr:colOff>93981</xdr:colOff>
      <xdr:row>49</xdr:row>
      <xdr:rowOff>5080</xdr:rowOff>
    </xdr:to>
    <xdr:graphicFrame>
      <xdr:nvGraphicFramePr>
        <xdr:cNvPr id="6" name="Grafico 5"/>
        <xdr:cNvGraphicFramePr/>
      </xdr:nvGraphicFramePr>
      <xdr:xfrm>
        <a:off x="8512810" y="4994275"/>
        <a:ext cx="3582670" cy="434530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184412</xdr:colOff>
      <xdr:row>0</xdr:row>
      <xdr:rowOff>104774</xdr:rowOff>
    </xdr:from>
    <xdr:to>
      <xdr:col>8</xdr:col>
      <xdr:colOff>419099</xdr:colOff>
      <xdr:row>16</xdr:row>
      <xdr:rowOff>95250</xdr:rowOff>
    </xdr:to>
    <xdr:graphicFrame>
      <xdr:nvGraphicFramePr>
        <xdr:cNvPr id="2" name="Grafico 1"/>
        <xdr:cNvGraphicFramePr/>
      </xdr:nvGraphicFramePr>
      <xdr:xfrm>
        <a:off x="184150" y="104140"/>
        <a:ext cx="5034915" cy="30391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628650</xdr:colOff>
      <xdr:row>0</xdr:row>
      <xdr:rowOff>84666</xdr:rowOff>
    </xdr:from>
    <xdr:to>
      <xdr:col>20</xdr:col>
      <xdr:colOff>500063</xdr:colOff>
      <xdr:row>16</xdr:row>
      <xdr:rowOff>83344</xdr:rowOff>
    </xdr:to>
    <xdr:graphicFrame>
      <xdr:nvGraphicFramePr>
        <xdr:cNvPr id="3" name="Grafico 2"/>
        <xdr:cNvGraphicFramePr/>
      </xdr:nvGraphicFramePr>
      <xdr:xfrm>
        <a:off x="5400675" y="84455"/>
        <a:ext cx="7100570" cy="304673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171450</xdr:colOff>
      <xdr:row>17</xdr:row>
      <xdr:rowOff>70696</xdr:rowOff>
    </xdr:from>
    <xdr:to>
      <xdr:col>8</xdr:col>
      <xdr:colOff>457200</xdr:colOff>
      <xdr:row>33</xdr:row>
      <xdr:rowOff>19050</xdr:rowOff>
    </xdr:to>
    <xdr:graphicFrame>
      <xdr:nvGraphicFramePr>
        <xdr:cNvPr id="4" name="Grafico 3"/>
        <xdr:cNvGraphicFramePr/>
      </xdr:nvGraphicFramePr>
      <xdr:xfrm>
        <a:off x="171450" y="3308985"/>
        <a:ext cx="5086350" cy="2996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595313</xdr:colOff>
      <xdr:row>17</xdr:row>
      <xdr:rowOff>35718</xdr:rowOff>
    </xdr:from>
    <xdr:to>
      <xdr:col>20</xdr:col>
      <xdr:colOff>464344</xdr:colOff>
      <xdr:row>33</xdr:row>
      <xdr:rowOff>23813</xdr:rowOff>
    </xdr:to>
    <xdr:graphicFrame>
      <xdr:nvGraphicFramePr>
        <xdr:cNvPr id="5" name="Grafico 4"/>
        <xdr:cNvGraphicFramePr/>
      </xdr:nvGraphicFramePr>
      <xdr:xfrm>
        <a:off x="5395595" y="3274060"/>
        <a:ext cx="7070090" cy="303593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180975</xdr:colOff>
      <xdr:row>33</xdr:row>
      <xdr:rowOff>173355</xdr:rowOff>
    </xdr:from>
    <xdr:to>
      <xdr:col>8</xdr:col>
      <xdr:colOff>495299</xdr:colOff>
      <xdr:row>49</xdr:row>
      <xdr:rowOff>66675</xdr:rowOff>
    </xdr:to>
    <xdr:graphicFrame>
      <xdr:nvGraphicFramePr>
        <xdr:cNvPr id="6" name="Grafico 5"/>
        <xdr:cNvGraphicFramePr/>
      </xdr:nvGraphicFramePr>
      <xdr:xfrm>
        <a:off x="180975" y="6459855"/>
        <a:ext cx="5114290" cy="294132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654843</xdr:colOff>
      <xdr:row>33</xdr:row>
      <xdr:rowOff>190499</xdr:rowOff>
    </xdr:from>
    <xdr:to>
      <xdr:col>20</xdr:col>
      <xdr:colOff>452438</xdr:colOff>
      <xdr:row>49</xdr:row>
      <xdr:rowOff>59530</xdr:rowOff>
    </xdr:to>
    <xdr:graphicFrame>
      <xdr:nvGraphicFramePr>
        <xdr:cNvPr id="7" name="Grafico 6"/>
        <xdr:cNvGraphicFramePr/>
      </xdr:nvGraphicFramePr>
      <xdr:xfrm>
        <a:off x="5400675" y="6476365"/>
        <a:ext cx="7052945" cy="291719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171449</xdr:colOff>
      <xdr:row>1</xdr:row>
      <xdr:rowOff>49741</xdr:rowOff>
    </xdr:from>
    <xdr:to>
      <xdr:col>7</xdr:col>
      <xdr:colOff>457199</xdr:colOff>
      <xdr:row>25</xdr:row>
      <xdr:rowOff>92075</xdr:rowOff>
    </xdr:to>
    <xdr:graphicFrame>
      <xdr:nvGraphicFramePr>
        <xdr:cNvPr id="6" name="Grafico 5"/>
        <xdr:cNvGraphicFramePr/>
      </xdr:nvGraphicFramePr>
      <xdr:xfrm>
        <a:off x="170815" y="240030"/>
        <a:ext cx="4486275" cy="46145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565150</xdr:colOff>
      <xdr:row>1</xdr:row>
      <xdr:rowOff>40217</xdr:rowOff>
    </xdr:from>
    <xdr:to>
      <xdr:col>20</xdr:col>
      <xdr:colOff>300566</xdr:colOff>
      <xdr:row>25</xdr:row>
      <xdr:rowOff>127000</xdr:rowOff>
    </xdr:to>
    <xdr:graphicFrame>
      <xdr:nvGraphicFramePr>
        <xdr:cNvPr id="7" name="Grafico 6"/>
        <xdr:cNvGraphicFramePr/>
      </xdr:nvGraphicFramePr>
      <xdr:xfrm>
        <a:off x="4765675" y="230505"/>
        <a:ext cx="7536180" cy="465899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110067</xdr:colOff>
      <xdr:row>26</xdr:row>
      <xdr:rowOff>22226</xdr:rowOff>
    </xdr:from>
    <xdr:to>
      <xdr:col>7</xdr:col>
      <xdr:colOff>332316</xdr:colOff>
      <xdr:row>47</xdr:row>
      <xdr:rowOff>123825</xdr:rowOff>
    </xdr:to>
    <xdr:graphicFrame>
      <xdr:nvGraphicFramePr>
        <xdr:cNvPr id="8" name="Grafico 7"/>
        <xdr:cNvGraphicFramePr/>
      </xdr:nvGraphicFramePr>
      <xdr:xfrm>
        <a:off x="109855" y="4975225"/>
        <a:ext cx="4422775" cy="41021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525991</xdr:colOff>
      <xdr:row>26</xdr:row>
      <xdr:rowOff>32809</xdr:rowOff>
    </xdr:from>
    <xdr:to>
      <xdr:col>20</xdr:col>
      <xdr:colOff>346076</xdr:colOff>
      <xdr:row>47</xdr:row>
      <xdr:rowOff>93345</xdr:rowOff>
    </xdr:to>
    <xdr:graphicFrame>
      <xdr:nvGraphicFramePr>
        <xdr:cNvPr id="9" name="Grafico 8"/>
        <xdr:cNvGraphicFramePr/>
      </xdr:nvGraphicFramePr>
      <xdr:xfrm>
        <a:off x="4726305" y="4985385"/>
        <a:ext cx="7621270" cy="40614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97971</xdr:colOff>
      <xdr:row>0</xdr:row>
      <xdr:rowOff>68036</xdr:rowOff>
    </xdr:from>
    <xdr:to>
      <xdr:col>8</xdr:col>
      <xdr:colOff>27215</xdr:colOff>
      <xdr:row>23</xdr:row>
      <xdr:rowOff>139700</xdr:rowOff>
    </xdr:to>
    <xdr:graphicFrame>
      <xdr:nvGraphicFramePr>
        <xdr:cNvPr id="2" name="Grafico 1"/>
        <xdr:cNvGraphicFramePr/>
      </xdr:nvGraphicFramePr>
      <xdr:xfrm>
        <a:off x="97790" y="67945"/>
        <a:ext cx="4500880" cy="445325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249465</xdr:colOff>
      <xdr:row>0</xdr:row>
      <xdr:rowOff>66072</xdr:rowOff>
    </xdr:from>
    <xdr:to>
      <xdr:col>20</xdr:col>
      <xdr:colOff>598714</xdr:colOff>
      <xdr:row>23</xdr:row>
      <xdr:rowOff>136072</xdr:rowOff>
    </xdr:to>
    <xdr:graphicFrame>
      <xdr:nvGraphicFramePr>
        <xdr:cNvPr id="3" name="Grafico 2"/>
        <xdr:cNvGraphicFramePr/>
      </xdr:nvGraphicFramePr>
      <xdr:xfrm>
        <a:off x="4820920" y="66040"/>
        <a:ext cx="7180580" cy="44513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93739</xdr:colOff>
      <xdr:row>25</xdr:row>
      <xdr:rowOff>13607</xdr:rowOff>
    </xdr:from>
    <xdr:to>
      <xdr:col>8</xdr:col>
      <xdr:colOff>27215</xdr:colOff>
      <xdr:row>48</xdr:row>
      <xdr:rowOff>154894</xdr:rowOff>
    </xdr:to>
    <xdr:graphicFrame>
      <xdr:nvGraphicFramePr>
        <xdr:cNvPr id="4" name="Grafico 3"/>
        <xdr:cNvGraphicFramePr/>
      </xdr:nvGraphicFramePr>
      <xdr:xfrm>
        <a:off x="93345" y="4775835"/>
        <a:ext cx="4505325" cy="452247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285145</xdr:colOff>
      <xdr:row>24</xdr:row>
      <xdr:rowOff>92680</xdr:rowOff>
    </xdr:from>
    <xdr:to>
      <xdr:col>21</xdr:col>
      <xdr:colOff>105230</xdr:colOff>
      <xdr:row>48</xdr:row>
      <xdr:rowOff>68866</xdr:rowOff>
    </xdr:to>
    <xdr:graphicFrame>
      <xdr:nvGraphicFramePr>
        <xdr:cNvPr id="5" name="Grafico 4"/>
        <xdr:cNvGraphicFramePr/>
      </xdr:nvGraphicFramePr>
      <xdr:xfrm>
        <a:off x="4857115" y="4664075"/>
        <a:ext cx="7249160" cy="454850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0</xdr:col>
      <xdr:colOff>22488</xdr:colOff>
      <xdr:row>0</xdr:row>
      <xdr:rowOff>47624</xdr:rowOff>
    </xdr:from>
    <xdr:to>
      <xdr:col>8</xdr:col>
      <xdr:colOff>19050</xdr:colOff>
      <xdr:row>16</xdr:row>
      <xdr:rowOff>76200</xdr:rowOff>
    </xdr:to>
    <xdr:graphicFrame>
      <xdr:nvGraphicFramePr>
        <xdr:cNvPr id="2" name="Grafico 1"/>
        <xdr:cNvGraphicFramePr/>
      </xdr:nvGraphicFramePr>
      <xdr:xfrm>
        <a:off x="22225" y="46990"/>
        <a:ext cx="4568825" cy="30772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583406</xdr:colOff>
      <xdr:row>0</xdr:row>
      <xdr:rowOff>84666</xdr:rowOff>
    </xdr:from>
    <xdr:to>
      <xdr:col>20</xdr:col>
      <xdr:colOff>500063</xdr:colOff>
      <xdr:row>16</xdr:row>
      <xdr:rowOff>83344</xdr:rowOff>
    </xdr:to>
    <xdr:graphicFrame>
      <xdr:nvGraphicFramePr>
        <xdr:cNvPr id="3" name="Grafico 2"/>
        <xdr:cNvGraphicFramePr/>
      </xdr:nvGraphicFramePr>
      <xdr:xfrm>
        <a:off x="5143500" y="84455"/>
        <a:ext cx="6786245" cy="304673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51646</xdr:rowOff>
    </xdr:from>
    <xdr:to>
      <xdr:col>7</xdr:col>
      <xdr:colOff>552450</xdr:colOff>
      <xdr:row>33</xdr:row>
      <xdr:rowOff>0</xdr:rowOff>
    </xdr:to>
    <xdr:graphicFrame>
      <xdr:nvGraphicFramePr>
        <xdr:cNvPr id="4" name="Grafico 3"/>
        <xdr:cNvGraphicFramePr/>
      </xdr:nvGraphicFramePr>
      <xdr:xfrm>
        <a:off x="0" y="3289935"/>
        <a:ext cx="4552950" cy="2996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595313</xdr:colOff>
      <xdr:row>17</xdr:row>
      <xdr:rowOff>35718</xdr:rowOff>
    </xdr:from>
    <xdr:to>
      <xdr:col>20</xdr:col>
      <xdr:colOff>464344</xdr:colOff>
      <xdr:row>33</xdr:row>
      <xdr:rowOff>23813</xdr:rowOff>
    </xdr:to>
    <xdr:graphicFrame>
      <xdr:nvGraphicFramePr>
        <xdr:cNvPr id="5" name="Grafico 4"/>
        <xdr:cNvGraphicFramePr/>
      </xdr:nvGraphicFramePr>
      <xdr:xfrm>
        <a:off x="5143500" y="3274060"/>
        <a:ext cx="6750685" cy="303593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62389</xdr:colOff>
      <xdr:row>34</xdr:row>
      <xdr:rowOff>3810</xdr:rowOff>
    </xdr:from>
    <xdr:to>
      <xdr:col>7</xdr:col>
      <xdr:colOff>628650</xdr:colOff>
      <xdr:row>49</xdr:row>
      <xdr:rowOff>95250</xdr:rowOff>
    </xdr:to>
    <xdr:graphicFrame>
      <xdr:nvGraphicFramePr>
        <xdr:cNvPr id="6" name="Grafico 5"/>
        <xdr:cNvGraphicFramePr/>
      </xdr:nvGraphicFramePr>
      <xdr:xfrm>
        <a:off x="62230" y="6480810"/>
        <a:ext cx="4509770" cy="29489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654843</xdr:colOff>
      <xdr:row>33</xdr:row>
      <xdr:rowOff>190499</xdr:rowOff>
    </xdr:from>
    <xdr:to>
      <xdr:col>20</xdr:col>
      <xdr:colOff>452438</xdr:colOff>
      <xdr:row>49</xdr:row>
      <xdr:rowOff>59530</xdr:rowOff>
    </xdr:to>
    <xdr:graphicFrame>
      <xdr:nvGraphicFramePr>
        <xdr:cNvPr id="7" name="Grafico 6"/>
        <xdr:cNvGraphicFramePr/>
      </xdr:nvGraphicFramePr>
      <xdr:xfrm>
        <a:off x="5143500" y="6476365"/>
        <a:ext cx="6738620" cy="291719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1</xdr:col>
      <xdr:colOff>7620</xdr:colOff>
      <xdr:row>26</xdr:row>
      <xdr:rowOff>7621</xdr:rowOff>
    </xdr:from>
    <xdr:to>
      <xdr:col>9</xdr:col>
      <xdr:colOff>15240</xdr:colOff>
      <xdr:row>50</xdr:row>
      <xdr:rowOff>167640</xdr:rowOff>
    </xdr:to>
    <xdr:graphicFrame>
      <xdr:nvGraphicFramePr>
        <xdr:cNvPr id="3" name="Grafico 2"/>
        <xdr:cNvGraphicFramePr/>
      </xdr:nvGraphicFramePr>
      <xdr:xfrm>
        <a:off x="607695" y="4960620"/>
        <a:ext cx="4808220" cy="47320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601980</xdr:colOff>
      <xdr:row>25</xdr:row>
      <xdr:rowOff>173567</xdr:rowOff>
    </xdr:from>
    <xdr:to>
      <xdr:col>17</xdr:col>
      <xdr:colOff>601980</xdr:colOff>
      <xdr:row>50</xdr:row>
      <xdr:rowOff>175260</xdr:rowOff>
    </xdr:to>
    <xdr:graphicFrame>
      <xdr:nvGraphicFramePr>
        <xdr:cNvPr id="4" name="Grafico 3"/>
        <xdr:cNvGraphicFramePr/>
      </xdr:nvGraphicFramePr>
      <xdr:xfrm>
        <a:off x="6000750" y="4935855"/>
        <a:ext cx="4800600" cy="476440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342900</xdr:colOff>
      <xdr:row>0</xdr:row>
      <xdr:rowOff>76200</xdr:rowOff>
    </xdr:from>
    <xdr:to>
      <xdr:col>15</xdr:col>
      <xdr:colOff>365760</xdr:colOff>
      <xdr:row>24</xdr:row>
      <xdr:rowOff>20955</xdr:rowOff>
    </xdr:to>
    <xdr:graphicFrame>
      <xdr:nvGraphicFramePr>
        <xdr:cNvPr id="5" name="Grafico 4"/>
        <xdr:cNvGraphicFramePr/>
      </xdr:nvGraphicFramePr>
      <xdr:xfrm>
        <a:off x="2743200" y="76200"/>
        <a:ext cx="6623685" cy="451675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19049</xdr:colOff>
      <xdr:row>14</xdr:row>
      <xdr:rowOff>14286</xdr:rowOff>
    </xdr:from>
    <xdr:to>
      <xdr:col>6</xdr:col>
      <xdr:colOff>423333</xdr:colOff>
      <xdr:row>31</xdr:row>
      <xdr:rowOff>160867</xdr:rowOff>
    </xdr:to>
    <xdr:graphicFrame>
      <xdr:nvGraphicFramePr>
        <xdr:cNvPr id="2" name="Grafico 1"/>
        <xdr:cNvGraphicFramePr/>
      </xdr:nvGraphicFramePr>
      <xdr:xfrm>
        <a:off x="18415" y="2833370"/>
        <a:ext cx="4957445" cy="338518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638175</xdr:colOff>
      <xdr:row>14</xdr:row>
      <xdr:rowOff>47624</xdr:rowOff>
    </xdr:from>
    <xdr:to>
      <xdr:col>13</xdr:col>
      <xdr:colOff>180975</xdr:colOff>
      <xdr:row>31</xdr:row>
      <xdr:rowOff>169332</xdr:rowOff>
    </xdr:to>
    <xdr:graphicFrame>
      <xdr:nvGraphicFramePr>
        <xdr:cNvPr id="3" name="Grafico 2"/>
        <xdr:cNvGraphicFramePr/>
      </xdr:nvGraphicFramePr>
      <xdr:xfrm>
        <a:off x="5191125" y="2866390"/>
        <a:ext cx="4772025" cy="33604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371474</xdr:colOff>
      <xdr:row>14</xdr:row>
      <xdr:rowOff>19050</xdr:rowOff>
    </xdr:from>
    <xdr:to>
      <xdr:col>20</xdr:col>
      <xdr:colOff>42334</xdr:colOff>
      <xdr:row>31</xdr:row>
      <xdr:rowOff>169333</xdr:rowOff>
    </xdr:to>
    <xdr:graphicFrame>
      <xdr:nvGraphicFramePr>
        <xdr:cNvPr id="4" name="Grafico 3"/>
        <xdr:cNvGraphicFramePr/>
      </xdr:nvGraphicFramePr>
      <xdr:xfrm>
        <a:off x="10153015" y="2838450"/>
        <a:ext cx="5062220" cy="33883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32</xdr:row>
      <xdr:rowOff>161394</xdr:rowOff>
    </xdr:from>
    <xdr:to>
      <xdr:col>6</xdr:col>
      <xdr:colOff>389466</xdr:colOff>
      <xdr:row>49</xdr:row>
      <xdr:rowOff>59267</xdr:rowOff>
    </xdr:to>
    <xdr:graphicFrame>
      <xdr:nvGraphicFramePr>
        <xdr:cNvPr id="5" name="Grafico 4"/>
        <xdr:cNvGraphicFramePr/>
      </xdr:nvGraphicFramePr>
      <xdr:xfrm>
        <a:off x="0" y="6409690"/>
        <a:ext cx="4942205" cy="313626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575733</xdr:colOff>
      <xdr:row>33</xdr:row>
      <xdr:rowOff>56091</xdr:rowOff>
    </xdr:from>
    <xdr:to>
      <xdr:col>13</xdr:col>
      <xdr:colOff>194733</xdr:colOff>
      <xdr:row>48</xdr:row>
      <xdr:rowOff>46566</xdr:rowOff>
    </xdr:to>
    <xdr:graphicFrame>
      <xdr:nvGraphicFramePr>
        <xdr:cNvPr id="6" name="Grafico 5"/>
        <xdr:cNvGraphicFramePr/>
      </xdr:nvGraphicFramePr>
      <xdr:xfrm>
        <a:off x="5128260" y="6494780"/>
        <a:ext cx="4848225" cy="284797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407458</xdr:colOff>
      <xdr:row>33</xdr:row>
      <xdr:rowOff>25399</xdr:rowOff>
    </xdr:from>
    <xdr:to>
      <xdr:col>19</xdr:col>
      <xdr:colOff>575733</xdr:colOff>
      <xdr:row>48</xdr:row>
      <xdr:rowOff>135466</xdr:rowOff>
    </xdr:to>
    <xdr:graphicFrame>
      <xdr:nvGraphicFramePr>
        <xdr:cNvPr id="7" name="Grafico 6"/>
        <xdr:cNvGraphicFramePr/>
      </xdr:nvGraphicFramePr>
      <xdr:xfrm>
        <a:off x="10189210" y="6463665"/>
        <a:ext cx="4921250" cy="296799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50</xdr:row>
      <xdr:rowOff>67733</xdr:rowOff>
    </xdr:from>
    <xdr:to>
      <xdr:col>6</xdr:col>
      <xdr:colOff>355600</xdr:colOff>
      <xdr:row>67</xdr:row>
      <xdr:rowOff>93133</xdr:rowOff>
    </xdr:to>
    <xdr:graphicFrame>
      <xdr:nvGraphicFramePr>
        <xdr:cNvPr id="9" name="Grafico 8"/>
        <xdr:cNvGraphicFramePr/>
      </xdr:nvGraphicFramePr>
      <xdr:xfrm>
        <a:off x="0" y="9744710"/>
        <a:ext cx="4908550" cy="32639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0</xdr:col>
      <xdr:colOff>19050</xdr:colOff>
      <xdr:row>14</xdr:row>
      <xdr:rowOff>14286</xdr:rowOff>
    </xdr:from>
    <xdr:to>
      <xdr:col>6</xdr:col>
      <xdr:colOff>251460</xdr:colOff>
      <xdr:row>31</xdr:row>
      <xdr:rowOff>30479</xdr:rowOff>
    </xdr:to>
    <xdr:graphicFrame>
      <xdr:nvGraphicFramePr>
        <xdr:cNvPr id="3" name="Grafico 2"/>
        <xdr:cNvGraphicFramePr/>
      </xdr:nvGraphicFramePr>
      <xdr:xfrm>
        <a:off x="19050" y="2833370"/>
        <a:ext cx="4785360" cy="32543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556260</xdr:colOff>
      <xdr:row>14</xdr:row>
      <xdr:rowOff>47624</xdr:rowOff>
    </xdr:from>
    <xdr:to>
      <xdr:col>13</xdr:col>
      <xdr:colOff>180975</xdr:colOff>
      <xdr:row>31</xdr:row>
      <xdr:rowOff>53339</xdr:rowOff>
    </xdr:to>
    <xdr:graphicFrame>
      <xdr:nvGraphicFramePr>
        <xdr:cNvPr id="6" name="Grafico 5"/>
        <xdr:cNvGraphicFramePr/>
      </xdr:nvGraphicFramePr>
      <xdr:xfrm>
        <a:off x="5109210" y="2866390"/>
        <a:ext cx="4853940" cy="324421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371474</xdr:colOff>
      <xdr:row>14</xdr:row>
      <xdr:rowOff>19050</xdr:rowOff>
    </xdr:from>
    <xdr:to>
      <xdr:col>18</xdr:col>
      <xdr:colOff>847724</xdr:colOff>
      <xdr:row>31</xdr:row>
      <xdr:rowOff>83820</xdr:rowOff>
    </xdr:to>
    <xdr:graphicFrame>
      <xdr:nvGraphicFramePr>
        <xdr:cNvPr id="7" name="Grafico 6"/>
        <xdr:cNvGraphicFramePr/>
      </xdr:nvGraphicFramePr>
      <xdr:xfrm>
        <a:off x="10153015" y="2838450"/>
        <a:ext cx="4267200" cy="330327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31</xdr:row>
      <xdr:rowOff>152400</xdr:rowOff>
    </xdr:from>
    <xdr:to>
      <xdr:col>6</xdr:col>
      <xdr:colOff>259080</xdr:colOff>
      <xdr:row>48</xdr:row>
      <xdr:rowOff>76200</xdr:rowOff>
    </xdr:to>
    <xdr:graphicFrame>
      <xdr:nvGraphicFramePr>
        <xdr:cNvPr id="8" name="Grafico 7"/>
        <xdr:cNvGraphicFramePr/>
      </xdr:nvGraphicFramePr>
      <xdr:xfrm>
        <a:off x="0" y="6210300"/>
        <a:ext cx="4812030" cy="31623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457200</xdr:colOff>
      <xdr:row>32</xdr:row>
      <xdr:rowOff>17144</xdr:rowOff>
    </xdr:from>
    <xdr:to>
      <xdr:col>13</xdr:col>
      <xdr:colOff>114300</xdr:colOff>
      <xdr:row>48</xdr:row>
      <xdr:rowOff>99060</xdr:rowOff>
    </xdr:to>
    <xdr:graphicFrame>
      <xdr:nvGraphicFramePr>
        <xdr:cNvPr id="9" name="Grafico 8"/>
        <xdr:cNvGraphicFramePr/>
      </xdr:nvGraphicFramePr>
      <xdr:xfrm>
        <a:off x="5010150" y="6264910"/>
        <a:ext cx="4886325" cy="31305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367665</xdr:colOff>
      <xdr:row>32</xdr:row>
      <xdr:rowOff>38100</xdr:rowOff>
    </xdr:from>
    <xdr:to>
      <xdr:col>18</xdr:col>
      <xdr:colOff>834390</xdr:colOff>
      <xdr:row>48</xdr:row>
      <xdr:rowOff>114300</xdr:rowOff>
    </xdr:to>
    <xdr:graphicFrame>
      <xdr:nvGraphicFramePr>
        <xdr:cNvPr id="10" name="Grafico 9"/>
        <xdr:cNvGraphicFramePr/>
      </xdr:nvGraphicFramePr>
      <xdr:xfrm>
        <a:off x="10149840" y="6286500"/>
        <a:ext cx="4257675" cy="31242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49</xdr:row>
      <xdr:rowOff>83820</xdr:rowOff>
    </xdr:from>
    <xdr:to>
      <xdr:col>6</xdr:col>
      <xdr:colOff>259080</xdr:colOff>
      <xdr:row>67</xdr:row>
      <xdr:rowOff>15240</xdr:rowOff>
    </xdr:to>
    <xdr:graphicFrame>
      <xdr:nvGraphicFramePr>
        <xdr:cNvPr id="11" name="Grafico 10"/>
        <xdr:cNvGraphicFramePr/>
      </xdr:nvGraphicFramePr>
      <xdr:xfrm>
        <a:off x="0" y="9570720"/>
        <a:ext cx="4812030" cy="336042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0</xdr:col>
      <xdr:colOff>53340</xdr:colOff>
      <xdr:row>1</xdr:row>
      <xdr:rowOff>0</xdr:rowOff>
    </xdr:from>
    <xdr:to>
      <xdr:col>22</xdr:col>
      <xdr:colOff>0</xdr:colOff>
      <xdr:row>22</xdr:row>
      <xdr:rowOff>7620</xdr:rowOff>
    </xdr:to>
    <xdr:graphicFrame>
      <xdr:nvGraphicFramePr>
        <xdr:cNvPr id="3" name="Grafico 2"/>
        <xdr:cNvGraphicFramePr/>
      </xdr:nvGraphicFramePr>
      <xdr:xfrm>
        <a:off x="53340" y="190500"/>
        <a:ext cx="13148310" cy="4008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25</xdr:row>
      <xdr:rowOff>15240</xdr:rowOff>
    </xdr:from>
    <xdr:to>
      <xdr:col>21</xdr:col>
      <xdr:colOff>594360</xdr:colOff>
      <xdr:row>45</xdr:row>
      <xdr:rowOff>175260</xdr:rowOff>
    </xdr:to>
    <xdr:graphicFrame>
      <xdr:nvGraphicFramePr>
        <xdr:cNvPr id="4" name="Grafico 3"/>
        <xdr:cNvGraphicFramePr/>
      </xdr:nvGraphicFramePr>
      <xdr:xfrm>
        <a:off x="30480" y="4777740"/>
        <a:ext cx="13165455" cy="39700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49</xdr:row>
      <xdr:rowOff>0</xdr:rowOff>
    </xdr:from>
    <xdr:to>
      <xdr:col>21</xdr:col>
      <xdr:colOff>586740</xdr:colOff>
      <xdr:row>69</xdr:row>
      <xdr:rowOff>167640</xdr:rowOff>
    </xdr:to>
    <xdr:graphicFrame>
      <xdr:nvGraphicFramePr>
        <xdr:cNvPr id="2" name="Grafico 1"/>
        <xdr:cNvGraphicFramePr/>
      </xdr:nvGraphicFramePr>
      <xdr:xfrm>
        <a:off x="30480" y="9334500"/>
        <a:ext cx="13157835" cy="3977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73</xdr:row>
      <xdr:rowOff>7620</xdr:rowOff>
    </xdr:from>
    <xdr:to>
      <xdr:col>22</xdr:col>
      <xdr:colOff>7620</xdr:colOff>
      <xdr:row>93</xdr:row>
      <xdr:rowOff>0</xdr:rowOff>
    </xdr:to>
    <xdr:graphicFrame>
      <xdr:nvGraphicFramePr>
        <xdr:cNvPr id="5" name="Grafico 4"/>
        <xdr:cNvGraphicFramePr/>
      </xdr:nvGraphicFramePr>
      <xdr:xfrm>
        <a:off x="0" y="13914120"/>
        <a:ext cx="13209270" cy="38023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xdr:colOff>
      <xdr:row>96</xdr:row>
      <xdr:rowOff>7620</xdr:rowOff>
    </xdr:from>
    <xdr:to>
      <xdr:col>22</xdr:col>
      <xdr:colOff>7620</xdr:colOff>
      <xdr:row>116</xdr:row>
      <xdr:rowOff>175260</xdr:rowOff>
    </xdr:to>
    <xdr:graphicFrame>
      <xdr:nvGraphicFramePr>
        <xdr:cNvPr id="6" name="Grafico 5"/>
        <xdr:cNvGraphicFramePr/>
      </xdr:nvGraphicFramePr>
      <xdr:xfrm>
        <a:off x="15240" y="18295620"/>
        <a:ext cx="13194030" cy="3977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7620</xdr:colOff>
      <xdr:row>120</xdr:row>
      <xdr:rowOff>7620</xdr:rowOff>
    </xdr:from>
    <xdr:to>
      <xdr:col>21</xdr:col>
      <xdr:colOff>594360</xdr:colOff>
      <xdr:row>140</xdr:row>
      <xdr:rowOff>7620</xdr:rowOff>
    </xdr:to>
    <xdr:graphicFrame>
      <xdr:nvGraphicFramePr>
        <xdr:cNvPr id="7" name="Grafico 6"/>
        <xdr:cNvGraphicFramePr/>
      </xdr:nvGraphicFramePr>
      <xdr:xfrm>
        <a:off x="7620" y="22867620"/>
        <a:ext cx="13188315" cy="38100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0</xdr:col>
      <xdr:colOff>601980</xdr:colOff>
      <xdr:row>1</xdr:row>
      <xdr:rowOff>7620</xdr:rowOff>
    </xdr:from>
    <xdr:to>
      <xdr:col>21</xdr:col>
      <xdr:colOff>601980</xdr:colOff>
      <xdr:row>22</xdr:row>
      <xdr:rowOff>15240</xdr:rowOff>
    </xdr:to>
    <xdr:graphicFrame>
      <xdr:nvGraphicFramePr>
        <xdr:cNvPr id="2" name="Grafico 1"/>
        <xdr:cNvGraphicFramePr/>
      </xdr:nvGraphicFramePr>
      <xdr:xfrm>
        <a:off x="600075" y="198120"/>
        <a:ext cx="12601575" cy="4008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594360</xdr:colOff>
      <xdr:row>25</xdr:row>
      <xdr:rowOff>0</xdr:rowOff>
    </xdr:from>
    <xdr:to>
      <xdr:col>22</xdr:col>
      <xdr:colOff>7620</xdr:colOff>
      <xdr:row>46</xdr:row>
      <xdr:rowOff>15240</xdr:rowOff>
    </xdr:to>
    <xdr:graphicFrame>
      <xdr:nvGraphicFramePr>
        <xdr:cNvPr id="3" name="Grafico 2"/>
        <xdr:cNvGraphicFramePr/>
      </xdr:nvGraphicFramePr>
      <xdr:xfrm>
        <a:off x="594360" y="4762500"/>
        <a:ext cx="12614910" cy="40157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601980</xdr:colOff>
      <xdr:row>48</xdr:row>
      <xdr:rowOff>175260</xdr:rowOff>
    </xdr:from>
    <xdr:to>
      <xdr:col>22</xdr:col>
      <xdr:colOff>0</xdr:colOff>
      <xdr:row>69</xdr:row>
      <xdr:rowOff>175260</xdr:rowOff>
    </xdr:to>
    <xdr:graphicFrame>
      <xdr:nvGraphicFramePr>
        <xdr:cNvPr id="4" name="Grafico 3"/>
        <xdr:cNvGraphicFramePr/>
      </xdr:nvGraphicFramePr>
      <xdr:xfrm>
        <a:off x="600075" y="9319260"/>
        <a:ext cx="12601575" cy="40005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15240</xdr:colOff>
      <xdr:row>72</xdr:row>
      <xdr:rowOff>175260</xdr:rowOff>
    </xdr:from>
    <xdr:to>
      <xdr:col>22</xdr:col>
      <xdr:colOff>15240</xdr:colOff>
      <xdr:row>94</xdr:row>
      <xdr:rowOff>7620</xdr:rowOff>
    </xdr:to>
    <xdr:graphicFrame>
      <xdr:nvGraphicFramePr>
        <xdr:cNvPr id="5" name="Grafico 4"/>
        <xdr:cNvGraphicFramePr/>
      </xdr:nvGraphicFramePr>
      <xdr:xfrm>
        <a:off x="615315" y="13891260"/>
        <a:ext cx="12601575" cy="40233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594360</xdr:colOff>
      <xdr:row>97</xdr:row>
      <xdr:rowOff>15240</xdr:rowOff>
    </xdr:from>
    <xdr:to>
      <xdr:col>22</xdr:col>
      <xdr:colOff>15240</xdr:colOff>
      <xdr:row>118</xdr:row>
      <xdr:rowOff>0</xdr:rowOff>
    </xdr:to>
    <xdr:graphicFrame>
      <xdr:nvGraphicFramePr>
        <xdr:cNvPr id="6" name="Grafico 5"/>
        <xdr:cNvGraphicFramePr/>
      </xdr:nvGraphicFramePr>
      <xdr:xfrm>
        <a:off x="594360" y="18493740"/>
        <a:ext cx="12622530" cy="39852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6"/>
  <sheetViews>
    <sheetView topLeftCell="A19" workbookViewId="0">
      <selection activeCell="H46" sqref="H46"/>
    </sheetView>
  </sheetViews>
  <sheetFormatPr defaultColWidth="9" defaultRowHeight="15"/>
  <cols>
    <col min="1" max="1" width="11.4285714285714" customWidth="1"/>
    <col min="18" max="18" width="68.4285714285714" customWidth="1"/>
  </cols>
  <sheetData>
    <row r="1" ht="15.75" spans="1:18">
      <c r="A1" s="1310" t="s">
        <v>0</v>
      </c>
      <c r="B1" s="1311"/>
      <c r="C1" s="1311"/>
      <c r="D1" s="1312"/>
      <c r="E1" s="1312"/>
      <c r="F1" s="1312"/>
      <c r="G1" s="1312"/>
      <c r="H1" s="1312"/>
      <c r="I1" s="1312"/>
      <c r="J1" s="1312"/>
      <c r="K1" s="1312"/>
      <c r="L1" s="1312"/>
      <c r="M1" s="1312"/>
      <c r="N1" s="1312"/>
      <c r="O1" s="1312"/>
      <c r="P1" s="1312"/>
      <c r="Q1" s="1312"/>
      <c r="R1" s="1331"/>
    </row>
    <row r="2" ht="15.75" spans="1:18">
      <c r="A2" s="1313"/>
      <c r="B2" s="1314"/>
      <c r="C2" s="1314"/>
      <c r="D2" s="19"/>
      <c r="E2" s="19"/>
      <c r="F2" s="19"/>
      <c r="G2" s="19"/>
      <c r="H2" s="19"/>
      <c r="I2" s="19"/>
      <c r="J2" s="19"/>
      <c r="K2" s="19"/>
      <c r="L2" s="19"/>
      <c r="M2" s="19"/>
      <c r="N2" s="19"/>
      <c r="O2" s="19"/>
      <c r="P2" s="19"/>
      <c r="Q2" s="19"/>
      <c r="R2" s="1332"/>
    </row>
    <row r="3" spans="1:18">
      <c r="A3" s="1315" t="s">
        <v>1</v>
      </c>
      <c r="B3" s="19"/>
      <c r="C3" s="19"/>
      <c r="D3" s="19"/>
      <c r="E3" s="19"/>
      <c r="F3" s="19"/>
      <c r="G3" s="19"/>
      <c r="H3" s="19"/>
      <c r="I3" s="19"/>
      <c r="J3" s="19"/>
      <c r="K3" s="19"/>
      <c r="L3" s="19"/>
      <c r="M3" s="19"/>
      <c r="N3" s="19"/>
      <c r="O3" s="19"/>
      <c r="P3" s="19"/>
      <c r="Q3" s="19"/>
      <c r="R3" s="1332"/>
    </row>
    <row r="4" spans="1:18">
      <c r="A4" s="1316"/>
      <c r="B4" s="1317" t="s">
        <v>2</v>
      </c>
      <c r="C4" s="1317"/>
      <c r="D4" s="1317"/>
      <c r="E4" s="1317"/>
      <c r="F4" s="1317"/>
      <c r="G4" s="1317"/>
      <c r="H4" s="1317"/>
      <c r="I4" s="19"/>
      <c r="J4" s="19"/>
      <c r="K4" s="19"/>
      <c r="L4" s="19"/>
      <c r="M4" s="19"/>
      <c r="N4" s="19"/>
      <c r="O4" s="19"/>
      <c r="P4" s="19"/>
      <c r="Q4" s="19"/>
      <c r="R4" s="1332"/>
    </row>
    <row r="5" spans="1:18">
      <c r="A5" s="1315"/>
      <c r="B5" s="19" t="s">
        <v>3</v>
      </c>
      <c r="C5" s="19"/>
      <c r="D5" s="19"/>
      <c r="E5" s="19"/>
      <c r="F5" s="19"/>
      <c r="G5" s="19"/>
      <c r="H5" s="19"/>
      <c r="I5" s="19"/>
      <c r="J5" s="19"/>
      <c r="K5" s="19"/>
      <c r="L5" s="19"/>
      <c r="M5" s="19"/>
      <c r="N5" s="19"/>
      <c r="O5" s="19"/>
      <c r="P5" s="19"/>
      <c r="Q5" s="19"/>
      <c r="R5" s="1332"/>
    </row>
    <row r="6" spans="1:18">
      <c r="A6" s="1315"/>
      <c r="B6" s="1318" t="s">
        <v>4</v>
      </c>
      <c r="C6" s="19"/>
      <c r="D6" s="19"/>
      <c r="E6" s="19"/>
      <c r="F6" s="19"/>
      <c r="G6" s="19"/>
      <c r="H6" s="19"/>
      <c r="I6" s="19"/>
      <c r="J6" s="19"/>
      <c r="K6" s="19"/>
      <c r="L6" s="19"/>
      <c r="M6" s="19"/>
      <c r="N6" s="19"/>
      <c r="O6" s="19"/>
      <c r="P6" s="19"/>
      <c r="Q6" s="19"/>
      <c r="R6" s="1332"/>
    </row>
    <row r="7" spans="1:18">
      <c r="A7" s="1315"/>
      <c r="B7" s="1318" t="s">
        <v>5</v>
      </c>
      <c r="C7" s="19"/>
      <c r="D7" s="19"/>
      <c r="E7" s="19"/>
      <c r="F7" s="19"/>
      <c r="G7" s="19"/>
      <c r="H7" s="19"/>
      <c r="I7" s="19"/>
      <c r="J7" s="19"/>
      <c r="K7" s="19"/>
      <c r="L7" s="19"/>
      <c r="M7" s="19"/>
      <c r="N7" s="19"/>
      <c r="O7" s="19"/>
      <c r="P7" s="19"/>
      <c r="Q7" s="19"/>
      <c r="R7" s="1332"/>
    </row>
    <row r="8" spans="1:18">
      <c r="A8" s="1319"/>
      <c r="B8" s="1318" t="s">
        <v>6</v>
      </c>
      <c r="C8" s="19"/>
      <c r="D8" s="19"/>
      <c r="E8" s="19"/>
      <c r="F8" s="19"/>
      <c r="G8" s="19"/>
      <c r="H8" s="19"/>
      <c r="I8" s="19"/>
      <c r="J8" s="19"/>
      <c r="K8" s="19"/>
      <c r="L8" s="19"/>
      <c r="M8" s="19"/>
      <c r="N8" s="19"/>
      <c r="O8" s="19"/>
      <c r="P8" s="19"/>
      <c r="Q8" s="19"/>
      <c r="R8" s="1332"/>
    </row>
    <row r="9" spans="1:18">
      <c r="A9" s="1319"/>
      <c r="B9" s="1318" t="s">
        <v>7</v>
      </c>
      <c r="C9" s="19"/>
      <c r="D9" s="19"/>
      <c r="E9" s="19"/>
      <c r="F9" s="19"/>
      <c r="G9" s="19"/>
      <c r="H9" s="19"/>
      <c r="I9" s="19"/>
      <c r="J9" s="19"/>
      <c r="K9" s="19"/>
      <c r="L9" s="19"/>
      <c r="M9" s="19"/>
      <c r="N9" s="19"/>
      <c r="O9" s="19"/>
      <c r="P9" s="19"/>
      <c r="Q9" s="19"/>
      <c r="R9" s="1332"/>
    </row>
    <row r="10" spans="1:18">
      <c r="A10" s="1319"/>
      <c r="B10" s="19"/>
      <c r="C10" s="19"/>
      <c r="D10" s="19"/>
      <c r="E10" s="19"/>
      <c r="F10" s="19"/>
      <c r="G10" s="19"/>
      <c r="H10" s="19"/>
      <c r="I10" s="19"/>
      <c r="J10" s="19"/>
      <c r="K10" s="19"/>
      <c r="L10" s="19"/>
      <c r="M10" s="19"/>
      <c r="N10" s="19"/>
      <c r="O10" s="19"/>
      <c r="P10" s="19"/>
      <c r="Q10" s="19"/>
      <c r="R10" s="1332"/>
    </row>
    <row r="11" spans="1:18">
      <c r="A11" s="1315" t="s">
        <v>8</v>
      </c>
      <c r="B11" s="19"/>
      <c r="C11" s="19"/>
      <c r="D11" s="19"/>
      <c r="E11" s="19"/>
      <c r="F11" s="19"/>
      <c r="G11" s="19"/>
      <c r="H11" s="19"/>
      <c r="I11" s="19"/>
      <c r="J11" s="19"/>
      <c r="K11" s="19"/>
      <c r="L11" s="19"/>
      <c r="M11" s="19"/>
      <c r="N11" s="19"/>
      <c r="O11" s="19"/>
      <c r="P11" s="19"/>
      <c r="Q11" s="19"/>
      <c r="R11" s="1332"/>
    </row>
    <row r="12" spans="1:18">
      <c r="A12" s="1319"/>
      <c r="B12" s="1320" t="s">
        <v>9</v>
      </c>
      <c r="C12" s="19"/>
      <c r="D12" s="19"/>
      <c r="E12" s="19"/>
      <c r="F12" s="19"/>
      <c r="G12" s="19"/>
      <c r="H12" s="19"/>
      <c r="I12" s="19"/>
      <c r="J12" s="19"/>
      <c r="K12" s="19"/>
      <c r="L12" s="19"/>
      <c r="M12" s="19"/>
      <c r="N12" s="19"/>
      <c r="O12" s="19"/>
      <c r="P12" s="19"/>
      <c r="Q12" s="19"/>
      <c r="R12" s="1332"/>
    </row>
    <row r="13" spans="1:18">
      <c r="A13" s="1319"/>
      <c r="B13" s="1321" t="s">
        <v>10</v>
      </c>
      <c r="C13" s="19"/>
      <c r="D13" s="19"/>
      <c r="E13" s="19"/>
      <c r="F13" s="19"/>
      <c r="G13" s="19"/>
      <c r="H13" s="19"/>
      <c r="I13" s="19"/>
      <c r="J13" s="19"/>
      <c r="K13" s="19"/>
      <c r="L13" s="19"/>
      <c r="M13" s="19"/>
      <c r="N13" s="19"/>
      <c r="O13" s="19"/>
      <c r="P13" s="19"/>
      <c r="Q13" s="19"/>
      <c r="R13" s="1332"/>
    </row>
    <row r="14" ht="13.5" customHeight="1" spans="1:18">
      <c r="A14" s="1322"/>
      <c r="B14" s="1323" t="s">
        <v>11</v>
      </c>
      <c r="C14" s="19"/>
      <c r="D14" s="19"/>
      <c r="E14" s="19"/>
      <c r="F14" s="19"/>
      <c r="G14" s="19"/>
      <c r="H14" s="19"/>
      <c r="I14" s="19"/>
      <c r="J14" s="19"/>
      <c r="K14" s="19"/>
      <c r="L14" s="19"/>
      <c r="M14" s="19"/>
      <c r="N14" s="19"/>
      <c r="O14" s="19"/>
      <c r="P14" s="19"/>
      <c r="Q14" s="19"/>
      <c r="R14" s="1332"/>
    </row>
    <row r="15" ht="14.25" customHeight="1" spans="1:18">
      <c r="A15" s="1322"/>
      <c r="B15" s="1321" t="s">
        <v>12</v>
      </c>
      <c r="C15" s="19"/>
      <c r="D15" s="19"/>
      <c r="E15" s="19"/>
      <c r="F15" s="19"/>
      <c r="G15" s="19"/>
      <c r="H15" s="19"/>
      <c r="I15" s="19"/>
      <c r="J15" s="19"/>
      <c r="K15" s="19"/>
      <c r="L15" s="19"/>
      <c r="M15" s="19"/>
      <c r="N15" s="19"/>
      <c r="O15" s="19"/>
      <c r="P15" s="19"/>
      <c r="Q15" s="19"/>
      <c r="R15" s="1332"/>
    </row>
    <row r="16" spans="1:18">
      <c r="A16" s="1319"/>
      <c r="B16" s="1317" t="s">
        <v>13</v>
      </c>
      <c r="C16" s="19"/>
      <c r="D16" s="19"/>
      <c r="E16" s="19"/>
      <c r="F16" s="1324"/>
      <c r="G16" s="19"/>
      <c r="H16" s="19"/>
      <c r="I16" s="19"/>
      <c r="J16" s="19"/>
      <c r="K16" s="19"/>
      <c r="L16" s="19"/>
      <c r="M16" s="19"/>
      <c r="N16" s="19"/>
      <c r="O16" s="19"/>
      <c r="P16" s="19"/>
      <c r="Q16" s="19"/>
      <c r="R16" s="1332"/>
    </row>
    <row r="17" spans="1:18">
      <c r="A17" s="1319"/>
      <c r="B17" s="1317" t="s">
        <v>14</v>
      </c>
      <c r="C17" s="19"/>
      <c r="D17" s="19"/>
      <c r="E17" s="19"/>
      <c r="F17" s="1318"/>
      <c r="G17" s="19"/>
      <c r="H17" s="19"/>
      <c r="I17" s="19"/>
      <c r="J17" s="19"/>
      <c r="K17" s="19"/>
      <c r="L17" s="19"/>
      <c r="M17" s="19"/>
      <c r="N17" s="19"/>
      <c r="O17" s="19"/>
      <c r="P17" s="19"/>
      <c r="Q17" s="19"/>
      <c r="R17" s="1332"/>
    </row>
    <row r="18" spans="1:18">
      <c r="A18" s="1319"/>
      <c r="B18" s="1317" t="s">
        <v>15</v>
      </c>
      <c r="C18" s="19"/>
      <c r="D18" s="19"/>
      <c r="E18" s="19"/>
      <c r="F18" s="1318"/>
      <c r="G18" s="19"/>
      <c r="H18" s="19"/>
      <c r="I18" s="19"/>
      <c r="J18" s="19"/>
      <c r="K18" s="19"/>
      <c r="L18" s="19"/>
      <c r="M18" s="19"/>
      <c r="N18" s="19"/>
      <c r="O18" s="19"/>
      <c r="P18" s="19"/>
      <c r="Q18" s="19"/>
      <c r="R18" s="1332"/>
    </row>
    <row r="19" spans="1:18">
      <c r="A19" s="1319"/>
      <c r="B19" s="1317"/>
      <c r="C19" s="19"/>
      <c r="D19" s="19"/>
      <c r="E19" s="19"/>
      <c r="F19" s="1318"/>
      <c r="G19" s="19"/>
      <c r="H19" s="19"/>
      <c r="I19" s="19"/>
      <c r="J19" s="19"/>
      <c r="K19" s="19"/>
      <c r="L19" s="19"/>
      <c r="M19" s="19"/>
      <c r="N19" s="19"/>
      <c r="O19" s="19"/>
      <c r="P19" s="19"/>
      <c r="Q19" s="19"/>
      <c r="R19" s="1332"/>
    </row>
    <row r="20" spans="1:18">
      <c r="A20" s="1315" t="s">
        <v>16</v>
      </c>
      <c r="B20" s="1317"/>
      <c r="C20" s="19"/>
      <c r="D20" s="19"/>
      <c r="E20" s="19"/>
      <c r="F20" s="1318"/>
      <c r="G20" s="19"/>
      <c r="H20" s="19"/>
      <c r="I20" s="19"/>
      <c r="J20" s="19"/>
      <c r="K20" s="19"/>
      <c r="L20" s="19"/>
      <c r="M20" s="19"/>
      <c r="N20" s="19"/>
      <c r="O20" s="19"/>
      <c r="P20" s="19"/>
      <c r="Q20" s="19"/>
      <c r="R20" s="1332"/>
    </row>
    <row r="21" spans="1:18">
      <c r="A21" s="1319"/>
      <c r="B21" s="19" t="s">
        <v>17</v>
      </c>
      <c r="C21" s="19"/>
      <c r="D21" s="19"/>
      <c r="E21" s="19"/>
      <c r="F21" s="1318"/>
      <c r="G21" s="19"/>
      <c r="H21" s="19"/>
      <c r="I21" s="19"/>
      <c r="J21" s="19"/>
      <c r="K21" s="19"/>
      <c r="L21" s="19"/>
      <c r="M21" s="19"/>
      <c r="N21" s="19"/>
      <c r="O21" s="19"/>
      <c r="P21" s="19"/>
      <c r="Q21" s="19"/>
      <c r="R21" s="1332"/>
    </row>
    <row r="22" spans="1:18">
      <c r="A22" s="1319"/>
      <c r="B22" s="19" t="s">
        <v>18</v>
      </c>
      <c r="C22" s="19"/>
      <c r="D22" s="19"/>
      <c r="E22" s="19"/>
      <c r="F22" s="1318"/>
      <c r="G22" s="19"/>
      <c r="H22" s="19"/>
      <c r="I22" s="19"/>
      <c r="J22" s="19"/>
      <c r="K22" s="19"/>
      <c r="L22" s="19"/>
      <c r="M22" s="19"/>
      <c r="N22" s="19"/>
      <c r="O22" s="19"/>
      <c r="P22" s="19"/>
      <c r="Q22" s="19"/>
      <c r="R22" s="1332"/>
    </row>
    <row r="23" spans="1:18">
      <c r="A23" s="1319"/>
      <c r="B23" s="19"/>
      <c r="C23" s="19"/>
      <c r="D23" s="19"/>
      <c r="E23" s="19"/>
      <c r="F23" s="1318"/>
      <c r="G23" s="19"/>
      <c r="H23" s="19"/>
      <c r="I23" s="19"/>
      <c r="J23" s="19"/>
      <c r="K23" s="19"/>
      <c r="L23" s="19"/>
      <c r="M23" s="19"/>
      <c r="N23" s="19"/>
      <c r="O23" s="19"/>
      <c r="P23" s="19"/>
      <c r="Q23" s="19"/>
      <c r="R23" s="1332"/>
    </row>
    <row r="24" spans="1:18">
      <c r="A24" s="1325" t="s">
        <v>19</v>
      </c>
      <c r="B24" s="19"/>
      <c r="C24" s="19"/>
      <c r="D24" s="19"/>
      <c r="E24" s="19"/>
      <c r="F24" s="1320"/>
      <c r="G24" s="19"/>
      <c r="H24" s="19"/>
      <c r="I24" s="19"/>
      <c r="J24" s="19"/>
      <c r="K24" s="19"/>
      <c r="L24" s="19"/>
      <c r="M24" s="19"/>
      <c r="N24" s="19"/>
      <c r="O24" s="19"/>
      <c r="P24" s="19"/>
      <c r="Q24" s="19"/>
      <c r="R24" s="1332"/>
    </row>
    <row r="25" spans="1:18">
      <c r="A25" s="1325"/>
      <c r="B25" s="19" t="s">
        <v>20</v>
      </c>
      <c r="C25" s="19"/>
      <c r="D25" s="19"/>
      <c r="E25" s="19"/>
      <c r="F25" s="1320"/>
      <c r="G25" s="19"/>
      <c r="H25" s="19"/>
      <c r="I25" s="19"/>
      <c r="J25" s="19"/>
      <c r="K25" s="19"/>
      <c r="L25" s="19"/>
      <c r="M25" s="19"/>
      <c r="N25" s="19"/>
      <c r="O25" s="19"/>
      <c r="P25" s="19"/>
      <c r="Q25" s="19"/>
      <c r="R25" s="1332"/>
    </row>
    <row r="26" spans="1:18">
      <c r="A26" s="1325"/>
      <c r="B26" s="1317"/>
      <c r="C26" s="19"/>
      <c r="D26" s="19"/>
      <c r="E26" s="19"/>
      <c r="F26" s="1320"/>
      <c r="G26" s="19"/>
      <c r="H26" s="19"/>
      <c r="I26" s="19"/>
      <c r="J26" s="19"/>
      <c r="K26" s="19"/>
      <c r="L26" s="19"/>
      <c r="M26" s="19"/>
      <c r="N26" s="19"/>
      <c r="O26" s="19"/>
      <c r="P26" s="19"/>
      <c r="Q26" s="19"/>
      <c r="R26" s="1332"/>
    </row>
    <row r="27" spans="1:18">
      <c r="A27" s="1325"/>
      <c r="B27" s="19"/>
      <c r="C27" s="19"/>
      <c r="D27" s="19"/>
      <c r="E27" s="19"/>
      <c r="F27" s="1320"/>
      <c r="G27" s="19"/>
      <c r="H27" s="19"/>
      <c r="I27" s="19"/>
      <c r="J27" s="19"/>
      <c r="K27" s="19"/>
      <c r="L27" s="19"/>
      <c r="M27" s="19"/>
      <c r="N27" s="19"/>
      <c r="O27" s="19"/>
      <c r="P27" s="19"/>
      <c r="Q27" s="19"/>
      <c r="R27" s="1332"/>
    </row>
    <row r="28" spans="1:18">
      <c r="A28" s="1325"/>
      <c r="B28" s="19"/>
      <c r="C28" s="19"/>
      <c r="D28" s="19"/>
      <c r="E28" s="19"/>
      <c r="F28" s="1320"/>
      <c r="G28" s="19"/>
      <c r="H28" s="19"/>
      <c r="I28" s="19"/>
      <c r="J28" s="19"/>
      <c r="K28" s="19"/>
      <c r="L28" s="19"/>
      <c r="M28" s="19"/>
      <c r="N28" s="19"/>
      <c r="O28" s="19"/>
      <c r="P28" s="19"/>
      <c r="Q28" s="19"/>
      <c r="R28" s="1332"/>
    </row>
    <row r="29" spans="1:18">
      <c r="A29" s="1325" t="s">
        <v>21</v>
      </c>
      <c r="B29" s="19"/>
      <c r="C29" s="19"/>
      <c r="D29" s="19"/>
      <c r="E29" s="19"/>
      <c r="F29" s="1320"/>
      <c r="G29" s="19"/>
      <c r="H29" s="19"/>
      <c r="I29" s="19"/>
      <c r="J29" s="19"/>
      <c r="K29" s="19"/>
      <c r="L29" s="19"/>
      <c r="M29" s="19"/>
      <c r="N29" s="19"/>
      <c r="O29" s="19"/>
      <c r="P29" s="19"/>
      <c r="Q29" s="19"/>
      <c r="R29" s="1332"/>
    </row>
    <row r="30" ht="15.75" spans="1:18">
      <c r="A30" s="1326"/>
      <c r="B30" s="1327"/>
      <c r="C30" s="1327"/>
      <c r="D30" s="1327"/>
      <c r="E30" s="1327"/>
      <c r="F30" s="1328"/>
      <c r="G30" s="1327"/>
      <c r="H30" s="1327"/>
      <c r="I30" s="1327"/>
      <c r="J30" s="1327"/>
      <c r="K30" s="1327"/>
      <c r="L30" s="1327"/>
      <c r="M30" s="1327"/>
      <c r="N30" s="1327"/>
      <c r="O30" s="1327"/>
      <c r="P30" s="1327"/>
      <c r="Q30" s="1327"/>
      <c r="R30" s="1333"/>
    </row>
    <row r="31" spans="1:6">
      <c r="A31" s="1102"/>
      <c r="F31" s="1102"/>
    </row>
    <row r="32" spans="1:6">
      <c r="A32" s="1102"/>
      <c r="F32" s="1102"/>
    </row>
    <row r="33" spans="1:1">
      <c r="A33" s="1102"/>
    </row>
    <row r="34" spans="1:1">
      <c r="A34" s="1102"/>
    </row>
    <row r="35" spans="1:1">
      <c r="A35" s="1329" t="s">
        <v>22</v>
      </c>
    </row>
    <row r="36" spans="1:1">
      <c r="A36" s="19" t="s">
        <v>23</v>
      </c>
    </row>
    <row r="37" spans="1:1">
      <c r="A37" s="19" t="s">
        <v>24</v>
      </c>
    </row>
    <row r="38" spans="1:1">
      <c r="A38" s="19" t="s">
        <v>25</v>
      </c>
    </row>
    <row r="39" spans="1:1">
      <c r="A39" s="19" t="s">
        <v>26</v>
      </c>
    </row>
    <row r="40" spans="1:1">
      <c r="A40" s="19" t="s">
        <v>27</v>
      </c>
    </row>
    <row r="41" spans="1:1">
      <c r="A41" s="1329" t="s">
        <v>28</v>
      </c>
    </row>
    <row r="42" spans="1:1">
      <c r="A42" s="1329" t="s">
        <v>29</v>
      </c>
    </row>
    <row r="43" spans="1:1">
      <c r="A43" s="19" t="s">
        <v>30</v>
      </c>
    </row>
    <row r="44" spans="1:1">
      <c r="A44" s="19" t="s">
        <v>31</v>
      </c>
    </row>
    <row r="45" spans="1:1">
      <c r="A45" s="19" t="s">
        <v>32</v>
      </c>
    </row>
    <row r="46" spans="1:1">
      <c r="A46" s="19" t="s">
        <v>33</v>
      </c>
    </row>
    <row r="47" spans="1:1">
      <c r="A47" s="19" t="s">
        <v>34</v>
      </c>
    </row>
    <row r="48" spans="1:1">
      <c r="A48" s="19" t="s">
        <v>35</v>
      </c>
    </row>
    <row r="51" spans="1:1">
      <c r="A51" s="19"/>
    </row>
    <row r="52" spans="1:1">
      <c r="A52" t="s">
        <v>36</v>
      </c>
    </row>
    <row r="53" spans="1:1">
      <c r="A53" s="19" t="s">
        <v>37</v>
      </c>
    </row>
    <row r="54" spans="1:1">
      <c r="A54" t="s">
        <v>38</v>
      </c>
    </row>
    <row r="56" spans="1:1">
      <c r="A56" s="1330" t="s">
        <v>39</v>
      </c>
    </row>
  </sheetData>
  <sheetProtection algorithmName="SHA-512" hashValue="rjEptvEwzWrCjcZlyX9QKkKbJAIAPb99Yet+SetMiUlZWlQp+cJJ3YYnQo7Cixy3e7ANnzK1/+MFD6FUsicBSQ==" saltValue="7TMicfjBrbuT7VaaF5YTXA==" spinCount="100000" sheet="1" objects="1" scenarios="1"/>
  <conditionalFormatting sqref="A29">
    <cfRule type="iconSet" priority="1">
      <iconSet iconSet="3TrafficLights2">
        <cfvo type="percent" val="0"/>
        <cfvo type="percent" val="33"/>
        <cfvo type="percent" val="67"/>
      </iconSet>
    </cfRule>
  </conditionalFormatting>
  <conditionalFormatting sqref="B14:B15">
    <cfRule type="iconSet" priority="2">
      <iconSet iconSet="3TrafficLights2">
        <cfvo type="percent" val="0"/>
        <cfvo type="percent" val="33"/>
        <cfvo type="percent" val="67"/>
      </iconSet>
    </cfRule>
  </conditionalFormatting>
  <conditionalFormatting sqref="F22:F32">
    <cfRule type="iconSet" priority="662">
      <iconSet iconSet="3TrafficLights2">
        <cfvo type="percent" val="0"/>
        <cfvo type="percent" val="33"/>
        <cfvo type="percent" val="67"/>
      </iconSet>
    </cfRule>
  </conditionalFormatting>
  <conditionalFormatting sqref="B9 B12:B13">
    <cfRule type="iconSet" priority="3">
      <iconSet iconSet="3TrafficLights2">
        <cfvo type="percent" val="0"/>
        <cfvo type="percent" val="33"/>
        <cfvo type="percent" val="67"/>
      </iconSet>
    </cfRule>
  </conditionalFormatting>
  <conditionalFormatting sqref="A22:A28 A30:A34">
    <cfRule type="iconSet" priority="664">
      <iconSet iconSet="3TrafficLights2">
        <cfvo type="percent" val="0"/>
        <cfvo type="percent" val="33"/>
        <cfvo type="percent" val="67"/>
      </iconSet>
    </cfRule>
  </conditionalFormatting>
  <pageMargins left="0.7" right="0.7" top="0.75" bottom="0.75" header="0.3" footer="0.3"/>
  <pageSetup paperSize="9" orientation="portrait" verticalDpi="9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AI48"/>
  <sheetViews>
    <sheetView workbookViewId="0">
      <pane ySplit="5" topLeftCell="A6" activePane="bottomLeft" state="frozen"/>
      <selection/>
      <selection pane="bottomLeft" activeCell="C11" sqref="C11:D11"/>
    </sheetView>
  </sheetViews>
  <sheetFormatPr defaultColWidth="9" defaultRowHeight="15"/>
  <cols>
    <col min="1" max="1" width="10" customWidth="1"/>
    <col min="2" max="2" width="30.5714285714286" style="616" customWidth="1"/>
    <col min="3" max="6" width="5.28571428571429" customWidth="1"/>
    <col min="7" max="7" width="9.71428571428571" customWidth="1"/>
    <col min="8" max="8" width="4.85714285714286" customWidth="1"/>
    <col min="9" max="9" width="5" customWidth="1"/>
    <col min="10" max="14" width="9.71428571428571" customWidth="1"/>
    <col min="15" max="16" width="5.28571428571429" customWidth="1"/>
    <col min="17" max="18" width="9.71428571428571" customWidth="1"/>
  </cols>
  <sheetData>
    <row r="1" ht="27" spans="1:18">
      <c r="A1" s="1116" t="s">
        <v>40</v>
      </c>
      <c r="B1" s="1117"/>
      <c r="C1" s="1117"/>
      <c r="D1" s="1117"/>
      <c r="E1" s="1117"/>
      <c r="F1" s="1117"/>
      <c r="G1" s="1117"/>
      <c r="H1" s="1117"/>
      <c r="I1" s="1117"/>
      <c r="J1" s="1117"/>
      <c r="K1" s="1117"/>
      <c r="L1" s="1117"/>
      <c r="M1" s="1117"/>
      <c r="N1" s="1117"/>
      <c r="O1" s="1117"/>
      <c r="P1" s="1117"/>
      <c r="Q1" s="1117"/>
      <c r="R1" s="1289"/>
    </row>
    <row r="2" customHeight="1" spans="1:18">
      <c r="A2" s="1118" t="s">
        <v>41</v>
      </c>
      <c r="B2" s="1119"/>
      <c r="C2" s="1119"/>
      <c r="D2" s="1119"/>
      <c r="E2" s="1119"/>
      <c r="F2" s="1119"/>
      <c r="G2" s="1119"/>
      <c r="H2" s="1119"/>
      <c r="I2" s="1119"/>
      <c r="J2" s="1119"/>
      <c r="K2" s="1119"/>
      <c r="L2" s="1119"/>
      <c r="M2" s="1119"/>
      <c r="N2" s="1119"/>
      <c r="O2" s="1119"/>
      <c r="P2" s="1119"/>
      <c r="Q2" s="1119"/>
      <c r="R2" s="1290"/>
    </row>
    <row r="3" customHeight="1" spans="1:18">
      <c r="A3" s="1120"/>
      <c r="B3" s="1121" t="s">
        <v>42</v>
      </c>
      <c r="C3" s="1121"/>
      <c r="D3" s="1122"/>
      <c r="E3" s="1123" t="s">
        <v>43</v>
      </c>
      <c r="F3" s="1124"/>
      <c r="G3" s="1125" t="s">
        <v>44</v>
      </c>
      <c r="H3" s="1126"/>
      <c r="I3" s="1232"/>
      <c r="J3" s="1233"/>
      <c r="K3" s="1234"/>
      <c r="L3" s="1235" t="s">
        <v>45</v>
      </c>
      <c r="M3" s="1232"/>
      <c r="N3" s="1236"/>
      <c r="O3" s="1237"/>
      <c r="P3" s="1238"/>
      <c r="Q3" s="1238"/>
      <c r="R3" s="1291"/>
    </row>
    <row r="4" customHeight="1" spans="1:18">
      <c r="A4" s="1127"/>
      <c r="B4" s="1128" t="s">
        <v>46</v>
      </c>
      <c r="C4" s="1128"/>
      <c r="D4" s="1129"/>
      <c r="E4" s="1130" t="s">
        <v>43</v>
      </c>
      <c r="F4" s="1131"/>
      <c r="G4" s="1132" t="s">
        <v>47</v>
      </c>
      <c r="H4" s="1133"/>
      <c r="I4" s="1239"/>
      <c r="J4" s="1240"/>
      <c r="K4" s="1241"/>
      <c r="L4" s="1242" t="s">
        <v>45</v>
      </c>
      <c r="M4" s="1239"/>
      <c r="N4" s="1243"/>
      <c r="O4" s="1244"/>
      <c r="P4" s="1245"/>
      <c r="Q4" s="1245"/>
      <c r="R4" s="1292"/>
    </row>
    <row r="5" ht="27.75" customHeight="1" spans="1:18">
      <c r="A5" s="1134" t="s">
        <v>48</v>
      </c>
      <c r="B5" s="1135" t="s">
        <v>49</v>
      </c>
      <c r="C5" s="1136" t="s">
        <v>50</v>
      </c>
      <c r="D5" s="1137"/>
      <c r="E5" s="1136" t="s">
        <v>51</v>
      </c>
      <c r="F5" s="1137"/>
      <c r="G5" s="1138" t="s">
        <v>52</v>
      </c>
      <c r="H5" s="1139" t="s">
        <v>53</v>
      </c>
      <c r="I5" s="1135"/>
      <c r="J5" s="1138" t="s">
        <v>54</v>
      </c>
      <c r="K5" s="1138" t="s">
        <v>55</v>
      </c>
      <c r="L5" s="1138" t="s">
        <v>56</v>
      </c>
      <c r="M5" s="1138" t="s">
        <v>57</v>
      </c>
      <c r="N5" s="1138" t="s">
        <v>58</v>
      </c>
      <c r="O5" s="1136" t="s">
        <v>59</v>
      </c>
      <c r="P5" s="1137"/>
      <c r="Q5" s="1138" t="s">
        <v>60</v>
      </c>
      <c r="R5" s="1293" t="s">
        <v>61</v>
      </c>
    </row>
    <row r="6" ht="24.95" customHeight="1" spans="1:18">
      <c r="A6" s="1140">
        <v>1</v>
      </c>
      <c r="B6" s="1141" t="s">
        <v>62</v>
      </c>
      <c r="C6" s="1142">
        <v>1</v>
      </c>
      <c r="D6" s="1143"/>
      <c r="E6" s="161"/>
      <c r="F6" s="1144"/>
      <c r="G6" s="77"/>
      <c r="H6" s="1145">
        <v>17</v>
      </c>
      <c r="I6" s="1246"/>
      <c r="J6" s="1247"/>
      <c r="K6" s="1247"/>
      <c r="L6" s="1153">
        <v>1</v>
      </c>
      <c r="M6" s="1248"/>
      <c r="N6" s="1247"/>
      <c r="O6" s="1201"/>
      <c r="P6" s="1202"/>
      <c r="Q6" s="1203"/>
      <c r="R6" s="1294"/>
    </row>
    <row r="7" ht="24.95" customHeight="1" spans="1:18">
      <c r="A7" s="1146">
        <v>2</v>
      </c>
      <c r="B7" s="1147" t="s">
        <v>63</v>
      </c>
      <c r="C7" s="1148"/>
      <c r="D7" s="1149"/>
      <c r="E7" s="1150"/>
      <c r="F7" s="1149"/>
      <c r="G7" s="1151"/>
      <c r="H7" s="1152"/>
      <c r="I7" s="1249"/>
      <c r="J7" s="1159"/>
      <c r="K7" s="63"/>
      <c r="L7" s="1250">
        <v>22</v>
      </c>
      <c r="M7" s="1179">
        <v>22</v>
      </c>
      <c r="N7" s="1251"/>
      <c r="O7" s="1176"/>
      <c r="P7" s="1165"/>
      <c r="Q7" s="1159"/>
      <c r="R7" s="1295"/>
    </row>
    <row r="8" ht="24.95" customHeight="1" spans="1:23">
      <c r="A8" s="1146">
        <v>3</v>
      </c>
      <c r="B8" s="1147" t="s">
        <v>64</v>
      </c>
      <c r="C8" s="1148"/>
      <c r="D8" s="1149"/>
      <c r="E8" s="1153">
        <v>24</v>
      </c>
      <c r="F8" s="1154"/>
      <c r="G8" s="63"/>
      <c r="H8" s="65"/>
      <c r="I8" s="1158"/>
      <c r="J8" s="1251"/>
      <c r="K8" s="1179">
        <v>20</v>
      </c>
      <c r="L8" s="1252"/>
      <c r="M8" s="1185">
        <v>24</v>
      </c>
      <c r="N8" s="1159"/>
      <c r="O8" s="1150"/>
      <c r="P8" s="1149"/>
      <c r="Q8" s="1159"/>
      <c r="R8" s="1296"/>
      <c r="W8" s="1297"/>
    </row>
    <row r="9" ht="24.95" customHeight="1" spans="1:23">
      <c r="A9" s="1146">
        <v>4</v>
      </c>
      <c r="B9" s="1155" t="s">
        <v>65</v>
      </c>
      <c r="C9" s="1156">
        <v>8</v>
      </c>
      <c r="D9" s="1157">
        <v>18</v>
      </c>
      <c r="E9" s="65"/>
      <c r="F9" s="1158"/>
      <c r="G9" s="1159"/>
      <c r="H9" s="1150"/>
      <c r="I9" s="1149"/>
      <c r="J9" s="1252"/>
      <c r="K9" s="1252"/>
      <c r="L9" s="1185">
        <v>21</v>
      </c>
      <c r="M9" s="1159"/>
      <c r="N9" s="1159"/>
      <c r="O9" s="1150"/>
      <c r="P9" s="1149"/>
      <c r="Q9" s="1159"/>
      <c r="R9" s="1296"/>
      <c r="W9" s="1298"/>
    </row>
    <row r="10" ht="24.95" customHeight="1" spans="1:23">
      <c r="A10" s="1146">
        <v>5</v>
      </c>
      <c r="B10" s="1155" t="s">
        <v>66</v>
      </c>
      <c r="C10" s="1148"/>
      <c r="D10" s="1149"/>
      <c r="E10" s="1160"/>
      <c r="F10" s="1161"/>
      <c r="G10" s="1162"/>
      <c r="H10" s="1163">
        <v>1</v>
      </c>
      <c r="I10" s="1253"/>
      <c r="J10" s="1254">
        <v>11</v>
      </c>
      <c r="K10" s="1159"/>
      <c r="L10" s="63"/>
      <c r="M10" s="1252"/>
      <c r="N10" s="1252"/>
      <c r="O10" s="1255">
        <v>1</v>
      </c>
      <c r="P10" s="1143"/>
      <c r="Q10" s="1159"/>
      <c r="R10" s="1296"/>
      <c r="W10" s="1298"/>
    </row>
    <row r="11" ht="24.95" customHeight="1" spans="1:35">
      <c r="A11" s="1146">
        <v>6</v>
      </c>
      <c r="B11" s="1155" t="s">
        <v>67</v>
      </c>
      <c r="C11" s="1164"/>
      <c r="D11" s="1165"/>
      <c r="E11" s="1150"/>
      <c r="F11" s="1149"/>
      <c r="G11" s="1159"/>
      <c r="H11" s="1153">
        <v>29</v>
      </c>
      <c r="I11" s="1154"/>
      <c r="J11" s="1159"/>
      <c r="K11" s="1159"/>
      <c r="L11" s="63"/>
      <c r="M11" s="1218"/>
      <c r="N11" s="1179">
        <v>20</v>
      </c>
      <c r="O11" s="1255">
        <v>27</v>
      </c>
      <c r="P11" s="1143"/>
      <c r="Q11" s="1208"/>
      <c r="R11" s="1299"/>
      <c r="W11" s="1297"/>
      <c r="X11" s="1227"/>
      <c r="Y11" s="1227"/>
      <c r="Z11" s="1227"/>
      <c r="AA11" s="1227"/>
      <c r="AB11" s="1227"/>
      <c r="AC11" s="1227"/>
      <c r="AD11" s="1227"/>
      <c r="AE11" s="1227"/>
      <c r="AF11" s="1227"/>
      <c r="AG11" s="1227"/>
      <c r="AH11" s="1227"/>
      <c r="AI11" s="1227"/>
    </row>
    <row r="12" ht="24.95" customHeight="1" spans="1:18">
      <c r="A12" s="1146">
        <v>7</v>
      </c>
      <c r="B12" s="1155" t="s">
        <v>68</v>
      </c>
      <c r="C12" s="1148"/>
      <c r="D12" s="1149"/>
      <c r="E12" s="1150"/>
      <c r="F12" s="1149"/>
      <c r="G12" s="1159"/>
      <c r="H12" s="1150"/>
      <c r="I12" s="1149"/>
      <c r="J12" s="1250">
        <v>7</v>
      </c>
      <c r="K12" s="1248"/>
      <c r="L12" s="1159"/>
      <c r="M12" s="63"/>
      <c r="N12" s="1252"/>
      <c r="O12" s="1190"/>
      <c r="P12" s="1184"/>
      <c r="Q12" s="1185">
        <v>22</v>
      </c>
      <c r="R12" s="1300">
        <v>21</v>
      </c>
    </row>
    <row r="13" ht="24.95" customHeight="1" spans="1:18">
      <c r="A13" s="1146">
        <v>8</v>
      </c>
      <c r="B13" s="1155" t="s">
        <v>69</v>
      </c>
      <c r="C13" s="1148"/>
      <c r="D13" s="1149"/>
      <c r="E13" s="1150"/>
      <c r="F13" s="1149"/>
      <c r="G13" s="1153">
        <v>16</v>
      </c>
      <c r="H13" s="65"/>
      <c r="I13" s="1158"/>
      <c r="J13" s="63"/>
      <c r="K13" s="63"/>
      <c r="L13" s="1179">
        <v>23</v>
      </c>
      <c r="M13" s="1256"/>
      <c r="N13" s="1185">
        <v>15</v>
      </c>
      <c r="O13" s="1176"/>
      <c r="P13" s="1165"/>
      <c r="Q13" s="1159"/>
      <c r="R13" s="1296"/>
    </row>
    <row r="14" ht="24.95" customHeight="1" spans="1:18">
      <c r="A14" s="1146">
        <v>9</v>
      </c>
      <c r="B14" s="1155" t="s">
        <v>70</v>
      </c>
      <c r="C14" s="1148"/>
      <c r="D14" s="1149"/>
      <c r="E14" s="1150"/>
      <c r="F14" s="1149"/>
      <c r="G14" s="1159"/>
      <c r="H14" s="1153">
        <v>1</v>
      </c>
      <c r="I14" s="1154"/>
      <c r="J14" s="63"/>
      <c r="K14" s="1218"/>
      <c r="L14" s="1218"/>
      <c r="M14" s="1257">
        <v>27</v>
      </c>
      <c r="N14" s="1185">
        <v>30</v>
      </c>
      <c r="O14" s="1176"/>
      <c r="P14" s="1165"/>
      <c r="Q14" s="1159"/>
      <c r="R14" s="1296"/>
    </row>
    <row r="15" ht="24.95" customHeight="1" spans="1:18">
      <c r="A15" s="1146">
        <v>10</v>
      </c>
      <c r="B15" s="1155" t="s">
        <v>71</v>
      </c>
      <c r="C15" s="1166">
        <v>31</v>
      </c>
      <c r="D15" s="1167"/>
      <c r="E15" s="1168"/>
      <c r="F15" s="1169"/>
      <c r="G15" s="1159"/>
      <c r="H15" s="1150"/>
      <c r="I15" s="1149"/>
      <c r="J15" s="1179">
        <v>14</v>
      </c>
      <c r="K15" s="1252"/>
      <c r="L15" s="1185">
        <v>31</v>
      </c>
      <c r="M15" s="63"/>
      <c r="N15" s="1251"/>
      <c r="O15" s="1258"/>
      <c r="P15" s="1187"/>
      <c r="Q15" s="1159"/>
      <c r="R15" s="1296"/>
    </row>
    <row r="16" ht="24.95" customHeight="1" spans="1:18">
      <c r="A16" s="1146">
        <v>11</v>
      </c>
      <c r="B16" s="1155" t="s">
        <v>72</v>
      </c>
      <c r="C16" s="1148"/>
      <c r="D16" s="1149"/>
      <c r="E16" s="1170">
        <v>1</v>
      </c>
      <c r="F16" s="1156"/>
      <c r="G16" s="1149"/>
      <c r="H16" s="1150"/>
      <c r="I16" s="1149"/>
      <c r="J16" s="1159"/>
      <c r="K16" s="1159"/>
      <c r="L16" s="1159"/>
      <c r="M16" s="1259">
        <v>14</v>
      </c>
      <c r="N16" s="1159"/>
      <c r="O16" s="1150"/>
      <c r="P16" s="1149"/>
      <c r="Q16" s="1159"/>
      <c r="R16" s="1295"/>
    </row>
    <row r="17" ht="24.95" customHeight="1" spans="1:18">
      <c r="A17" s="1146">
        <v>12</v>
      </c>
      <c r="B17" s="1155" t="s">
        <v>73</v>
      </c>
      <c r="C17" s="1148"/>
      <c r="D17" s="1149"/>
      <c r="E17" s="1171"/>
      <c r="F17" s="1172"/>
      <c r="G17" s="1159"/>
      <c r="H17" s="1173">
        <v>15</v>
      </c>
      <c r="I17" s="1250">
        <v>14</v>
      </c>
      <c r="J17" s="63"/>
      <c r="K17" s="63"/>
      <c r="L17" s="1251"/>
      <c r="M17" s="1252"/>
      <c r="N17" s="1252"/>
      <c r="O17" s="1255">
        <v>13</v>
      </c>
      <c r="P17" s="1143"/>
      <c r="Q17" s="1159"/>
      <c r="R17" s="1296"/>
    </row>
    <row r="18" ht="24.95" customHeight="1" spans="1:35">
      <c r="A18" s="1146">
        <v>13</v>
      </c>
      <c r="B18" s="1155" t="s">
        <v>74</v>
      </c>
      <c r="C18" s="1156">
        <v>2</v>
      </c>
      <c r="D18" s="1157">
        <v>18</v>
      </c>
      <c r="E18" s="1150"/>
      <c r="F18" s="1149"/>
      <c r="G18" s="1159"/>
      <c r="H18" s="1150"/>
      <c r="I18" s="1149"/>
      <c r="J18" s="1250">
        <v>18</v>
      </c>
      <c r="K18" s="63"/>
      <c r="L18" s="1251"/>
      <c r="M18" s="1159"/>
      <c r="N18" s="1162"/>
      <c r="O18" s="1160"/>
      <c r="P18" s="1161"/>
      <c r="Q18" s="1301">
        <v>17</v>
      </c>
      <c r="R18" s="1296"/>
      <c r="W18" s="1297"/>
      <c r="X18" s="1227"/>
      <c r="Y18" s="1227"/>
      <c r="Z18" s="1227"/>
      <c r="AA18" s="1227"/>
      <c r="AB18" s="1227"/>
      <c r="AC18" s="1227"/>
      <c r="AD18" s="1227"/>
      <c r="AE18" s="1227"/>
      <c r="AF18" s="1227"/>
      <c r="AG18" s="1227"/>
      <c r="AH18" s="1227"/>
      <c r="AI18" s="1227"/>
    </row>
    <row r="19" ht="24.95" customHeight="1" spans="1:18">
      <c r="A19" s="1146">
        <v>14</v>
      </c>
      <c r="B19" s="1147" t="s">
        <v>75</v>
      </c>
      <c r="C19" s="1174"/>
      <c r="D19" s="1158"/>
      <c r="E19" s="65"/>
      <c r="F19" s="1158"/>
      <c r="G19" s="1175"/>
      <c r="H19" s="1176"/>
      <c r="I19" s="1165"/>
      <c r="J19" s="63"/>
      <c r="K19" s="63"/>
      <c r="L19" s="1153">
        <v>9</v>
      </c>
      <c r="M19" s="1218"/>
      <c r="N19" s="1257">
        <v>29</v>
      </c>
      <c r="O19" s="1176"/>
      <c r="P19" s="1165"/>
      <c r="Q19" s="1256"/>
      <c r="R19" s="1302"/>
    </row>
    <row r="20" ht="24.95" customHeight="1" spans="1:18">
      <c r="A20" s="1146">
        <v>15</v>
      </c>
      <c r="B20" s="1147" t="s">
        <v>76</v>
      </c>
      <c r="C20" s="1033">
        <v>28</v>
      </c>
      <c r="D20" s="1154"/>
      <c r="E20" s="65"/>
      <c r="F20" s="1158"/>
      <c r="G20" s="63"/>
      <c r="H20" s="65"/>
      <c r="I20" s="1158"/>
      <c r="J20" s="1252"/>
      <c r="K20" s="1252"/>
      <c r="L20" s="1185">
        <v>28</v>
      </c>
      <c r="M20" s="1260">
        <v>27</v>
      </c>
      <c r="N20" s="63"/>
      <c r="O20" s="65"/>
      <c r="P20" s="1158"/>
      <c r="Q20" s="63"/>
      <c r="R20" s="81"/>
    </row>
    <row r="21" ht="24.95" customHeight="1" spans="1:18">
      <c r="A21" s="1146">
        <v>16</v>
      </c>
      <c r="B21" s="1147" t="s">
        <v>77</v>
      </c>
      <c r="C21" s="1055">
        <v>28</v>
      </c>
      <c r="D21" s="1177"/>
      <c r="E21" s="58"/>
      <c r="F21" s="1177"/>
      <c r="G21" s="57"/>
      <c r="H21" s="58"/>
      <c r="I21" s="1177"/>
      <c r="J21" s="57"/>
      <c r="K21" s="57"/>
      <c r="L21" s="1179">
        <v>26</v>
      </c>
      <c r="M21" s="1260">
        <v>3</v>
      </c>
      <c r="N21" s="1178"/>
      <c r="O21" s="1220"/>
      <c r="P21" s="1215"/>
      <c r="Q21" s="1178"/>
      <c r="R21" s="1302"/>
    </row>
    <row r="22" ht="24.95" customHeight="1" spans="1:18">
      <c r="A22" s="1146">
        <v>17</v>
      </c>
      <c r="B22" s="1147" t="s">
        <v>78</v>
      </c>
      <c r="C22" s="1174"/>
      <c r="D22" s="1158"/>
      <c r="E22" s="65"/>
      <c r="F22" s="1158"/>
      <c r="G22" s="1178"/>
      <c r="H22" s="1173">
        <v>22</v>
      </c>
      <c r="I22" s="1182"/>
      <c r="J22" s="1252"/>
      <c r="K22" s="1185">
        <v>7</v>
      </c>
      <c r="L22" s="63"/>
      <c r="M22" s="63"/>
      <c r="N22" s="63"/>
      <c r="O22" s="65"/>
      <c r="P22" s="1158"/>
      <c r="Q22" s="63"/>
      <c r="R22" s="1303"/>
    </row>
    <row r="23" ht="24.95" customHeight="1" spans="1:18">
      <c r="A23" s="1146">
        <v>18</v>
      </c>
      <c r="B23" s="1147" t="s">
        <v>79</v>
      </c>
      <c r="C23" s="1033">
        <v>2</v>
      </c>
      <c r="D23" s="1154"/>
      <c r="E23" s="65"/>
      <c r="F23" s="1158"/>
      <c r="G23" s="1179">
        <v>23</v>
      </c>
      <c r="H23" s="65"/>
      <c r="I23" s="1158"/>
      <c r="J23" s="1252"/>
      <c r="K23" s="1252"/>
      <c r="L23" s="1185">
        <v>6</v>
      </c>
      <c r="M23" s="63"/>
      <c r="N23" s="63"/>
      <c r="O23" s="65"/>
      <c r="P23" s="1158"/>
      <c r="Q23" s="63"/>
      <c r="R23" s="81"/>
    </row>
    <row r="24" ht="24.95" customHeight="1" spans="1:18">
      <c r="A24" s="1146">
        <v>19</v>
      </c>
      <c r="B24" s="1147" t="s">
        <v>80</v>
      </c>
      <c r="C24" s="1055"/>
      <c r="D24" s="1177"/>
      <c r="E24" s="58"/>
      <c r="F24" s="1177"/>
      <c r="G24" s="57"/>
      <c r="H24" s="58"/>
      <c r="I24" s="1177"/>
      <c r="J24" s="57"/>
      <c r="K24" s="57"/>
      <c r="L24" s="1179">
        <v>25</v>
      </c>
      <c r="M24" s="951"/>
      <c r="N24" s="63"/>
      <c r="O24" s="65"/>
      <c r="P24" s="1158"/>
      <c r="Q24" s="63"/>
      <c r="R24" s="81"/>
    </row>
    <row r="25" ht="24.95" customHeight="1" spans="1:35">
      <c r="A25" s="1146">
        <v>20</v>
      </c>
      <c r="B25" s="1180" t="s">
        <v>81</v>
      </c>
      <c r="C25" s="1181">
        <v>8</v>
      </c>
      <c r="D25" s="1182"/>
      <c r="E25" s="1153">
        <v>21</v>
      </c>
      <c r="F25" s="1154"/>
      <c r="G25" s="1159"/>
      <c r="H25" s="1150"/>
      <c r="I25" s="1149"/>
      <c r="J25" s="1153">
        <v>7</v>
      </c>
      <c r="K25" s="1248"/>
      <c r="L25" s="1178"/>
      <c r="M25" s="1261"/>
      <c r="N25" s="1262"/>
      <c r="O25" s="1263">
        <v>5</v>
      </c>
      <c r="P25" s="1207"/>
      <c r="Q25" s="1159"/>
      <c r="R25" s="1296"/>
      <c r="W25" s="1297"/>
      <c r="X25" s="1227"/>
      <c r="Y25" s="1227"/>
      <c r="Z25" s="1227"/>
      <c r="AA25" s="1227"/>
      <c r="AB25" s="1227"/>
      <c r="AC25" s="1227"/>
      <c r="AD25" s="1227"/>
      <c r="AE25" s="1227"/>
      <c r="AF25" s="1227"/>
      <c r="AG25" s="1227"/>
      <c r="AH25" s="1227"/>
      <c r="AI25" s="1227"/>
    </row>
    <row r="26" ht="24.95" customHeight="1" spans="1:35">
      <c r="A26" s="1146">
        <v>21</v>
      </c>
      <c r="B26" s="1147" t="s">
        <v>82</v>
      </c>
      <c r="C26" s="1183"/>
      <c r="D26" s="1184"/>
      <c r="E26" s="1181">
        <v>8</v>
      </c>
      <c r="F26" s="1182"/>
      <c r="G26" s="1185">
        <v>10</v>
      </c>
      <c r="H26" s="1176"/>
      <c r="I26" s="1165"/>
      <c r="J26" s="63"/>
      <c r="K26" s="63"/>
      <c r="L26" s="63"/>
      <c r="M26" s="63"/>
      <c r="N26" s="1251"/>
      <c r="O26" s="1258"/>
      <c r="P26" s="1187"/>
      <c r="Q26" s="63"/>
      <c r="R26" s="81"/>
      <c r="W26" s="1297"/>
      <c r="X26" s="1227"/>
      <c r="Y26" s="1227"/>
      <c r="Z26" s="1227"/>
      <c r="AA26" s="1227"/>
      <c r="AB26" s="1227"/>
      <c r="AC26" s="1227"/>
      <c r="AD26" s="1227"/>
      <c r="AE26" s="1227"/>
      <c r="AF26" s="1227"/>
      <c r="AG26" s="1227"/>
      <c r="AH26" s="1227"/>
      <c r="AI26" s="1227"/>
    </row>
    <row r="27" ht="24.95" customHeight="1" spans="1:35">
      <c r="A27" s="1146">
        <v>22</v>
      </c>
      <c r="B27" s="1155" t="s">
        <v>83</v>
      </c>
      <c r="C27" s="1148"/>
      <c r="D27" s="1149"/>
      <c r="E27" s="1173">
        <v>6</v>
      </c>
      <c r="F27" s="1154">
        <v>7</v>
      </c>
      <c r="G27" s="1159"/>
      <c r="H27" s="1150"/>
      <c r="I27" s="1149"/>
      <c r="J27" s="1178"/>
      <c r="K27" s="1252"/>
      <c r="L27" s="1252"/>
      <c r="M27" s="1264"/>
      <c r="N27" s="1265"/>
      <c r="O27" s="1265"/>
      <c r="P27" s="1265"/>
      <c r="Q27" s="1265"/>
      <c r="R27" s="1304"/>
      <c r="W27" s="1297"/>
      <c r="X27" s="1227"/>
      <c r="Y27" s="1227"/>
      <c r="Z27" s="1227"/>
      <c r="AA27" s="1227"/>
      <c r="AB27" s="1227"/>
      <c r="AC27" s="1227"/>
      <c r="AD27" s="1227"/>
      <c r="AE27" s="1227"/>
      <c r="AF27" s="1227"/>
      <c r="AG27" s="1227"/>
      <c r="AH27" s="1227"/>
      <c r="AI27" s="1227"/>
    </row>
    <row r="28" ht="24.95" customHeight="1" spans="1:18">
      <c r="A28" s="1146">
        <v>23</v>
      </c>
      <c r="B28" s="1147" t="s">
        <v>84</v>
      </c>
      <c r="C28" s="1164"/>
      <c r="D28" s="1165"/>
      <c r="E28" s="1150"/>
      <c r="F28" s="1149"/>
      <c r="G28" s="63"/>
      <c r="H28" s="65"/>
      <c r="I28" s="1158"/>
      <c r="J28" s="63"/>
      <c r="K28" s="1153">
        <v>1</v>
      </c>
      <c r="L28" s="706"/>
      <c r="M28" s="1266"/>
      <c r="N28" s="1218"/>
      <c r="O28" s="1219">
        <v>19</v>
      </c>
      <c r="P28" s="1267"/>
      <c r="Q28" s="1252"/>
      <c r="R28" s="1185">
        <v>30</v>
      </c>
    </row>
    <row r="29" ht="24.95" customHeight="1" spans="1:18">
      <c r="A29" s="1146">
        <v>24</v>
      </c>
      <c r="B29" s="1155" t="s">
        <v>85</v>
      </c>
      <c r="C29" s="1186"/>
      <c r="D29" s="1187"/>
      <c r="E29" s="1150"/>
      <c r="F29" s="1149"/>
      <c r="G29" s="63"/>
      <c r="H29" s="65"/>
      <c r="I29" s="1158"/>
      <c r="J29" s="63"/>
      <c r="K29" s="1179">
        <v>7</v>
      </c>
      <c r="L29" s="1153">
        <v>23</v>
      </c>
      <c r="M29" s="1159"/>
      <c r="N29" s="1159"/>
      <c r="O29" s="1150"/>
      <c r="P29" s="1149"/>
      <c r="Q29" s="63"/>
      <c r="R29" s="1305"/>
    </row>
    <row r="30" ht="24.95" customHeight="1" spans="1:18">
      <c r="A30" s="1146">
        <v>25</v>
      </c>
      <c r="B30" s="1155" t="s">
        <v>86</v>
      </c>
      <c r="C30" s="1148"/>
      <c r="D30" s="1149"/>
      <c r="E30" s="1157">
        <v>26</v>
      </c>
      <c r="F30" s="1167"/>
      <c r="G30" s="1159"/>
      <c r="H30" s="1150"/>
      <c r="I30" s="1149"/>
      <c r="J30" s="1159"/>
      <c r="K30" s="1179">
        <v>18</v>
      </c>
      <c r="L30" s="1162"/>
      <c r="M30" s="1268">
        <v>30</v>
      </c>
      <c r="N30" s="1159"/>
      <c r="O30" s="1150"/>
      <c r="P30" s="1149"/>
      <c r="Q30" s="1159"/>
      <c r="R30" s="1296"/>
    </row>
    <row r="31" ht="24.95" customHeight="1" spans="1:18">
      <c r="A31" s="1146">
        <v>26</v>
      </c>
      <c r="B31" s="1155" t="s">
        <v>87</v>
      </c>
      <c r="C31" s="1181">
        <v>14</v>
      </c>
      <c r="D31" s="1182"/>
      <c r="E31" s="1188"/>
      <c r="F31" s="1189"/>
      <c r="G31" s="1178"/>
      <c r="H31" s="1190"/>
      <c r="I31" s="1184"/>
      <c r="J31" s="1252"/>
      <c r="K31" s="1185">
        <v>1</v>
      </c>
      <c r="L31" s="1159"/>
      <c r="M31" s="1159"/>
      <c r="N31" s="1269"/>
      <c r="O31" s="1188"/>
      <c r="P31" s="1189"/>
      <c r="Q31" s="1269"/>
      <c r="R31" s="1306"/>
    </row>
    <row r="32" ht="24.95" customHeight="1" spans="1:18">
      <c r="A32" s="1191">
        <v>27</v>
      </c>
      <c r="B32" s="1192" t="s">
        <v>88</v>
      </c>
      <c r="C32" s="1193"/>
      <c r="D32" s="1194"/>
      <c r="E32" s="1195"/>
      <c r="F32" s="1194"/>
      <c r="G32" s="1196">
        <v>1</v>
      </c>
      <c r="H32" s="1195"/>
      <c r="I32" s="1194"/>
      <c r="J32" s="1270"/>
      <c r="K32" s="1179">
        <v>22</v>
      </c>
      <c r="L32" s="1271"/>
      <c r="M32" s="1271"/>
      <c r="N32" s="1272">
        <v>2</v>
      </c>
      <c r="O32" s="1273"/>
      <c r="P32" s="1274"/>
      <c r="Q32" s="1270"/>
      <c r="R32" s="1307"/>
    </row>
    <row r="33" ht="24.95" customHeight="1" spans="1:18">
      <c r="A33" s="1197">
        <v>28</v>
      </c>
      <c r="B33" s="1198" t="s">
        <v>89</v>
      </c>
      <c r="C33" s="1199"/>
      <c r="D33" s="1200"/>
      <c r="E33" s="1201"/>
      <c r="F33" s="1202"/>
      <c r="G33" s="1203"/>
      <c r="H33" s="1204"/>
      <c r="I33" s="1275"/>
      <c r="J33" s="1276">
        <v>9</v>
      </c>
      <c r="K33" s="1247"/>
      <c r="L33" s="1277"/>
      <c r="M33" s="1179">
        <v>7</v>
      </c>
      <c r="N33" s="1247"/>
      <c r="O33" s="1278"/>
      <c r="P33" s="1200"/>
      <c r="Q33" s="1247"/>
      <c r="R33" s="1308"/>
    </row>
    <row r="34" ht="24.95" customHeight="1" spans="1:18">
      <c r="A34" s="1205">
        <v>29</v>
      </c>
      <c r="B34" s="1155" t="s">
        <v>90</v>
      </c>
      <c r="C34" s="1148"/>
      <c r="D34" s="1149"/>
      <c r="E34" s="1150"/>
      <c r="F34" s="1149"/>
      <c r="G34" s="1153">
        <v>14</v>
      </c>
      <c r="H34" s="1174"/>
      <c r="I34" s="1158"/>
      <c r="J34" s="1159"/>
      <c r="K34" s="1159"/>
      <c r="L34" s="1159"/>
      <c r="M34" s="1265"/>
      <c r="N34" s="1279"/>
      <c r="O34" s="1280"/>
      <c r="P34" s="1281"/>
      <c r="Q34" s="1279"/>
      <c r="R34" s="1304"/>
    </row>
    <row r="35" ht="24.95" customHeight="1" spans="1:18">
      <c r="A35" s="1205">
        <v>30</v>
      </c>
      <c r="B35" s="1155" t="s">
        <v>91</v>
      </c>
      <c r="C35" s="1206">
        <v>5</v>
      </c>
      <c r="D35" s="1207"/>
      <c r="E35" s="1150"/>
      <c r="F35" s="1149"/>
      <c r="G35" s="1159"/>
      <c r="H35" s="1150"/>
      <c r="I35" s="1149"/>
      <c r="J35" s="1282"/>
      <c r="K35" s="1282"/>
      <c r="L35" s="1283">
        <v>7</v>
      </c>
      <c r="M35" s="1159"/>
      <c r="N35" s="1159"/>
      <c r="O35" s="1150"/>
      <c r="P35" s="1149"/>
      <c r="Q35" s="1162"/>
      <c r="R35" s="1295"/>
    </row>
    <row r="36" ht="24.95" customHeight="1" spans="1:18">
      <c r="A36" s="1205">
        <v>31</v>
      </c>
      <c r="B36" s="1155" t="s">
        <v>92</v>
      </c>
      <c r="C36" s="1148"/>
      <c r="D36" s="1149"/>
      <c r="E36" s="1157">
        <v>18</v>
      </c>
      <c r="F36" s="1167"/>
      <c r="G36" s="1208"/>
      <c r="H36" s="1209"/>
      <c r="I36" s="1284"/>
      <c r="J36" s="1282"/>
      <c r="K36" s="1283">
        <v>16</v>
      </c>
      <c r="L36" s="1162"/>
      <c r="M36" s="1268">
        <v>18</v>
      </c>
      <c r="N36" s="1159"/>
      <c r="O36" s="1150"/>
      <c r="P36" s="1149"/>
      <c r="Q36" s="1159"/>
      <c r="R36" s="1296"/>
    </row>
    <row r="37" ht="24.95" customHeight="1" spans="1:18">
      <c r="A37" s="1205">
        <v>32</v>
      </c>
      <c r="B37" s="1155" t="s">
        <v>93</v>
      </c>
      <c r="C37" s="1210"/>
      <c r="D37" s="1211"/>
      <c r="E37" s="1212"/>
      <c r="F37" s="1211"/>
      <c r="G37" s="1159"/>
      <c r="H37" s="1212"/>
      <c r="I37" s="1211"/>
      <c r="J37" s="1159"/>
      <c r="K37" s="1151"/>
      <c r="L37" s="1159"/>
      <c r="M37" s="1151"/>
      <c r="N37" s="1159"/>
      <c r="O37" s="1150"/>
      <c r="P37" s="1149"/>
      <c r="Q37" s="1159"/>
      <c r="R37" s="1296"/>
    </row>
    <row r="38" ht="24.95" customHeight="1" spans="1:18">
      <c r="A38" s="1205">
        <v>32</v>
      </c>
      <c r="B38" s="1155" t="s">
        <v>94</v>
      </c>
      <c r="C38" s="1210"/>
      <c r="D38" s="1211"/>
      <c r="E38" s="1160"/>
      <c r="F38" s="1161"/>
      <c r="G38" s="1162"/>
      <c r="H38" s="1213">
        <v>23</v>
      </c>
      <c r="I38" s="1285"/>
      <c r="J38" s="1282"/>
      <c r="K38" s="1282"/>
      <c r="L38" s="1283">
        <v>9</v>
      </c>
      <c r="M38" s="1159"/>
      <c r="N38" s="1159"/>
      <c r="O38" s="1150"/>
      <c r="P38" s="1149"/>
      <c r="Q38" s="1159"/>
      <c r="R38" s="1296"/>
    </row>
    <row r="39" ht="24.95" customHeight="1" spans="1:18">
      <c r="A39" s="1205">
        <v>33</v>
      </c>
      <c r="B39" s="1155" t="s">
        <v>95</v>
      </c>
      <c r="C39" s="1148"/>
      <c r="D39" s="1149"/>
      <c r="E39" s="1150"/>
      <c r="F39" s="1149"/>
      <c r="G39" s="1208"/>
      <c r="H39" s="1160"/>
      <c r="I39" s="1161"/>
      <c r="J39" s="1162"/>
      <c r="K39" s="1268">
        <v>1</v>
      </c>
      <c r="L39" s="1282"/>
      <c r="M39" s="1282"/>
      <c r="N39" s="1283">
        <v>25</v>
      </c>
      <c r="O39" s="1152"/>
      <c r="P39" s="1249"/>
      <c r="Q39" s="1159"/>
      <c r="R39" s="1296"/>
    </row>
    <row r="40" ht="24.95" customHeight="1" spans="1:18">
      <c r="A40" s="1205">
        <v>34</v>
      </c>
      <c r="B40" s="1147" t="s">
        <v>96</v>
      </c>
      <c r="C40" s="1214"/>
      <c r="D40" s="1215"/>
      <c r="E40" s="1216"/>
      <c r="F40" s="1217"/>
      <c r="G40" s="1218"/>
      <c r="H40" s="1219">
        <v>28</v>
      </c>
      <c r="I40" s="1267"/>
      <c r="J40" s="1178"/>
      <c r="K40" s="1252"/>
      <c r="L40" s="1252"/>
      <c r="M40" s="1185">
        <v>24</v>
      </c>
      <c r="N40" s="63"/>
      <c r="O40" s="65"/>
      <c r="P40" s="1158"/>
      <c r="Q40" s="63"/>
      <c r="R40" s="81"/>
    </row>
    <row r="41" ht="24.95" customHeight="1" spans="1:18">
      <c r="A41" s="1205">
        <v>35</v>
      </c>
      <c r="B41" s="1147" t="s">
        <v>97</v>
      </c>
      <c r="C41" s="1214"/>
      <c r="D41" s="1215"/>
      <c r="E41" s="1220"/>
      <c r="F41" s="1215"/>
      <c r="G41" s="1178"/>
      <c r="H41" s="1176"/>
      <c r="I41" s="1165"/>
      <c r="J41" s="1178"/>
      <c r="K41" s="1178"/>
      <c r="L41" s="1178"/>
      <c r="M41" s="1175"/>
      <c r="N41" s="1178"/>
      <c r="O41" s="1220"/>
      <c r="P41" s="1215"/>
      <c r="Q41" s="1178"/>
      <c r="R41" s="1309"/>
    </row>
    <row r="42" ht="24.95" customHeight="1" spans="1:18">
      <c r="A42" s="1205">
        <v>36</v>
      </c>
      <c r="B42" s="1147" t="s">
        <v>98</v>
      </c>
      <c r="C42" s="1181">
        <v>1</v>
      </c>
      <c r="D42" s="1182"/>
      <c r="E42" s="65"/>
      <c r="F42" s="1158"/>
      <c r="G42" s="1178"/>
      <c r="H42" s="1190"/>
      <c r="I42" s="1184"/>
      <c r="J42" s="1252"/>
      <c r="K42" s="1185">
        <v>16</v>
      </c>
      <c r="L42" s="63"/>
      <c r="M42" s="63"/>
      <c r="N42" s="1208"/>
      <c r="O42" s="1209"/>
      <c r="P42" s="1284"/>
      <c r="Q42" s="1282"/>
      <c r="R42" s="1300">
        <v>30</v>
      </c>
    </row>
    <row r="43" ht="24.95" customHeight="1" spans="1:18">
      <c r="A43" s="1221">
        <v>37</v>
      </c>
      <c r="B43" s="1222" t="s">
        <v>99</v>
      </c>
      <c r="C43" s="1223"/>
      <c r="D43" s="1224"/>
      <c r="E43" s="1225">
        <v>5</v>
      </c>
      <c r="F43" s="1226"/>
      <c r="G43" s="95"/>
      <c r="H43" s="163"/>
      <c r="I43" s="1224"/>
      <c r="J43" s="1286"/>
      <c r="K43" s="1286"/>
      <c r="L43" s="1287">
        <v>28</v>
      </c>
      <c r="M43" s="1288">
        <v>5</v>
      </c>
      <c r="N43" s="95"/>
      <c r="O43" s="163"/>
      <c r="P43" s="1224"/>
      <c r="Q43" s="95"/>
      <c r="R43" s="96"/>
    </row>
    <row r="44" spans="1:6">
      <c r="A44" s="1227"/>
      <c r="B44" s="1228"/>
      <c r="E44" s="1229"/>
      <c r="F44" s="1229"/>
    </row>
    <row r="45" spans="16:18">
      <c r="P45" s="1230"/>
      <c r="Q45" s="1230"/>
      <c r="R45" s="1230"/>
    </row>
    <row r="48" spans="1:18">
      <c r="A48" s="1230"/>
      <c r="B48" s="1231"/>
      <c r="D48" s="1230"/>
      <c r="E48" s="1230"/>
      <c r="F48" s="1230"/>
      <c r="G48" s="1230"/>
      <c r="H48" s="1230"/>
      <c r="I48" s="1230"/>
      <c r="J48" s="1230"/>
      <c r="K48" s="1230"/>
      <c r="L48" s="1230"/>
      <c r="M48" s="1230"/>
      <c r="N48" s="1230"/>
      <c r="O48" s="1230"/>
      <c r="P48" s="1230"/>
      <c r="Q48" s="1230"/>
      <c r="R48" s="1230"/>
    </row>
  </sheetData>
  <mergeCells count="147">
    <mergeCell ref="A1:R1"/>
    <mergeCell ref="A2:R2"/>
    <mergeCell ref="B3:D3"/>
    <mergeCell ref="E3:F3"/>
    <mergeCell ref="B4:D4"/>
    <mergeCell ref="E4:F4"/>
    <mergeCell ref="C5:D5"/>
    <mergeCell ref="E5:F5"/>
    <mergeCell ref="H5:I5"/>
    <mergeCell ref="O5:P5"/>
    <mergeCell ref="C6:D6"/>
    <mergeCell ref="E6:F6"/>
    <mergeCell ref="H6:I6"/>
    <mergeCell ref="O6:P6"/>
    <mergeCell ref="C7:D7"/>
    <mergeCell ref="E7:F7"/>
    <mergeCell ref="H7:I7"/>
    <mergeCell ref="O7:P7"/>
    <mergeCell ref="C8:D8"/>
    <mergeCell ref="E8:F8"/>
    <mergeCell ref="H8:I8"/>
    <mergeCell ref="O8:P8"/>
    <mergeCell ref="E9:F9"/>
    <mergeCell ref="H9:I9"/>
    <mergeCell ref="O9:P9"/>
    <mergeCell ref="C10:D10"/>
    <mergeCell ref="E10:F10"/>
    <mergeCell ref="H10:I10"/>
    <mergeCell ref="O10:P10"/>
    <mergeCell ref="C11:D11"/>
    <mergeCell ref="E11:F11"/>
    <mergeCell ref="H11:I11"/>
    <mergeCell ref="O11:P11"/>
    <mergeCell ref="C12:D12"/>
    <mergeCell ref="E12:F12"/>
    <mergeCell ref="H12:I12"/>
    <mergeCell ref="O12:P12"/>
    <mergeCell ref="C13:D13"/>
    <mergeCell ref="E13:F13"/>
    <mergeCell ref="H13:I13"/>
    <mergeCell ref="O13:P13"/>
    <mergeCell ref="C14:D14"/>
    <mergeCell ref="E14:F14"/>
    <mergeCell ref="H14:I14"/>
    <mergeCell ref="O14:P14"/>
    <mergeCell ref="C15:D15"/>
    <mergeCell ref="E15:F15"/>
    <mergeCell ref="H15:I15"/>
    <mergeCell ref="O15:P15"/>
    <mergeCell ref="C16:D16"/>
    <mergeCell ref="E16:F16"/>
    <mergeCell ref="H16:I16"/>
    <mergeCell ref="O16:P16"/>
    <mergeCell ref="C17:D17"/>
    <mergeCell ref="E17:F17"/>
    <mergeCell ref="O17:P17"/>
    <mergeCell ref="E18:F18"/>
    <mergeCell ref="H18:I18"/>
    <mergeCell ref="O18:P18"/>
    <mergeCell ref="C19:D19"/>
    <mergeCell ref="E19:F19"/>
    <mergeCell ref="H19:I19"/>
    <mergeCell ref="O19:P19"/>
    <mergeCell ref="C20:D20"/>
    <mergeCell ref="E20:F20"/>
    <mergeCell ref="H20:I20"/>
    <mergeCell ref="O20:P20"/>
    <mergeCell ref="C21:D21"/>
    <mergeCell ref="E21:F21"/>
    <mergeCell ref="H21:I21"/>
    <mergeCell ref="O21:P21"/>
    <mergeCell ref="C22:D22"/>
    <mergeCell ref="E22:F22"/>
    <mergeCell ref="H22:I22"/>
    <mergeCell ref="O22:P22"/>
    <mergeCell ref="C23:D23"/>
    <mergeCell ref="E23:F23"/>
    <mergeCell ref="H23:I23"/>
    <mergeCell ref="O23:P23"/>
    <mergeCell ref="O24:P24"/>
    <mergeCell ref="C25:D25"/>
    <mergeCell ref="E25:F25"/>
    <mergeCell ref="H25:I25"/>
    <mergeCell ref="O25:P25"/>
    <mergeCell ref="C26:D26"/>
    <mergeCell ref="E26:F26"/>
    <mergeCell ref="H26:I26"/>
    <mergeCell ref="O26:P26"/>
    <mergeCell ref="C27:D27"/>
    <mergeCell ref="H27:I27"/>
    <mergeCell ref="C28:D28"/>
    <mergeCell ref="E28:F28"/>
    <mergeCell ref="H28:I28"/>
    <mergeCell ref="O28:P28"/>
    <mergeCell ref="C29:D29"/>
    <mergeCell ref="E29:F29"/>
    <mergeCell ref="H29:I29"/>
    <mergeCell ref="O29:P29"/>
    <mergeCell ref="C30:D30"/>
    <mergeCell ref="E30:F30"/>
    <mergeCell ref="H30:I30"/>
    <mergeCell ref="O30:P30"/>
    <mergeCell ref="C31:D31"/>
    <mergeCell ref="E31:F31"/>
    <mergeCell ref="H31:I31"/>
    <mergeCell ref="O31:P31"/>
    <mergeCell ref="C32:D32"/>
    <mergeCell ref="E32:F32"/>
    <mergeCell ref="H32:I32"/>
    <mergeCell ref="O32:P32"/>
    <mergeCell ref="C33:D33"/>
    <mergeCell ref="E33:F33"/>
    <mergeCell ref="H33:I33"/>
    <mergeCell ref="O33:P33"/>
    <mergeCell ref="C34:D34"/>
    <mergeCell ref="E34:F34"/>
    <mergeCell ref="H34:I34"/>
    <mergeCell ref="O34:P34"/>
    <mergeCell ref="C35:D35"/>
    <mergeCell ref="E35:F35"/>
    <mergeCell ref="H35:I35"/>
    <mergeCell ref="O35:P35"/>
    <mergeCell ref="C36:D36"/>
    <mergeCell ref="E36:F36"/>
    <mergeCell ref="H36:I36"/>
    <mergeCell ref="O36:P36"/>
    <mergeCell ref="C38:D38"/>
    <mergeCell ref="E38:F38"/>
    <mergeCell ref="H38:I38"/>
    <mergeCell ref="O38:P38"/>
    <mergeCell ref="C39:D39"/>
    <mergeCell ref="E39:F39"/>
    <mergeCell ref="H39:I39"/>
    <mergeCell ref="O39:P39"/>
    <mergeCell ref="C40:D40"/>
    <mergeCell ref="E40:F40"/>
    <mergeCell ref="H40:I40"/>
    <mergeCell ref="O40:P40"/>
    <mergeCell ref="C42:D42"/>
    <mergeCell ref="E42:F42"/>
    <mergeCell ref="H42:I42"/>
    <mergeCell ref="O42:P42"/>
    <mergeCell ref="C43:D43"/>
    <mergeCell ref="E43:F43"/>
    <mergeCell ref="H43:I43"/>
    <mergeCell ref="O43:P43"/>
    <mergeCell ref="E44:F44"/>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92D050"/>
    <pageSetUpPr fitToPage="1"/>
  </sheetPr>
  <dimension ref="A1:P32"/>
  <sheetViews>
    <sheetView zoomScale="115" zoomScaleNormal="115" workbookViewId="0">
      <pane xSplit="2" topLeftCell="C1" activePane="topRight" state="frozen"/>
      <selection/>
      <selection pane="topRight" activeCell="G18" sqref="G18"/>
    </sheetView>
  </sheetViews>
  <sheetFormatPr defaultColWidth="9" defaultRowHeight="15"/>
  <cols>
    <col min="1" max="1" width="3.57142857142857" customWidth="1"/>
    <col min="2" max="2" width="19.1428571428571" customWidth="1"/>
    <col min="3" max="3" width="14.7142857142857" customWidth="1"/>
    <col min="4" max="4" width="8.57142857142857" customWidth="1"/>
    <col min="5" max="5" width="14.7142857142857" customWidth="1"/>
    <col min="6" max="6" width="7.71428571428571" customWidth="1"/>
    <col min="7" max="7" width="14.7142857142857" customWidth="1"/>
    <col min="8" max="8" width="8.71428571428571" customWidth="1"/>
    <col min="9" max="9" width="14.7142857142857" customWidth="1"/>
    <col min="10" max="10" width="7.71428571428571" customWidth="1"/>
    <col min="11" max="11" width="14.7142857142857" customWidth="1"/>
    <col min="12" max="12" width="8.57142857142857" customWidth="1"/>
    <col min="13" max="13" width="14.7142857142857" customWidth="1"/>
    <col min="14" max="14" width="7.71428571428571" customWidth="1"/>
    <col min="15" max="15" width="14.7142857142857" customWidth="1"/>
    <col min="16" max="16" width="14.5714285714286" customWidth="1"/>
    <col min="17" max="17" width="6.42857142857143" customWidth="1"/>
    <col min="18" max="19" width="5.57142857142857" customWidth="1"/>
    <col min="20" max="20" width="6" customWidth="1"/>
    <col min="21" max="22" width="6.42857142857143" customWidth="1"/>
  </cols>
  <sheetData>
    <row r="1" ht="57.75" customHeight="1" spans="2:15">
      <c r="B1" s="1057"/>
      <c r="C1" s="1058"/>
      <c r="D1" s="991" t="s">
        <v>100</v>
      </c>
      <c r="E1" s="991"/>
      <c r="F1" s="991"/>
      <c r="G1" s="991"/>
      <c r="H1" s="1059"/>
      <c r="I1" s="1059"/>
      <c r="J1" s="1059"/>
      <c r="K1" s="1103"/>
      <c r="L1" s="1059"/>
      <c r="M1" s="1059"/>
      <c r="N1" s="1059"/>
      <c r="O1" s="1103"/>
    </row>
    <row r="2" ht="16.5" spans="1:15">
      <c r="A2" s="1060"/>
      <c r="B2" s="1061">
        <f ca="1">TODAY()</f>
        <v>45805</v>
      </c>
      <c r="C2" s="1062"/>
      <c r="D2" s="1063" t="s">
        <v>101</v>
      </c>
      <c r="E2" s="1064"/>
      <c r="F2" s="1064"/>
      <c r="G2" s="1065"/>
      <c r="H2" s="1063" t="s">
        <v>102</v>
      </c>
      <c r="I2" s="1064"/>
      <c r="J2" s="1064"/>
      <c r="K2" s="1065"/>
      <c r="L2" s="1063" t="s">
        <v>103</v>
      </c>
      <c r="M2" s="1064"/>
      <c r="N2" s="1064"/>
      <c r="O2" s="1065"/>
    </row>
    <row r="3" s="502" customFormat="1" ht="27" spans="1:16">
      <c r="A3" s="1066"/>
      <c r="B3" s="1067"/>
      <c r="C3" s="1068" t="s">
        <v>104</v>
      </c>
      <c r="D3" s="1069" t="s">
        <v>105</v>
      </c>
      <c r="E3" s="1070" t="s">
        <v>106</v>
      </c>
      <c r="F3" s="1070" t="s">
        <v>38</v>
      </c>
      <c r="G3" s="1070" t="s">
        <v>107</v>
      </c>
      <c r="H3" s="1071" t="s">
        <v>105</v>
      </c>
      <c r="I3" s="1104" t="s">
        <v>108</v>
      </c>
      <c r="J3" s="1070" t="s">
        <v>38</v>
      </c>
      <c r="K3" s="1105" t="s">
        <v>109</v>
      </c>
      <c r="L3" s="1071" t="s">
        <v>105</v>
      </c>
      <c r="M3" s="1104" t="s">
        <v>108</v>
      </c>
      <c r="N3" s="1070" t="s">
        <v>38</v>
      </c>
      <c r="O3" s="1106" t="s">
        <v>109</v>
      </c>
      <c r="P3" s="1107" t="s">
        <v>110</v>
      </c>
    </row>
    <row r="4" s="1056" customFormat="1" ht="15.6" customHeight="1" spans="1:16">
      <c r="A4" s="1072"/>
      <c r="B4" s="1073" t="s">
        <v>111</v>
      </c>
      <c r="C4" s="1074" t="s">
        <v>26</v>
      </c>
      <c r="D4" s="1075">
        <f ca="1">DAYS360(E4,TODAY())</f>
        <v>558</v>
      </c>
      <c r="E4" s="1076">
        <v>45240</v>
      </c>
      <c r="F4" s="1077"/>
      <c r="G4" s="1008">
        <f>EDATE(E4,12)</f>
        <v>45606</v>
      </c>
      <c r="H4" s="1078">
        <f ca="1" t="shared" ref="H4:H15" si="0">DAYS360(I4,TODAY())</f>
        <v>558</v>
      </c>
      <c r="I4" s="1108">
        <v>45240</v>
      </c>
      <c r="J4" s="1077"/>
      <c r="K4" s="1109">
        <f>EDATE(I4,12)</f>
        <v>45606</v>
      </c>
      <c r="L4" s="1078">
        <f ca="1" t="shared" ref="L4:L15" si="1">DAYS360(M4,TODAY())</f>
        <v>996</v>
      </c>
      <c r="M4" s="1108">
        <v>44795</v>
      </c>
      <c r="N4" s="1077"/>
      <c r="O4" s="1109">
        <f>EDATE(M4,6)</f>
        <v>44979</v>
      </c>
      <c r="P4" s="1110" t="e" cm="1">
        <f ca="1" t="array" ref="P4">DAYS180(E4,I4,M4,TODAY())</f>
        <v>#NAME?</v>
      </c>
    </row>
    <row r="5" ht="15.6" customHeight="1" spans="1:16">
      <c r="A5" s="1072"/>
      <c r="B5" s="1079" t="s">
        <v>112</v>
      </c>
      <c r="C5" s="1080" t="s">
        <v>25</v>
      </c>
      <c r="D5" s="1081">
        <f ca="1" t="shared" ref="D5:D15" si="2">DAYS360(E5,TODAY())</f>
        <v>291</v>
      </c>
      <c r="E5" s="1082">
        <v>45511</v>
      </c>
      <c r="F5" s="1083"/>
      <c r="G5" s="1084">
        <f>EDATE(E5,12)</f>
        <v>45876</v>
      </c>
      <c r="H5" s="1085">
        <f ca="1" t="shared" si="0"/>
        <v>676</v>
      </c>
      <c r="I5" s="1082">
        <v>45119</v>
      </c>
      <c r="J5" s="1083"/>
      <c r="K5" s="1111">
        <f>EDATE(I5,12)</f>
        <v>45485</v>
      </c>
      <c r="L5" s="1085">
        <f ca="1" t="shared" si="1"/>
        <v>835</v>
      </c>
      <c r="M5" s="1082">
        <v>44960</v>
      </c>
      <c r="N5" s="1083"/>
      <c r="O5" s="1111">
        <f>EDATE(M5,6)</f>
        <v>45141</v>
      </c>
      <c r="P5" s="1112">
        <f ca="1" t="shared" ref="P5:P15" si="3">DAYS360(Q5,TODAY())</f>
        <v>45148</v>
      </c>
    </row>
    <row r="6" ht="15.6" customHeight="1" spans="1:16">
      <c r="A6" s="1072"/>
      <c r="B6" s="1079" t="s">
        <v>113</v>
      </c>
      <c r="C6" s="1080" t="s">
        <v>27</v>
      </c>
      <c r="D6" s="1081">
        <f ca="1" t="shared" si="2"/>
        <v>296</v>
      </c>
      <c r="E6" s="1082">
        <v>45506</v>
      </c>
      <c r="F6" s="1083"/>
      <c r="G6" s="1084">
        <f>EDATE(E6,12)</f>
        <v>45871</v>
      </c>
      <c r="H6" s="1085">
        <f ca="1" t="shared" ref="H6" si="4">DAYS360(I6,TODAY())</f>
        <v>296</v>
      </c>
      <c r="I6" s="1082">
        <v>45506</v>
      </c>
      <c r="J6" s="1083"/>
      <c r="K6" s="1111">
        <f t="shared" ref="K6:K7" si="5">EDATE(I6,12)</f>
        <v>45871</v>
      </c>
      <c r="L6" s="1085">
        <f ca="1" t="shared" si="1"/>
        <v>984</v>
      </c>
      <c r="M6" s="1082">
        <v>44808</v>
      </c>
      <c r="N6" s="1083" t="s">
        <v>39</v>
      </c>
      <c r="O6" s="1111">
        <f>EDATE(M6,6)</f>
        <v>44989</v>
      </c>
      <c r="P6" s="1112">
        <f ca="1" t="shared" si="3"/>
        <v>45148</v>
      </c>
    </row>
    <row r="7" ht="15.6" customHeight="1" spans="1:16">
      <c r="A7" s="1072"/>
      <c r="B7" s="1079" t="s">
        <v>114</v>
      </c>
      <c r="C7" s="1080" t="s">
        <v>25</v>
      </c>
      <c r="D7" s="1081">
        <f ca="1" t="shared" si="2"/>
        <v>332</v>
      </c>
      <c r="E7" s="1082">
        <v>45469</v>
      </c>
      <c r="F7" s="1083"/>
      <c r="G7" s="1084">
        <f>EDATE(E7,12)</f>
        <v>45834</v>
      </c>
      <c r="H7" s="1085">
        <f ca="1" t="shared" si="0"/>
        <v>702</v>
      </c>
      <c r="I7" s="1082">
        <v>45093</v>
      </c>
      <c r="J7" s="1083"/>
      <c r="K7" s="1111">
        <f t="shared" si="5"/>
        <v>45459</v>
      </c>
      <c r="L7" s="1085">
        <f ca="1" t="shared" si="1"/>
        <v>865</v>
      </c>
      <c r="M7" s="1082">
        <v>44929</v>
      </c>
      <c r="N7" s="1083"/>
      <c r="O7" s="1111">
        <f t="shared" ref="O7:O14" si="6">EDATE(M7,6)</f>
        <v>45110</v>
      </c>
      <c r="P7" s="1112">
        <f ca="1" t="shared" si="3"/>
        <v>45148</v>
      </c>
    </row>
    <row r="8" ht="15.6" customHeight="1" spans="1:16">
      <c r="A8" s="1072"/>
      <c r="B8" s="1079" t="s">
        <v>115</v>
      </c>
      <c r="C8" s="1080" t="s">
        <v>25</v>
      </c>
      <c r="D8" s="1081">
        <f ca="1" t="shared" si="2"/>
        <v>290</v>
      </c>
      <c r="E8" s="1082">
        <v>45512</v>
      </c>
      <c r="F8" s="931"/>
      <c r="G8" s="1084">
        <f t="shared" ref="G8:G14" si="7">EDATE(E8,12)</f>
        <v>45877</v>
      </c>
      <c r="H8" s="1085">
        <f ca="1" t="shared" si="0"/>
        <v>679</v>
      </c>
      <c r="I8" s="1082">
        <v>45116</v>
      </c>
      <c r="J8" s="1083"/>
      <c r="K8" s="1111">
        <f t="shared" ref="K8:K14" si="8">EDATE(I8,12)</f>
        <v>45482</v>
      </c>
      <c r="L8" s="1085">
        <f ca="1" t="shared" si="1"/>
        <v>912</v>
      </c>
      <c r="M8" s="1082">
        <v>44881</v>
      </c>
      <c r="N8" s="1083"/>
      <c r="O8" s="1111">
        <f t="shared" si="6"/>
        <v>45062</v>
      </c>
      <c r="P8" s="1112">
        <f ca="1" t="shared" si="3"/>
        <v>45148</v>
      </c>
    </row>
    <row r="9" ht="15.6" customHeight="1" spans="1:16">
      <c r="A9" s="1072"/>
      <c r="B9" s="1079" t="s">
        <v>116</v>
      </c>
      <c r="C9" s="1080" t="s">
        <v>25</v>
      </c>
      <c r="D9" s="1086">
        <f ca="1" t="shared" si="2"/>
        <v>238</v>
      </c>
      <c r="E9" s="1082">
        <v>45565</v>
      </c>
      <c r="F9" s="1083"/>
      <c r="G9" s="1084">
        <f t="shared" si="7"/>
        <v>45930</v>
      </c>
      <c r="H9" s="1085">
        <f ca="1" t="shared" si="0"/>
        <v>603</v>
      </c>
      <c r="I9" s="1082">
        <v>45194</v>
      </c>
      <c r="J9" s="1083"/>
      <c r="K9" s="1111">
        <f t="shared" si="8"/>
        <v>45560</v>
      </c>
      <c r="L9" s="1085">
        <f ca="1" t="shared" si="1"/>
        <v>784</v>
      </c>
      <c r="M9" s="1082">
        <v>45009</v>
      </c>
      <c r="N9" s="1083"/>
      <c r="O9" s="1111">
        <f t="shared" si="6"/>
        <v>45193</v>
      </c>
      <c r="P9" s="1112">
        <f ca="1" t="shared" si="3"/>
        <v>45148</v>
      </c>
    </row>
    <row r="10" ht="15.6" customHeight="1" spans="1:16">
      <c r="A10" s="1072"/>
      <c r="B10" s="1079" t="s">
        <v>117</v>
      </c>
      <c r="C10" s="1080" t="s">
        <v>25</v>
      </c>
      <c r="D10" s="1087">
        <f ca="1" t="shared" si="2"/>
        <v>208</v>
      </c>
      <c r="E10" s="1082">
        <v>45595</v>
      </c>
      <c r="F10" s="1083"/>
      <c r="G10" s="1084">
        <f t="shared" si="7"/>
        <v>45960</v>
      </c>
      <c r="H10" s="1085">
        <f ca="1" t="shared" si="0"/>
        <v>208</v>
      </c>
      <c r="I10" s="1082">
        <v>45595</v>
      </c>
      <c r="J10" s="1083"/>
      <c r="K10" s="1111">
        <f t="shared" si="8"/>
        <v>45960</v>
      </c>
      <c r="L10" s="1085"/>
      <c r="M10" s="1082"/>
      <c r="N10" s="1083"/>
      <c r="O10" s="1111"/>
      <c r="P10" s="1112"/>
    </row>
    <row r="11" ht="15.6" customHeight="1" spans="1:16">
      <c r="A11" s="1072"/>
      <c r="B11" s="1079" t="s">
        <v>118</v>
      </c>
      <c r="C11" s="1080" t="s">
        <v>119</v>
      </c>
      <c r="D11" s="1088">
        <f ca="1" t="shared" si="2"/>
        <v>300</v>
      </c>
      <c r="E11" s="1082">
        <v>45501</v>
      </c>
      <c r="F11" s="1083"/>
      <c r="G11" s="1084">
        <f t="shared" si="7"/>
        <v>45866</v>
      </c>
      <c r="H11" s="1085">
        <f ca="1" t="shared" si="0"/>
        <v>300</v>
      </c>
      <c r="I11" s="1082">
        <v>45501</v>
      </c>
      <c r="J11" s="1083"/>
      <c r="K11" s="1111">
        <f t="shared" si="8"/>
        <v>45866</v>
      </c>
      <c r="L11" s="1085">
        <f ca="1" t="shared" si="1"/>
        <v>959</v>
      </c>
      <c r="M11" s="1082">
        <v>44833</v>
      </c>
      <c r="N11" s="1083"/>
      <c r="O11" s="1111">
        <f t="shared" si="6"/>
        <v>45014</v>
      </c>
      <c r="P11" s="1112">
        <f ca="1" t="shared" si="3"/>
        <v>45148</v>
      </c>
    </row>
    <row r="12" ht="15.6" customHeight="1" spans="1:16">
      <c r="A12" s="1072"/>
      <c r="B12" s="1079" t="s">
        <v>120</v>
      </c>
      <c r="C12" s="1080" t="s">
        <v>31</v>
      </c>
      <c r="D12" s="1089">
        <f ca="1" t="shared" si="2"/>
        <v>232</v>
      </c>
      <c r="E12" s="1082">
        <v>45571</v>
      </c>
      <c r="F12" s="1083"/>
      <c r="G12" s="1084">
        <f t="shared" si="7"/>
        <v>45936</v>
      </c>
      <c r="H12" s="1085">
        <f ca="1" t="shared" si="0"/>
        <v>232</v>
      </c>
      <c r="I12" s="1082">
        <v>45571</v>
      </c>
      <c r="J12" s="1083"/>
      <c r="K12" s="1111">
        <f t="shared" si="8"/>
        <v>45936</v>
      </c>
      <c r="L12" s="1085"/>
      <c r="M12" s="1082">
        <v>45571</v>
      </c>
      <c r="N12" s="1083"/>
      <c r="O12" s="1111"/>
      <c r="P12" s="1112"/>
    </row>
    <row r="13" ht="15.6" customHeight="1" spans="1:16">
      <c r="A13" s="1072"/>
      <c r="B13" s="1079" t="s">
        <v>121</v>
      </c>
      <c r="C13" s="1080" t="s">
        <v>27</v>
      </c>
      <c r="D13" s="1081">
        <f ca="1" t="shared" si="2"/>
        <v>507</v>
      </c>
      <c r="E13" s="1082">
        <v>45292</v>
      </c>
      <c r="F13" s="1083"/>
      <c r="G13" s="1084">
        <f t="shared" si="7"/>
        <v>45658</v>
      </c>
      <c r="H13" s="1085">
        <f ca="1" t="shared" ref="H13" si="9">DAYS360(I13,TODAY())</f>
        <v>847</v>
      </c>
      <c r="I13" s="1082">
        <v>44947</v>
      </c>
      <c r="J13" s="1083"/>
      <c r="K13" s="1111">
        <f t="shared" si="8"/>
        <v>45312</v>
      </c>
      <c r="L13" s="1085">
        <f ca="1" t="shared" si="1"/>
        <v>1089</v>
      </c>
      <c r="M13" s="1082">
        <v>44700</v>
      </c>
      <c r="N13" s="1083"/>
      <c r="O13" s="1111">
        <f t="shared" si="6"/>
        <v>44884</v>
      </c>
      <c r="P13" s="1112">
        <f ca="1" t="shared" si="3"/>
        <v>45148</v>
      </c>
    </row>
    <row r="14" ht="15.6" customHeight="1" spans="1:16">
      <c r="A14" s="1072"/>
      <c r="B14" s="1079" t="s">
        <v>122</v>
      </c>
      <c r="C14" s="1080" t="s">
        <v>27</v>
      </c>
      <c r="D14" s="1081">
        <f ca="1" t="shared" si="2"/>
        <v>273</v>
      </c>
      <c r="E14" s="1082">
        <v>45529</v>
      </c>
      <c r="F14" s="1083"/>
      <c r="G14" s="1084">
        <f t="shared" si="7"/>
        <v>45894</v>
      </c>
      <c r="H14" s="1085">
        <f ca="1" t="shared" si="0"/>
        <v>273</v>
      </c>
      <c r="I14" s="1082">
        <v>45529</v>
      </c>
      <c r="J14" s="1083"/>
      <c r="K14" s="1111">
        <f t="shared" si="8"/>
        <v>45894</v>
      </c>
      <c r="L14" s="1085">
        <f ca="1" t="shared" si="1"/>
        <v>878</v>
      </c>
      <c r="M14" s="1082">
        <v>44915</v>
      </c>
      <c r="N14" s="1083"/>
      <c r="O14" s="1111">
        <f t="shared" si="6"/>
        <v>45097</v>
      </c>
      <c r="P14" s="1112">
        <f ca="1" t="shared" si="3"/>
        <v>45148</v>
      </c>
    </row>
    <row r="15" ht="15.6" customHeight="1" spans="1:16">
      <c r="A15" s="1072"/>
      <c r="B15" s="1079" t="s">
        <v>123</v>
      </c>
      <c r="C15" s="1090"/>
      <c r="D15" s="1091">
        <f ca="1" t="shared" si="2"/>
        <v>45148</v>
      </c>
      <c r="E15" s="1092"/>
      <c r="F15" s="1093"/>
      <c r="G15" s="1094"/>
      <c r="H15" s="1095">
        <f ca="1" t="shared" si="0"/>
        <v>45148</v>
      </c>
      <c r="I15" s="1092"/>
      <c r="J15" s="1093"/>
      <c r="K15" s="1113"/>
      <c r="L15" s="1095">
        <f ca="1" t="shared" si="1"/>
        <v>45148</v>
      </c>
      <c r="M15" s="1092"/>
      <c r="N15" s="1093"/>
      <c r="O15" s="1113"/>
      <c r="P15" s="1114">
        <f ca="1" t="shared" si="3"/>
        <v>45148</v>
      </c>
    </row>
    <row r="16" spans="4:4">
      <c r="D16" t="s">
        <v>124</v>
      </c>
    </row>
    <row r="17" spans="2:5">
      <c r="B17" s="1096"/>
      <c r="C17" s="1096"/>
      <c r="D17" s="1096"/>
      <c r="E17" s="1096"/>
    </row>
    <row r="20" spans="8:8">
      <c r="H20" s="1097"/>
    </row>
    <row r="25" spans="5:6">
      <c r="E25" s="502"/>
      <c r="F25" s="502"/>
    </row>
    <row r="26" spans="3:11">
      <c r="C26" s="1098"/>
      <c r="D26" s="1098"/>
      <c r="E26" s="1099"/>
      <c r="F26" s="1100"/>
      <c r="G26" s="1101"/>
      <c r="H26" s="1101"/>
      <c r="I26" s="1115"/>
      <c r="J26" s="1115"/>
      <c r="K26" s="1115"/>
    </row>
    <row r="27" spans="8:8">
      <c r="H27" s="1102"/>
    </row>
    <row r="28" spans="8:8">
      <c r="H28" s="1097"/>
    </row>
    <row r="29" spans="8:8">
      <c r="H29" s="1102"/>
    </row>
    <row r="30" spans="8:8">
      <c r="H30" s="1102"/>
    </row>
    <row r="31" spans="8:8">
      <c r="H31" s="1102"/>
    </row>
    <row r="32" spans="8:8">
      <c r="H32" s="1102"/>
    </row>
  </sheetData>
  <sheetProtection algorithmName="SHA-512" hashValue="8R3u7EI+xhO867ZP1MKOn711tXz8/L4/lXrhmW6BF/Kt0ndaX4QFAoxlPiG31113/NKVp+gyAtwlDR4HNFQMJg==" saltValue="Eq/FFbQ1JwIPrHa9u+mmbQ==" spinCount="100000" sheet="1" objects="1" scenarios="1"/>
  <autoFilter xmlns:etc="http://www.wps.cn/officeDocument/2017/etCustomData" ref="A1:K16" etc:filterBottomFollowUsedRange="0">
    <filterColumn colId="0">
      <customFilters>
        <customFilter operator="equal" val=""/>
        <customFilter operator="equal" val="ECP"/>
      </customFilters>
    </filterColumn>
    <extLst/>
  </autoFilter>
  <mergeCells count="5">
    <mergeCell ref="D1:G1"/>
    <mergeCell ref="D2:G2"/>
    <mergeCell ref="H2:K2"/>
    <mergeCell ref="L2:O2"/>
    <mergeCell ref="A3:A15"/>
  </mergeCells>
  <conditionalFormatting sqref="D3:P3">
    <cfRule type="containsText" dxfId="0" priority="95" operator="between" text="Expired">
      <formula>NOT(ISERROR(SEARCH("Expired",D3)))</formula>
    </cfRule>
    <cfRule type="containsText" dxfId="1" priority="94" operator="between" text="Valid">
      <formula>NOT(ISERROR(SEARCH("Valid",D3)))</formula>
    </cfRule>
    <cfRule type="containsText" dxfId="2" priority="93" operator="between" text="Valid">
      <formula>NOT(ISERROR(SEARCH("Valid",D3)))</formula>
    </cfRule>
  </conditionalFormatting>
  <conditionalFormatting sqref="D4">
    <cfRule type="iconSet" priority="333">
      <iconSet iconSet="4TrafficLights" reverse="1">
        <cfvo type="percent" val="0"/>
        <cfvo type="num" val="330"/>
        <cfvo type="num" val="360"/>
        <cfvo type="num" val="450"/>
      </iconSet>
    </cfRule>
  </conditionalFormatting>
  <conditionalFormatting sqref="D5">
    <cfRule type="iconSet" priority="378">
      <iconSet iconSet="4TrafficLights" reverse="1">
        <cfvo type="percent" val="0"/>
        <cfvo type="num" val="330"/>
        <cfvo type="num" val="360"/>
        <cfvo type="num" val="450"/>
      </iconSet>
    </cfRule>
  </conditionalFormatting>
  <conditionalFormatting sqref="G5">
    <cfRule type="containsText" dxfId="0" priority="383" operator="between" text="Expired">
      <formula>NOT(ISERROR(SEARCH("Expired",G5)))</formula>
    </cfRule>
    <cfRule type="containsText" dxfId="1" priority="382" operator="between" text="Valid">
      <formula>NOT(ISERROR(SEARCH("Valid",G5)))</formula>
    </cfRule>
    <cfRule type="containsText" dxfId="2" priority="381" operator="between" text="Valid">
      <formula>NOT(ISERROR(SEARCH("Valid",G5)))</formula>
    </cfRule>
    <cfRule type="containsText" dxfId="3" priority="380" operator="between" text="Valid">
      <formula>NOT(ISERROR(SEARCH("Valid",G5)))</formula>
    </cfRule>
  </conditionalFormatting>
  <conditionalFormatting sqref="D6">
    <cfRule type="iconSet" priority="302">
      <iconSet iconSet="4TrafficLights" reverse="1">
        <cfvo type="percent" val="0"/>
        <cfvo type="num" val="330"/>
        <cfvo type="num" val="360"/>
        <cfvo type="num" val="450"/>
      </iconSet>
    </cfRule>
  </conditionalFormatting>
  <conditionalFormatting sqref="H6">
    <cfRule type="iconSet" priority="311">
      <iconSet iconSet="4TrafficLights" reverse="1">
        <cfvo type="percent" val="0"/>
        <cfvo type="num" val="330"/>
        <cfvo type="num" val="360"/>
        <cfvo type="num" val="450"/>
      </iconSet>
    </cfRule>
  </conditionalFormatting>
  <conditionalFormatting sqref="L6">
    <cfRule type="iconSet" priority="102">
      <iconSet iconSet="4TrafficLights" reverse="1">
        <cfvo type="percent" val="0"/>
        <cfvo type="num" val="330"/>
        <cfvo type="num" val="360"/>
        <cfvo type="num" val="450"/>
      </iconSet>
    </cfRule>
  </conditionalFormatting>
  <conditionalFormatting sqref="P6">
    <cfRule type="iconSet" priority="34">
      <iconSet iconSet="4TrafficLights" reverse="1">
        <cfvo type="percent" val="0"/>
        <cfvo type="num" val="330"/>
        <cfvo type="num" val="360"/>
        <cfvo type="num" val="450"/>
      </iconSet>
    </cfRule>
  </conditionalFormatting>
  <conditionalFormatting sqref="D7">
    <cfRule type="iconSet" priority="434">
      <iconSet iconSet="4TrafficLights" reverse="1">
        <cfvo type="percent" val="0"/>
        <cfvo type="num" val="330"/>
        <cfvo type="num" val="360"/>
        <cfvo type="num" val="450"/>
      </iconSet>
    </cfRule>
  </conditionalFormatting>
  <conditionalFormatting sqref="G7">
    <cfRule type="containsText" dxfId="3" priority="436" operator="between" text="Valid">
      <formula>NOT(ISERROR(SEARCH("Valid",G7)))</formula>
    </cfRule>
    <cfRule type="containsText" dxfId="2" priority="437" operator="between" text="Valid">
      <formula>NOT(ISERROR(SEARCH("Valid",G7)))</formula>
    </cfRule>
    <cfRule type="containsText" dxfId="1" priority="438" operator="between" text="Valid">
      <formula>NOT(ISERROR(SEARCH("Valid",G7)))</formula>
    </cfRule>
    <cfRule type="containsText" dxfId="0" priority="439" operator="between" text="Expired">
      <formula>NOT(ISERROR(SEARCH("Expired",G7)))</formula>
    </cfRule>
  </conditionalFormatting>
  <conditionalFormatting sqref="D10">
    <cfRule type="iconSet" priority="10">
      <iconSet iconSet="4TrafficLights" reverse="1">
        <cfvo type="percent" val="0"/>
        <cfvo type="num" val="330"/>
        <cfvo type="num" val="360"/>
        <cfvo type="num" val="450"/>
      </iconSet>
    </cfRule>
  </conditionalFormatting>
  <conditionalFormatting sqref="D11">
    <cfRule type="iconSet" priority="361">
      <iconSet iconSet="4TrafficLights" reverse="1">
        <cfvo type="percent" val="0"/>
        <cfvo type="num" val="330"/>
        <cfvo type="num" val="360"/>
        <cfvo type="num" val="450"/>
      </iconSet>
    </cfRule>
  </conditionalFormatting>
  <conditionalFormatting sqref="D12">
    <cfRule type="iconSet" priority="9">
      <iconSet iconSet="4TrafficLights" reverse="1">
        <cfvo type="percent" val="0"/>
        <cfvo type="num" val="330"/>
        <cfvo type="num" val="360"/>
        <cfvo type="num" val="450"/>
      </iconSet>
    </cfRule>
  </conditionalFormatting>
  <conditionalFormatting sqref="D13">
    <cfRule type="iconSet" priority="292">
      <iconSet iconSet="4TrafficLights" reverse="1">
        <cfvo type="percent" val="0"/>
        <cfvo type="num" val="330"/>
        <cfvo type="num" val="360"/>
        <cfvo type="num" val="450"/>
      </iconSet>
    </cfRule>
  </conditionalFormatting>
  <conditionalFormatting sqref="H13">
    <cfRule type="iconSet" priority="297">
      <iconSet iconSet="4TrafficLights" reverse="1">
        <cfvo type="percent" val="0"/>
        <cfvo type="num" val="330"/>
        <cfvo type="num" val="360"/>
        <cfvo type="num" val="450"/>
      </iconSet>
    </cfRule>
  </conditionalFormatting>
  <conditionalFormatting sqref="L13">
    <cfRule type="iconSet" priority="97">
      <iconSet iconSet="4TrafficLights" reverse="1">
        <cfvo type="percent" val="0"/>
        <cfvo type="num" val="330"/>
        <cfvo type="num" val="360"/>
        <cfvo type="num" val="450"/>
      </iconSet>
    </cfRule>
  </conditionalFormatting>
  <conditionalFormatting sqref="P13">
    <cfRule type="iconSet" priority="33">
      <iconSet iconSet="4TrafficLights" reverse="1">
        <cfvo type="percent" val="0"/>
        <cfvo type="num" val="330"/>
        <cfvo type="num" val="360"/>
        <cfvo type="num" val="450"/>
      </iconSet>
    </cfRule>
  </conditionalFormatting>
  <conditionalFormatting sqref="D15">
    <cfRule type="iconSet" priority="420">
      <iconSet iconSet="4TrafficLights" reverse="1">
        <cfvo type="percent" val="0"/>
        <cfvo type="num" val="330"/>
        <cfvo type="num" val="360"/>
        <cfvo type="num" val="450"/>
      </iconSet>
    </cfRule>
  </conditionalFormatting>
  <conditionalFormatting sqref="G15">
    <cfRule type="containsText" dxfId="3" priority="335" operator="between" text="Valid">
      <formula>NOT(ISERROR(SEARCH("Valid",G15)))</formula>
    </cfRule>
  </conditionalFormatting>
  <conditionalFormatting sqref="H32">
    <cfRule type="iconSet" priority="312">
      <iconSet iconSet="3TrafficLights2">
        <cfvo type="percent" val="0"/>
        <cfvo type="percent" val="33"/>
        <cfvo type="percent" val="67"/>
      </iconSet>
    </cfRule>
  </conditionalFormatting>
  <conditionalFormatting sqref="B6:B7">
    <cfRule type="containsText" dxfId="1" priority="309" operator="between" text="Valid">
      <formula>NOT(ISERROR(SEARCH("Valid",B6)))</formula>
    </cfRule>
    <cfRule type="containsText" dxfId="2" priority="308" operator="between" text="Valid">
      <formula>NOT(ISERROR(SEARCH("Valid",B6)))</formula>
    </cfRule>
    <cfRule type="containsText" dxfId="0" priority="310" operator="between" text="Expired">
      <formula>NOT(ISERROR(SEARCH("Expired",B6)))</formula>
    </cfRule>
  </conditionalFormatting>
  <conditionalFormatting sqref="B13:B15">
    <cfRule type="containsText" dxfId="2" priority="179" operator="between" text="Valid">
      <formula>NOT(ISERROR(SEARCH("Valid",B13)))</formula>
    </cfRule>
    <cfRule type="containsText" dxfId="0" priority="181" operator="between" text="Expired">
      <formula>NOT(ISERROR(SEARCH("Expired",B13)))</formula>
    </cfRule>
    <cfRule type="containsText" dxfId="1" priority="180" operator="between" text="Valid">
      <formula>NOT(ISERROR(SEARCH("Valid",B13)))</formula>
    </cfRule>
  </conditionalFormatting>
  <conditionalFormatting sqref="G9:G15">
    <cfRule type="containsText" dxfId="3" priority="422" operator="between" text="Valid">
      <formula>NOT(ISERROR(SEARCH("Valid",G9)))</formula>
    </cfRule>
    <cfRule type="containsText" dxfId="2" priority="423" operator="between" text="Valid">
      <formula>NOT(ISERROR(SEARCH("Valid",G9)))</formula>
    </cfRule>
    <cfRule type="containsText" dxfId="0" priority="425" operator="between" text="Expired">
      <formula>NOT(ISERROR(SEARCH("Expired",G9)))</formula>
    </cfRule>
    <cfRule type="containsText" dxfId="1" priority="424" operator="between" text="Valid">
      <formula>NOT(ISERROR(SEARCH("Valid",G9)))</formula>
    </cfRule>
  </conditionalFormatting>
  <conditionalFormatting sqref="G11:G13">
    <cfRule type="containsText" dxfId="1" priority="295" operator="between" text="Valid">
      <formula>NOT(ISERROR(SEARCH("Valid",G11)))</formula>
    </cfRule>
    <cfRule type="containsText" dxfId="0" priority="296" operator="between" text="Expired">
      <formula>NOT(ISERROR(SEARCH("Expired",G11)))</formula>
    </cfRule>
    <cfRule type="containsText" dxfId="3" priority="293" operator="between" text="Valid">
      <formula>NOT(ISERROR(SEARCH("Valid",G11)))</formula>
    </cfRule>
    <cfRule type="containsText" dxfId="2" priority="294" operator="between" text="Valid">
      <formula>NOT(ISERROR(SEARCH("Valid",G11)))</formula>
    </cfRule>
  </conditionalFormatting>
  <conditionalFormatting sqref="B3:B12 G15">
    <cfRule type="containsText" dxfId="0" priority="338" operator="between" text="Expired">
      <formula>NOT(ISERROR(SEARCH("Expired",B3)))</formula>
    </cfRule>
    <cfRule type="containsText" dxfId="1" priority="337" operator="between" text="Valid">
      <formula>NOT(ISERROR(SEARCH("Valid",B3)))</formula>
    </cfRule>
  </conditionalFormatting>
  <conditionalFormatting sqref="G15 B3:B12">
    <cfRule type="containsText" dxfId="2" priority="336" operator="between" text="Valid">
      <formula>NOT(ISERROR(SEARCH("Valid",B3)))</formula>
    </cfRule>
  </conditionalFormatting>
  <conditionalFormatting sqref="E4:G8">
    <cfRule type="containsText" dxfId="3" priority="194" operator="between" text="Valid">
      <formula>NOT(ISERROR(SEARCH("Valid",E4)))</formula>
    </cfRule>
    <cfRule type="containsText" dxfId="2" priority="195" operator="between" text="Valid">
      <formula>NOT(ISERROR(SEARCH("Valid",E4)))</formula>
    </cfRule>
    <cfRule type="containsText" dxfId="1" priority="196" operator="between" text="Valid">
      <formula>NOT(ISERROR(SEARCH("Valid",E4)))</formula>
    </cfRule>
    <cfRule type="containsText" dxfId="0" priority="197" operator="between" text="Expired">
      <formula>NOT(ISERROR(SEARCH("Expired",E4)))</formula>
    </cfRule>
  </conditionalFormatting>
  <conditionalFormatting sqref="H14:H15 H4:H5 H7:H12">
    <cfRule type="iconSet" priority="1002">
      <iconSet iconSet="4TrafficLights" reverse="1">
        <cfvo type="percent" val="0"/>
        <cfvo type="num" val="330"/>
        <cfvo type="num" val="360"/>
        <cfvo type="num" val="450"/>
      </iconSet>
    </cfRule>
  </conditionalFormatting>
  <conditionalFormatting sqref="I4:K15">
    <cfRule type="containsText" dxfId="0" priority="14" operator="between" text="Expired">
      <formula>NOT(ISERROR(SEARCH("Expired",I4)))</formula>
    </cfRule>
    <cfRule type="containsText" dxfId="1" priority="13" operator="between" text="Valid">
      <formula>NOT(ISERROR(SEARCH("Valid",I4)))</formula>
    </cfRule>
    <cfRule type="containsText" dxfId="2" priority="12" operator="between" text="Valid">
      <formula>NOT(ISERROR(SEARCH("Valid",I4)))</formula>
    </cfRule>
    <cfRule type="containsText" dxfId="3" priority="11" operator="between" text="Valid">
      <formula>NOT(ISERROR(SEARCH("Valid",I4)))</formula>
    </cfRule>
  </conditionalFormatting>
  <conditionalFormatting sqref="L14:L15 L4:L5 L7:L12">
    <cfRule type="iconSet" priority="108">
      <iconSet iconSet="4TrafficLights" reverse="1">
        <cfvo type="percent" val="0"/>
        <cfvo type="num" val="330"/>
        <cfvo type="num" val="360"/>
        <cfvo type="num" val="450"/>
      </iconSet>
    </cfRule>
  </conditionalFormatting>
  <conditionalFormatting sqref="M4:O15">
    <cfRule type="containsText" dxfId="0" priority="26" operator="between" text="Expired">
      <formula>NOT(ISERROR(SEARCH("Expired",M4)))</formula>
    </cfRule>
    <cfRule type="containsText" dxfId="2" priority="24" operator="between" text="Valid">
      <formula>NOT(ISERROR(SEARCH("Valid",M4)))</formula>
    </cfRule>
    <cfRule type="containsText" dxfId="3" priority="23" operator="between" text="Valid">
      <formula>NOT(ISERROR(SEARCH("Valid",M4)))</formula>
    </cfRule>
    <cfRule type="containsText" dxfId="1" priority="25" operator="between" text="Valid">
      <formula>NOT(ISERROR(SEARCH("Valid",M4)))</formula>
    </cfRule>
  </conditionalFormatting>
  <conditionalFormatting sqref="P14:P15 P4:P5 P7:P12">
    <cfRule type="iconSet" priority="35">
      <iconSet iconSet="4TrafficLights" reverse="1">
        <cfvo type="percent" val="0"/>
        <cfvo type="num" val="330"/>
        <cfvo type="num" val="360"/>
        <cfvo type="num" val="450"/>
      </iconSet>
    </cfRule>
  </conditionalFormatting>
  <conditionalFormatting sqref="D14 D8:D9">
    <cfRule type="iconSet" priority="1000">
      <iconSet iconSet="4TrafficLights" reverse="1">
        <cfvo type="percent" val="0"/>
        <cfvo type="num" val="330"/>
        <cfvo type="num" val="360"/>
        <cfvo type="num" val="450"/>
      </iconSet>
    </cfRule>
  </conditionalFormatting>
  <conditionalFormatting sqref="E9:F15">
    <cfRule type="containsText" dxfId="1" priority="115" operator="between" text="Valid">
      <formula>NOT(ISERROR(SEARCH("Valid",E9)))</formula>
    </cfRule>
    <cfRule type="containsText" dxfId="0" priority="116" operator="between" text="Expired">
      <formula>NOT(ISERROR(SEARCH("Expired",E9)))</formula>
    </cfRule>
    <cfRule type="containsText" dxfId="3" priority="113" operator="between" text="Valid">
      <formula>NOT(ISERROR(SEARCH("Valid",E9)))</formula>
    </cfRule>
    <cfRule type="containsText" dxfId="2" priority="114" operator="between" text="Valid">
      <formula>NOT(ISERROR(SEARCH("Valid",E9)))</formula>
    </cfRule>
  </conditionalFormatting>
  <dataValidations count="2">
    <dataValidation type="list" allowBlank="1" showInputMessage="1" showErrorMessage="1" sqref="F7 F15 F4:F5 F9:F13 J4:J15 N4:N15">
      <formula1>Guide!$A$56</formula1>
    </dataValidation>
    <dataValidation type="list" allowBlank="1" showInputMessage="1" sqref="C4:C15">
      <formula1>MarineSuperintendent</formula1>
    </dataValidation>
  </dataValidations>
  <pageMargins left="0.7" right="0.7" top="0.75" bottom="0.75" header="0.3" footer="0.3"/>
  <pageSetup paperSize="9" scale="69" fitToHeight="0"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92D050"/>
    <pageSetUpPr fitToPage="1"/>
  </sheetPr>
  <dimension ref="A1:P43"/>
  <sheetViews>
    <sheetView topLeftCell="A10" workbookViewId="0">
      <pane xSplit="2" topLeftCell="C1" activePane="topRight" state="frozen"/>
      <selection/>
      <selection pane="topRight" activeCell="J26" sqref="J26"/>
    </sheetView>
  </sheetViews>
  <sheetFormatPr defaultColWidth="9.42857142857143" defaultRowHeight="15"/>
  <cols>
    <col min="1" max="1" width="4" style="742" customWidth="1"/>
    <col min="2" max="2" width="23.4285714285714" style="742" customWidth="1"/>
    <col min="3" max="3" width="15.7142857142857" style="742" customWidth="1"/>
    <col min="4" max="4" width="8.71428571428571" style="742" customWidth="1"/>
    <col min="5" max="5" width="14.7142857142857" style="742" customWidth="1"/>
    <col min="6" max="6" width="7.71428571428571" style="742" customWidth="1"/>
    <col min="7" max="7" width="14.7142857142857" style="742" customWidth="1"/>
    <col min="8" max="8" width="8.71428571428571" style="742" customWidth="1"/>
    <col min="9" max="9" width="14.7142857142857" style="742" customWidth="1"/>
    <col min="10" max="10" width="7.71428571428571" style="742" customWidth="1"/>
    <col min="11" max="11" width="14.7142857142857" style="742" customWidth="1"/>
    <col min="12" max="12" width="8.71428571428571" style="742" customWidth="1"/>
    <col min="13" max="13" width="14.5714285714286" style="742" customWidth="1"/>
    <col min="14" max="14" width="7.71428571428571" style="742" customWidth="1"/>
    <col min="15" max="15" width="14.7142857142857" style="742" customWidth="1"/>
    <col min="16" max="16" width="10.5714285714286" style="742" customWidth="1"/>
    <col min="17" max="22" width="6.42857142857143" style="742" customWidth="1"/>
    <col min="23" max="16384" width="9.42857142857143" style="742"/>
  </cols>
  <sheetData>
    <row r="1" ht="57.75" customHeight="1" spans="2:11">
      <c r="B1" s="989"/>
      <c r="C1" s="990"/>
      <c r="D1" s="991" t="s">
        <v>100</v>
      </c>
      <c r="E1" s="991"/>
      <c r="F1" s="991"/>
      <c r="G1" s="991"/>
      <c r="H1" s="992"/>
      <c r="I1" s="992"/>
      <c r="J1" s="992"/>
      <c r="K1" s="1037"/>
    </row>
    <row r="2" ht="16.5" spans="2:15">
      <c r="B2" s="993">
        <f ca="1">TODAY()</f>
        <v>45805</v>
      </c>
      <c r="C2" s="994"/>
      <c r="D2" s="995" t="s">
        <v>101</v>
      </c>
      <c r="E2" s="996"/>
      <c r="F2" s="996"/>
      <c r="G2" s="997"/>
      <c r="H2" s="995" t="s">
        <v>102</v>
      </c>
      <c r="I2" s="996"/>
      <c r="J2" s="996"/>
      <c r="K2" s="996"/>
      <c r="L2" s="1038" t="s">
        <v>103</v>
      </c>
      <c r="M2" s="1039"/>
      <c r="N2" s="1039"/>
      <c r="O2" s="1040"/>
    </row>
    <row r="3" ht="39" spans="2:16">
      <c r="B3" s="998"/>
      <c r="C3" s="999" t="s">
        <v>104</v>
      </c>
      <c r="D3" s="1000" t="s">
        <v>105</v>
      </c>
      <c r="E3" s="1001" t="s">
        <v>106</v>
      </c>
      <c r="F3" s="1001" t="s">
        <v>125</v>
      </c>
      <c r="G3" s="1001" t="s">
        <v>107</v>
      </c>
      <c r="H3" s="1002" t="s">
        <v>105</v>
      </c>
      <c r="I3" s="1041" t="s">
        <v>108</v>
      </c>
      <c r="J3" s="1001" t="s">
        <v>125</v>
      </c>
      <c r="K3" s="1001" t="s">
        <v>109</v>
      </c>
      <c r="L3" s="1042" t="s">
        <v>105</v>
      </c>
      <c r="M3" s="1043" t="s">
        <v>108</v>
      </c>
      <c r="N3" s="1044" t="s">
        <v>125</v>
      </c>
      <c r="O3" s="1045" t="s">
        <v>109</v>
      </c>
      <c r="P3" s="1046" t="s">
        <v>110</v>
      </c>
    </row>
    <row r="4" ht="16.15" customHeight="1" spans="2:16">
      <c r="B4" s="1003" t="s">
        <v>126</v>
      </c>
      <c r="C4" s="1004" t="s">
        <v>26</v>
      </c>
      <c r="D4" s="1005">
        <f ca="1" t="shared" ref="D4:D13" si="0">DAYS360(E4,TODAY())</f>
        <v>852</v>
      </c>
      <c r="E4" s="1006">
        <v>44942</v>
      </c>
      <c r="F4" s="1007"/>
      <c r="G4" s="1008">
        <f t="shared" ref="G4:G8" si="1">EDATE(E4,12)</f>
        <v>45307</v>
      </c>
      <c r="H4" s="1005">
        <f ca="1" t="shared" ref="H4:H7" si="2">DAYS360(I4,TODAY())</f>
        <v>726</v>
      </c>
      <c r="I4" s="1006">
        <v>45068</v>
      </c>
      <c r="J4" s="1007"/>
      <c r="K4" s="1008">
        <f t="shared" ref="K4:K8" si="3">EDATE(I4,12)</f>
        <v>45434</v>
      </c>
      <c r="L4" s="1047">
        <f ca="1" t="shared" ref="L4:L7" si="4">DAYS360(M4,TODAY())</f>
        <v>45148</v>
      </c>
      <c r="M4" s="1048"/>
      <c r="N4" s="1049"/>
      <c r="O4" s="1050">
        <f t="shared" ref="O4:O32" si="5">EDATE(M4,6)</f>
        <v>182</v>
      </c>
      <c r="P4" s="1051">
        <f ca="1" t="shared" ref="P4:P33" si="6">DAYS360(O4,TODAY())</f>
        <v>44968</v>
      </c>
    </row>
    <row r="5" ht="16.15" customHeight="1" spans="2:16">
      <c r="B5" s="1009" t="s">
        <v>127</v>
      </c>
      <c r="C5" s="1010" t="s">
        <v>24</v>
      </c>
      <c r="D5" s="1011">
        <f ca="1" t="shared" si="0"/>
        <v>670</v>
      </c>
      <c r="E5" s="1012">
        <v>45125</v>
      </c>
      <c r="F5" s="1013"/>
      <c r="G5" s="1014">
        <f t="shared" si="1"/>
        <v>45491</v>
      </c>
      <c r="H5" s="1011">
        <f ca="1" t="shared" si="2"/>
        <v>670</v>
      </c>
      <c r="I5" s="1012">
        <v>45125</v>
      </c>
      <c r="J5" s="1013"/>
      <c r="K5" s="1014">
        <f t="shared" si="3"/>
        <v>45491</v>
      </c>
      <c r="L5" s="1011">
        <f ca="1" t="shared" si="4"/>
        <v>45148</v>
      </c>
      <c r="M5" s="1012"/>
      <c r="N5" s="1013"/>
      <c r="O5" s="1052">
        <f t="shared" si="5"/>
        <v>182</v>
      </c>
      <c r="P5" s="1051">
        <f ca="1" t="shared" si="6"/>
        <v>44968</v>
      </c>
    </row>
    <row r="6" ht="16.15" customHeight="1" spans="2:16">
      <c r="B6" s="1015" t="s">
        <v>128</v>
      </c>
      <c r="C6" s="1016" t="s">
        <v>25</v>
      </c>
      <c r="D6" s="1017">
        <f ca="1" t="shared" ref="D6:D7" si="7">DAYS360(E6,TODAY())</f>
        <v>387</v>
      </c>
      <c r="E6" s="1018">
        <v>45413</v>
      </c>
      <c r="F6" s="1019"/>
      <c r="G6" s="1020">
        <f t="shared" ref="G6:G7" si="8">EDATE(E6,12)</f>
        <v>45778</v>
      </c>
      <c r="H6" s="1017">
        <f ca="1" t="shared" si="2"/>
        <v>387</v>
      </c>
      <c r="I6" s="1018">
        <v>45413</v>
      </c>
      <c r="J6" s="1019"/>
      <c r="K6" s="1020">
        <f t="shared" ref="K6" si="9">EDATE(I6,12)</f>
        <v>45778</v>
      </c>
      <c r="L6" s="1017">
        <f ca="1" t="shared" si="4"/>
        <v>323</v>
      </c>
      <c r="M6" s="1018">
        <v>45478</v>
      </c>
      <c r="N6" s="1019"/>
      <c r="O6" s="1053">
        <f t="shared" si="5"/>
        <v>45662</v>
      </c>
      <c r="P6" s="1051">
        <f ca="1" t="shared" si="6"/>
        <v>143</v>
      </c>
    </row>
    <row r="7" ht="16.15" customHeight="1" spans="2:16">
      <c r="B7" s="1015" t="s">
        <v>129</v>
      </c>
      <c r="C7" s="1016" t="s">
        <v>34</v>
      </c>
      <c r="D7" s="1017">
        <f ca="1" t="shared" si="7"/>
        <v>276</v>
      </c>
      <c r="E7" s="1018">
        <v>45526</v>
      </c>
      <c r="F7" s="1019"/>
      <c r="G7" s="1020">
        <f t="shared" si="8"/>
        <v>45891</v>
      </c>
      <c r="H7" s="1017">
        <f ca="1" t="shared" si="2"/>
        <v>276</v>
      </c>
      <c r="I7" s="1018">
        <v>45526</v>
      </c>
      <c r="J7" s="1019"/>
      <c r="K7" s="1020"/>
      <c r="L7" s="1017">
        <f ca="1" t="shared" si="4"/>
        <v>304</v>
      </c>
      <c r="M7" s="1018">
        <v>45497</v>
      </c>
      <c r="N7" s="1019"/>
      <c r="O7" s="1053">
        <f t="shared" si="5"/>
        <v>45681</v>
      </c>
      <c r="P7" s="1051">
        <f ca="1" t="shared" si="6"/>
        <v>124</v>
      </c>
    </row>
    <row r="8" ht="16.15" customHeight="1" spans="1:16">
      <c r="A8" s="1021"/>
      <c r="B8" s="1015" t="s">
        <v>130</v>
      </c>
      <c r="C8" s="1016" t="s">
        <v>23</v>
      </c>
      <c r="D8" s="1017">
        <f ca="1" t="shared" ref="D8" si="10">DAYS360(E8,TODAY())</f>
        <v>335</v>
      </c>
      <c r="E8" s="1018">
        <v>45466</v>
      </c>
      <c r="F8" s="1019"/>
      <c r="G8" s="1020">
        <f t="shared" si="1"/>
        <v>45831</v>
      </c>
      <c r="H8" s="1017">
        <f ca="1" t="shared" ref="H8" si="11">DAYS360(I8,TODAY())</f>
        <v>335</v>
      </c>
      <c r="I8" s="1018">
        <v>45466</v>
      </c>
      <c r="J8" s="1019"/>
      <c r="K8" s="1020">
        <f t="shared" si="3"/>
        <v>45831</v>
      </c>
      <c r="L8" s="1017">
        <f ca="1" t="shared" ref="L8:L33" si="12">DAYS360(M8,TODAY())</f>
        <v>450</v>
      </c>
      <c r="M8" s="1018">
        <v>45350</v>
      </c>
      <c r="N8" s="1019"/>
      <c r="O8" s="1053">
        <f t="shared" si="5"/>
        <v>45532</v>
      </c>
      <c r="P8" s="1051">
        <f ca="1" t="shared" si="6"/>
        <v>270</v>
      </c>
    </row>
    <row r="9" ht="16.15" customHeight="1" spans="2:16">
      <c r="B9" s="1015" t="s">
        <v>131</v>
      </c>
      <c r="C9" s="1016" t="s">
        <v>25</v>
      </c>
      <c r="D9" s="1017">
        <f ca="1" t="shared" si="0"/>
        <v>229</v>
      </c>
      <c r="E9" s="1018">
        <v>45574</v>
      </c>
      <c r="F9" s="1018"/>
      <c r="G9" s="1020">
        <f t="shared" ref="G9:G27" si="13">EDATE(E9,12)</f>
        <v>45939</v>
      </c>
      <c r="H9" s="1017">
        <f ca="1" t="shared" ref="H9:H33" si="14">DAYS360(I9,TODAY())</f>
        <v>229</v>
      </c>
      <c r="I9" s="1018">
        <v>45574</v>
      </c>
      <c r="J9" s="1018"/>
      <c r="K9" s="1020">
        <f t="shared" ref="K9:K27" si="15">EDATE(I9,12)</f>
        <v>45939</v>
      </c>
      <c r="L9" s="1017">
        <f ca="1" t="shared" si="12"/>
        <v>474</v>
      </c>
      <c r="M9" s="1018">
        <v>45326</v>
      </c>
      <c r="N9" s="1018"/>
      <c r="O9" s="1053">
        <f t="shared" si="5"/>
        <v>45508</v>
      </c>
      <c r="P9" s="1051">
        <f ca="1" t="shared" si="6"/>
        <v>294</v>
      </c>
    </row>
    <row r="10" ht="16.15" customHeight="1" spans="1:16">
      <c r="A10" s="1021"/>
      <c r="B10" s="1015" t="s">
        <v>132</v>
      </c>
      <c r="C10" s="1016" t="s">
        <v>25</v>
      </c>
      <c r="D10" s="1017">
        <f ca="1" t="shared" si="0"/>
        <v>174</v>
      </c>
      <c r="E10" s="1018">
        <v>45630</v>
      </c>
      <c r="F10" s="1019"/>
      <c r="G10" s="1020">
        <f t="shared" si="13"/>
        <v>45995</v>
      </c>
      <c r="H10" s="1017">
        <f ca="1" t="shared" si="14"/>
        <v>174</v>
      </c>
      <c r="I10" s="1018">
        <v>45630</v>
      </c>
      <c r="J10" s="1019"/>
      <c r="K10" s="1020">
        <f t="shared" si="15"/>
        <v>45995</v>
      </c>
      <c r="L10" s="1017">
        <f ca="1" t="shared" si="12"/>
        <v>562</v>
      </c>
      <c r="M10" s="1018">
        <v>45236</v>
      </c>
      <c r="N10" s="1019"/>
      <c r="O10" s="1053">
        <f t="shared" si="5"/>
        <v>45418</v>
      </c>
      <c r="P10" s="1051">
        <f ca="1" t="shared" si="6"/>
        <v>382</v>
      </c>
    </row>
    <row r="11" ht="15.75" spans="1:16">
      <c r="A11" s="1021"/>
      <c r="B11" s="1015" t="s">
        <v>133</v>
      </c>
      <c r="C11" s="1016" t="s">
        <v>27</v>
      </c>
      <c r="D11" s="1017">
        <f ca="1" t="shared" si="0"/>
        <v>248</v>
      </c>
      <c r="E11" s="1018">
        <v>45555</v>
      </c>
      <c r="F11" s="1019"/>
      <c r="G11" s="1020">
        <f t="shared" si="13"/>
        <v>45920</v>
      </c>
      <c r="H11" s="1017">
        <f ca="1" t="shared" si="14"/>
        <v>248</v>
      </c>
      <c r="I11" s="1018">
        <v>45555</v>
      </c>
      <c r="J11" s="1019"/>
      <c r="K11" s="1020">
        <f t="shared" si="15"/>
        <v>45920</v>
      </c>
      <c r="L11" s="1017">
        <f ca="1" t="shared" si="12"/>
        <v>382</v>
      </c>
      <c r="M11" s="1018">
        <v>45418</v>
      </c>
      <c r="N11" s="1019"/>
      <c r="O11" s="1053">
        <f t="shared" si="5"/>
        <v>45602</v>
      </c>
      <c r="P11" s="1051">
        <f ca="1" t="shared" si="6"/>
        <v>202</v>
      </c>
    </row>
    <row r="12" ht="15.75" spans="1:16">
      <c r="A12" s="1022"/>
      <c r="B12" s="1015" t="s">
        <v>134</v>
      </c>
      <c r="C12" s="1016" t="s">
        <v>34</v>
      </c>
      <c r="D12" s="1017">
        <f ca="1" t="shared" ref="D12" si="16">DAYS360(E12,TODAY())</f>
        <v>182</v>
      </c>
      <c r="E12" s="1018">
        <v>45622</v>
      </c>
      <c r="F12" s="1019"/>
      <c r="G12" s="1020">
        <f t="shared" si="13"/>
        <v>45987</v>
      </c>
      <c r="H12" s="1017">
        <f ca="1" t="shared" ref="H12" si="17">DAYS360(I12,TODAY())</f>
        <v>182</v>
      </c>
      <c r="I12" s="1018">
        <v>45622</v>
      </c>
      <c r="J12" s="1019"/>
      <c r="K12" s="1020">
        <f t="shared" si="15"/>
        <v>45987</v>
      </c>
      <c r="L12" s="1017">
        <f ca="1" t="shared" si="12"/>
        <v>375</v>
      </c>
      <c r="M12" s="1018">
        <v>45425</v>
      </c>
      <c r="N12" s="1019"/>
      <c r="O12" s="1053">
        <f t="shared" si="5"/>
        <v>45609</v>
      </c>
      <c r="P12" s="1051">
        <f ca="1" t="shared" si="6"/>
        <v>195</v>
      </c>
    </row>
    <row r="13" ht="15.75" spans="1:16">
      <c r="A13" s="1021"/>
      <c r="B13" s="1015" t="s">
        <v>135</v>
      </c>
      <c r="C13" s="1016" t="s">
        <v>30</v>
      </c>
      <c r="D13" s="1017">
        <f ca="1" t="shared" si="0"/>
        <v>298</v>
      </c>
      <c r="E13" s="1018">
        <v>45504</v>
      </c>
      <c r="F13" s="1019"/>
      <c r="G13" s="1020">
        <f t="shared" si="13"/>
        <v>45869</v>
      </c>
      <c r="H13" s="1017">
        <f ca="1" t="shared" si="14"/>
        <v>298</v>
      </c>
      <c r="I13" s="1018">
        <v>45504</v>
      </c>
      <c r="J13" s="1019"/>
      <c r="K13" s="1020">
        <f t="shared" si="15"/>
        <v>45869</v>
      </c>
      <c r="L13" s="1017">
        <f ca="1" t="shared" si="12"/>
        <v>423</v>
      </c>
      <c r="M13" s="1018">
        <v>45376</v>
      </c>
      <c r="N13" s="1019"/>
      <c r="O13" s="1053">
        <f t="shared" si="5"/>
        <v>45560</v>
      </c>
      <c r="P13" s="1051">
        <f ca="1" t="shared" si="6"/>
        <v>243</v>
      </c>
    </row>
    <row r="14" ht="15.75" spans="1:16">
      <c r="A14" s="1021"/>
      <c r="B14" s="1015" t="s">
        <v>136</v>
      </c>
      <c r="C14" s="1016" t="s">
        <v>30</v>
      </c>
      <c r="D14" s="1017">
        <f ca="1" t="shared" ref="D14" si="18">DAYS360(E14,TODAY())</f>
        <v>272</v>
      </c>
      <c r="E14" s="1018">
        <v>45530</v>
      </c>
      <c r="F14" s="1019"/>
      <c r="G14" s="1020">
        <f t="shared" si="13"/>
        <v>45895</v>
      </c>
      <c r="H14" s="1017">
        <f ca="1" t="shared" ref="H14" si="19">DAYS360(I14,TODAY())</f>
        <v>213</v>
      </c>
      <c r="I14" s="1018">
        <v>45590</v>
      </c>
      <c r="J14" s="1019"/>
      <c r="K14" s="1020">
        <f t="shared" si="15"/>
        <v>45955</v>
      </c>
      <c r="L14" s="1017">
        <f ca="1" t="shared" si="12"/>
        <v>417</v>
      </c>
      <c r="M14" s="1018">
        <v>45383</v>
      </c>
      <c r="N14" s="1019"/>
      <c r="O14" s="1053">
        <f t="shared" si="5"/>
        <v>45566</v>
      </c>
      <c r="P14" s="1051">
        <f ca="1" t="shared" si="6"/>
        <v>237</v>
      </c>
    </row>
    <row r="15" ht="15.75" spans="2:16">
      <c r="B15" s="1015" t="s">
        <v>137</v>
      </c>
      <c r="C15" s="1016" t="s">
        <v>31</v>
      </c>
      <c r="D15" s="1017">
        <f ca="1" t="shared" ref="D15:D33" si="20">DAYS360(E15,TODAY())</f>
        <v>362</v>
      </c>
      <c r="E15" s="1018">
        <v>45438</v>
      </c>
      <c r="F15" s="1018"/>
      <c r="G15" s="1020">
        <f t="shared" si="13"/>
        <v>45803</v>
      </c>
      <c r="H15" s="1017">
        <f ca="1" t="shared" si="14"/>
        <v>362</v>
      </c>
      <c r="I15" s="1018">
        <v>45438</v>
      </c>
      <c r="J15" s="1018"/>
      <c r="K15" s="1020">
        <f t="shared" si="15"/>
        <v>45803</v>
      </c>
      <c r="L15" s="1017">
        <f ca="1" t="shared" si="12"/>
        <v>472</v>
      </c>
      <c r="M15" s="1018">
        <v>45328</v>
      </c>
      <c r="N15" s="1018"/>
      <c r="O15" s="1053">
        <f t="shared" si="5"/>
        <v>45510</v>
      </c>
      <c r="P15" s="1051">
        <f ca="1" t="shared" si="6"/>
        <v>292</v>
      </c>
    </row>
    <row r="16" ht="15.75" spans="2:16">
      <c r="B16" s="1015" t="s">
        <v>138</v>
      </c>
      <c r="C16" s="1016" t="s">
        <v>23</v>
      </c>
      <c r="D16" s="1017">
        <f ca="1" t="shared" si="20"/>
        <v>472</v>
      </c>
      <c r="E16" s="1018">
        <v>45328</v>
      </c>
      <c r="F16" s="1019"/>
      <c r="G16" s="1020">
        <f t="shared" si="13"/>
        <v>45694</v>
      </c>
      <c r="H16" s="1017">
        <f ca="1" t="shared" si="14"/>
        <v>472</v>
      </c>
      <c r="I16" s="1018">
        <v>45328</v>
      </c>
      <c r="J16" s="1019"/>
      <c r="K16" s="1020">
        <f t="shared" si="15"/>
        <v>45694</v>
      </c>
      <c r="L16" s="1017">
        <f ca="1" t="shared" si="12"/>
        <v>284</v>
      </c>
      <c r="M16" s="1018">
        <v>45518</v>
      </c>
      <c r="N16" s="1019"/>
      <c r="O16" s="1053">
        <f t="shared" si="5"/>
        <v>45702</v>
      </c>
      <c r="P16" s="1051">
        <f ca="1" t="shared" si="6"/>
        <v>104</v>
      </c>
    </row>
    <row r="17" ht="15.75" spans="1:16">
      <c r="A17" s="1021"/>
      <c r="B17" s="1015" t="s">
        <v>139</v>
      </c>
      <c r="C17" s="1016" t="s">
        <v>31</v>
      </c>
      <c r="D17" s="1017">
        <f ca="1" t="shared" si="20"/>
        <v>400</v>
      </c>
      <c r="E17" s="1018">
        <v>45400</v>
      </c>
      <c r="F17" s="1019"/>
      <c r="G17" s="1020">
        <f t="shared" si="13"/>
        <v>45765</v>
      </c>
      <c r="H17" s="1017">
        <f ca="1" t="shared" si="14"/>
        <v>667</v>
      </c>
      <c r="I17" s="1018">
        <v>45128</v>
      </c>
      <c r="J17" s="1019"/>
      <c r="K17" s="1020">
        <f t="shared" si="15"/>
        <v>45494</v>
      </c>
      <c r="L17" s="1017">
        <f ca="1" t="shared" si="12"/>
        <v>404</v>
      </c>
      <c r="M17" s="1018">
        <v>45396</v>
      </c>
      <c r="N17" s="1019"/>
      <c r="O17" s="1053">
        <f t="shared" si="5"/>
        <v>45579</v>
      </c>
      <c r="P17" s="1051">
        <f ca="1" t="shared" si="6"/>
        <v>224</v>
      </c>
    </row>
    <row r="18" ht="16.15" customHeight="1" spans="1:16">
      <c r="A18" s="1021"/>
      <c r="B18" s="1015" t="s">
        <v>140</v>
      </c>
      <c r="C18" s="1016" t="s">
        <v>32</v>
      </c>
      <c r="D18" s="1017">
        <f ca="1" t="shared" si="20"/>
        <v>215</v>
      </c>
      <c r="E18" s="1018">
        <v>45588</v>
      </c>
      <c r="F18" s="1019"/>
      <c r="G18" s="1020">
        <f t="shared" si="13"/>
        <v>45953</v>
      </c>
      <c r="H18" s="1017">
        <f ca="1" t="shared" si="14"/>
        <v>215</v>
      </c>
      <c r="I18" s="1018">
        <v>45588</v>
      </c>
      <c r="J18" s="1019"/>
      <c r="K18" s="1020">
        <f t="shared" si="15"/>
        <v>45953</v>
      </c>
      <c r="L18" s="1017">
        <f ca="1" t="shared" si="12"/>
        <v>365</v>
      </c>
      <c r="M18" s="1018">
        <v>45435</v>
      </c>
      <c r="N18" s="1019"/>
      <c r="O18" s="1053">
        <f t="shared" si="5"/>
        <v>45619</v>
      </c>
      <c r="P18" s="1051">
        <f ca="1" t="shared" si="6"/>
        <v>185</v>
      </c>
    </row>
    <row r="19" ht="16.15" customHeight="1" spans="1:16">
      <c r="A19" s="1021"/>
      <c r="B19" s="1015" t="s">
        <v>141</v>
      </c>
      <c r="C19" s="1016" t="s">
        <v>32</v>
      </c>
      <c r="D19" s="1017">
        <f ca="1" t="shared" si="20"/>
        <v>232</v>
      </c>
      <c r="E19" s="1018">
        <v>45571</v>
      </c>
      <c r="F19" s="1019"/>
      <c r="G19" s="1020">
        <f t="shared" si="13"/>
        <v>45936</v>
      </c>
      <c r="H19" s="1017">
        <f ca="1" t="shared" si="14"/>
        <v>232</v>
      </c>
      <c r="I19" s="1018">
        <v>45571</v>
      </c>
      <c r="J19" s="1019"/>
      <c r="K19" s="1020">
        <f t="shared" si="15"/>
        <v>45936</v>
      </c>
      <c r="L19" s="1017">
        <f ca="1" t="shared" si="12"/>
        <v>312</v>
      </c>
      <c r="M19" s="1018">
        <v>45489</v>
      </c>
      <c r="N19" s="1019"/>
      <c r="O19" s="1053">
        <f t="shared" si="5"/>
        <v>45673</v>
      </c>
      <c r="P19" s="1051">
        <f ca="1" t="shared" si="6"/>
        <v>132</v>
      </c>
    </row>
    <row r="20" ht="16.15" customHeight="1" spans="1:16">
      <c r="A20" s="1021"/>
      <c r="B20" s="1015" t="s">
        <v>142</v>
      </c>
      <c r="C20" s="1016" t="s">
        <v>33</v>
      </c>
      <c r="D20" s="1017">
        <f ca="1" t="shared" si="20"/>
        <v>271</v>
      </c>
      <c r="E20" s="1018">
        <v>45531</v>
      </c>
      <c r="F20" s="1019"/>
      <c r="G20" s="1020">
        <f t="shared" si="13"/>
        <v>45896</v>
      </c>
      <c r="H20" s="1017">
        <f ca="1" t="shared" si="14"/>
        <v>271</v>
      </c>
      <c r="I20" s="1018">
        <v>45531</v>
      </c>
      <c r="J20" s="1019"/>
      <c r="K20" s="1020">
        <f t="shared" si="15"/>
        <v>45896</v>
      </c>
      <c r="L20" s="1017">
        <f ca="1" t="shared" si="12"/>
        <v>480</v>
      </c>
      <c r="M20" s="1018">
        <v>45319</v>
      </c>
      <c r="N20" s="1019"/>
      <c r="O20" s="1053">
        <f t="shared" si="5"/>
        <v>45501</v>
      </c>
      <c r="P20" s="1051">
        <f ca="1" t="shared" si="6"/>
        <v>300</v>
      </c>
    </row>
    <row r="21" ht="16.15" customHeight="1" spans="1:16">
      <c r="A21" s="1021"/>
      <c r="B21" s="1015" t="s">
        <v>143</v>
      </c>
      <c r="C21" s="1016"/>
      <c r="D21" s="1017">
        <f ca="1" t="shared" ref="D21" si="21">DAYS360(E21,TODAY())</f>
        <v>45148</v>
      </c>
      <c r="E21" s="1018"/>
      <c r="F21" s="1019"/>
      <c r="G21" s="1020"/>
      <c r="H21" s="1017">
        <f ca="1" t="shared" ref="H21" si="22">DAYS360(I21,TODAY())</f>
        <v>45148</v>
      </c>
      <c r="I21" s="1018"/>
      <c r="J21" s="1019"/>
      <c r="K21" s="1020"/>
      <c r="L21" s="1017">
        <f ca="1" t="shared" ref="L21" si="23">DAYS360(M21,TODAY())</f>
        <v>45148</v>
      </c>
      <c r="M21" s="1018"/>
      <c r="N21" s="1019"/>
      <c r="O21" s="1053"/>
      <c r="P21" s="1051">
        <f ca="1" t="shared" ref="P21" si="24">DAYS360(O21,TODAY())</f>
        <v>45148</v>
      </c>
    </row>
    <row r="22" ht="16.15" customHeight="1" spans="1:16">
      <c r="A22" s="1021"/>
      <c r="B22" s="1015" t="s">
        <v>144</v>
      </c>
      <c r="C22" s="1016" t="s">
        <v>34</v>
      </c>
      <c r="D22" s="1017">
        <f ca="1" t="shared" si="20"/>
        <v>226</v>
      </c>
      <c r="E22" s="1018">
        <v>45577</v>
      </c>
      <c r="F22" s="1019"/>
      <c r="G22" s="1020">
        <f t="shared" si="13"/>
        <v>45942</v>
      </c>
      <c r="H22" s="1017">
        <f ca="1" t="shared" si="14"/>
        <v>226</v>
      </c>
      <c r="I22" s="1018">
        <v>45577</v>
      </c>
      <c r="J22" s="1019"/>
      <c r="K22" s="1020">
        <f>EDATE(I22,12)</f>
        <v>45942</v>
      </c>
      <c r="L22" s="1017">
        <f ca="1" t="shared" si="12"/>
        <v>295</v>
      </c>
      <c r="M22" s="1018">
        <v>45507</v>
      </c>
      <c r="N22" s="1019"/>
      <c r="O22" s="1053">
        <f t="shared" si="5"/>
        <v>45691</v>
      </c>
      <c r="P22" s="1051">
        <f ca="1" t="shared" si="6"/>
        <v>115</v>
      </c>
    </row>
    <row r="23" ht="16.15" customHeight="1" spans="1:16">
      <c r="A23" s="1021"/>
      <c r="B23" s="1015" t="s">
        <v>145</v>
      </c>
      <c r="C23" s="1016" t="s">
        <v>24</v>
      </c>
      <c r="D23" s="1017">
        <f ca="1" t="shared" si="20"/>
        <v>390</v>
      </c>
      <c r="E23" s="1018">
        <v>45410</v>
      </c>
      <c r="F23" s="1019"/>
      <c r="G23" s="1020">
        <f t="shared" si="13"/>
        <v>45775</v>
      </c>
      <c r="H23" s="1017">
        <f ca="1" t="shared" si="14"/>
        <v>390</v>
      </c>
      <c r="I23" s="1018">
        <v>45410</v>
      </c>
      <c r="J23" s="1019"/>
      <c r="K23" s="1020">
        <f t="shared" si="15"/>
        <v>45775</v>
      </c>
      <c r="L23" s="1017">
        <f ca="1" t="shared" si="12"/>
        <v>530</v>
      </c>
      <c r="M23" s="1018">
        <v>45268</v>
      </c>
      <c r="N23" s="1019"/>
      <c r="O23" s="1053">
        <f t="shared" si="5"/>
        <v>45451</v>
      </c>
      <c r="P23" s="1051">
        <f ca="1" t="shared" si="6"/>
        <v>350</v>
      </c>
    </row>
    <row r="24" ht="16.15" customHeight="1" spans="1:16">
      <c r="A24" s="1021"/>
      <c r="B24" s="1015" t="s">
        <v>146</v>
      </c>
      <c r="C24" s="1016" t="s">
        <v>31</v>
      </c>
      <c r="D24" s="1017">
        <f ca="1" t="shared" si="20"/>
        <v>169</v>
      </c>
      <c r="E24" s="1018">
        <v>45635</v>
      </c>
      <c r="F24" s="1019"/>
      <c r="G24" s="1020">
        <f t="shared" si="13"/>
        <v>46000</v>
      </c>
      <c r="H24" s="1017">
        <f ca="1" t="shared" si="14"/>
        <v>169</v>
      </c>
      <c r="I24" s="1018">
        <v>45635</v>
      </c>
      <c r="J24" s="1019"/>
      <c r="K24" s="1020">
        <f t="shared" si="15"/>
        <v>46000</v>
      </c>
      <c r="L24" s="1017">
        <f ca="1" t="shared" si="12"/>
        <v>264</v>
      </c>
      <c r="M24" s="1018">
        <v>45539</v>
      </c>
      <c r="N24" s="1019"/>
      <c r="O24" s="1053">
        <f t="shared" si="5"/>
        <v>45720</v>
      </c>
      <c r="P24" s="1051">
        <f ca="1" t="shared" si="6"/>
        <v>84</v>
      </c>
    </row>
    <row r="25" ht="16.15" customHeight="1" spans="1:16">
      <c r="A25" s="1021"/>
      <c r="B25" s="1015" t="s">
        <v>147</v>
      </c>
      <c r="C25" s="1016" t="s">
        <v>30</v>
      </c>
      <c r="D25" s="1017">
        <f ca="1" t="shared" si="20"/>
        <v>291</v>
      </c>
      <c r="E25" s="1018">
        <v>45511</v>
      </c>
      <c r="F25" s="1019"/>
      <c r="G25" s="1020">
        <f t="shared" si="13"/>
        <v>45876</v>
      </c>
      <c r="H25" s="1017">
        <f ca="1" t="shared" si="14"/>
        <v>291</v>
      </c>
      <c r="I25" s="1018">
        <v>45511</v>
      </c>
      <c r="J25" s="1019"/>
      <c r="K25" s="1020">
        <f t="shared" si="15"/>
        <v>45876</v>
      </c>
      <c r="L25" s="1017"/>
      <c r="M25" s="1018"/>
      <c r="N25" s="1019"/>
      <c r="O25" s="1053"/>
      <c r="P25" s="1051">
        <f ca="1" t="shared" si="6"/>
        <v>45148</v>
      </c>
    </row>
    <row r="26" ht="16.15" customHeight="1" spans="1:16">
      <c r="A26" s="1021"/>
      <c r="B26" s="1015" t="s">
        <v>148</v>
      </c>
      <c r="C26" s="1016" t="s">
        <v>30</v>
      </c>
      <c r="D26" s="1017">
        <f ca="1" t="shared" si="20"/>
        <v>183</v>
      </c>
      <c r="E26" s="1018">
        <v>45621</v>
      </c>
      <c r="F26" s="1019"/>
      <c r="G26" s="1020">
        <f t="shared" si="13"/>
        <v>45986</v>
      </c>
      <c r="H26" s="1017">
        <f ca="1" t="shared" si="14"/>
        <v>159</v>
      </c>
      <c r="I26" s="1018">
        <v>45645</v>
      </c>
      <c r="J26" s="1019"/>
      <c r="K26" s="1020">
        <f t="shared" si="15"/>
        <v>46010</v>
      </c>
      <c r="L26" s="1017">
        <f ca="1" t="shared" si="12"/>
        <v>365</v>
      </c>
      <c r="M26" s="1018">
        <v>45435</v>
      </c>
      <c r="N26" s="1019"/>
      <c r="O26" s="1053">
        <f t="shared" si="5"/>
        <v>45619</v>
      </c>
      <c r="P26" s="1051">
        <f ca="1" t="shared" si="6"/>
        <v>185</v>
      </c>
    </row>
    <row r="27" ht="16.15" customHeight="1" spans="1:16">
      <c r="A27" s="1021"/>
      <c r="B27" s="1023" t="s">
        <v>149</v>
      </c>
      <c r="C27" s="1010" t="s">
        <v>30</v>
      </c>
      <c r="D27" s="1017">
        <f ca="1" t="shared" si="20"/>
        <v>495</v>
      </c>
      <c r="E27" s="1018">
        <v>45304</v>
      </c>
      <c r="F27" s="1019"/>
      <c r="G27" s="1020">
        <f t="shared" si="13"/>
        <v>45670</v>
      </c>
      <c r="H27" s="1017">
        <f ca="1" t="shared" si="14"/>
        <v>495</v>
      </c>
      <c r="I27" s="1018">
        <v>45304</v>
      </c>
      <c r="J27" s="1019"/>
      <c r="K27" s="1020">
        <f t="shared" si="15"/>
        <v>45670</v>
      </c>
      <c r="L27" s="1017">
        <f ca="1" t="shared" si="12"/>
        <v>618</v>
      </c>
      <c r="M27" s="1018">
        <v>45179</v>
      </c>
      <c r="N27" s="1019"/>
      <c r="O27" s="1053">
        <f t="shared" si="5"/>
        <v>45361</v>
      </c>
      <c r="P27" s="1051">
        <f ca="1" t="shared" si="6"/>
        <v>438</v>
      </c>
    </row>
    <row r="28" s="988" customFormat="1" ht="16.15" customHeight="1" spans="1:16">
      <c r="A28" s="1024"/>
      <c r="B28" s="1023" t="s">
        <v>150</v>
      </c>
      <c r="C28" s="1010" t="s">
        <v>24</v>
      </c>
      <c r="D28" s="1011">
        <f ca="1" t="shared" ref="D28:D32" si="25">DAYS360(E28,TODAY())</f>
        <v>544</v>
      </c>
      <c r="E28" s="1012">
        <v>45254</v>
      </c>
      <c r="F28" s="1013"/>
      <c r="G28" s="1014">
        <f t="shared" ref="G28:G33" si="26">EDATE(E28,12)</f>
        <v>45620</v>
      </c>
      <c r="H28" s="1011">
        <f ca="1" t="shared" ref="H28:H31" si="27">DAYS360(I28,TODAY())</f>
        <v>472</v>
      </c>
      <c r="I28" s="1012">
        <v>45328</v>
      </c>
      <c r="J28" s="1013"/>
      <c r="K28" s="1014">
        <f t="shared" ref="K28:K29" si="28">EDATE(I28,12)</f>
        <v>45694</v>
      </c>
      <c r="L28" s="1011">
        <f ca="1" t="shared" si="12"/>
        <v>993</v>
      </c>
      <c r="M28" s="1012">
        <v>44798</v>
      </c>
      <c r="N28" s="1013"/>
      <c r="O28" s="1052">
        <f t="shared" si="5"/>
        <v>44982</v>
      </c>
      <c r="P28" s="1051">
        <f ca="1" t="shared" si="6"/>
        <v>813</v>
      </c>
    </row>
    <row r="29" ht="16.15" customHeight="1" spans="1:16">
      <c r="A29" s="1021"/>
      <c r="B29" s="1025" t="s">
        <v>151</v>
      </c>
      <c r="C29" s="1016" t="s">
        <v>30</v>
      </c>
      <c r="D29" s="1017">
        <f ca="1" t="shared" si="25"/>
        <v>240</v>
      </c>
      <c r="E29" s="1018">
        <v>45563</v>
      </c>
      <c r="F29" s="1019"/>
      <c r="G29" s="1020">
        <f t="shared" si="26"/>
        <v>45928</v>
      </c>
      <c r="H29" s="1017">
        <f ca="1" t="shared" si="27"/>
        <v>240</v>
      </c>
      <c r="I29" s="1018">
        <v>45563</v>
      </c>
      <c r="J29" s="1019"/>
      <c r="K29" s="1020">
        <f t="shared" si="28"/>
        <v>45928</v>
      </c>
      <c r="L29" s="1017">
        <f ca="1" t="shared" si="12"/>
        <v>242</v>
      </c>
      <c r="M29" s="1018">
        <v>45561</v>
      </c>
      <c r="N29" s="1019"/>
      <c r="O29" s="1053">
        <f t="shared" si="5"/>
        <v>45742</v>
      </c>
      <c r="P29" s="1051">
        <f ca="1" t="shared" si="6"/>
        <v>62</v>
      </c>
    </row>
    <row r="30" ht="16.15" customHeight="1" spans="1:16">
      <c r="A30" s="1021"/>
      <c r="B30" s="1025" t="s">
        <v>152</v>
      </c>
      <c r="C30" s="1016" t="s">
        <v>30</v>
      </c>
      <c r="D30" s="1017">
        <f ca="1" t="shared" si="25"/>
        <v>336</v>
      </c>
      <c r="E30" s="1018">
        <v>45465</v>
      </c>
      <c r="F30" s="1019"/>
      <c r="G30" s="1020">
        <f t="shared" si="26"/>
        <v>45830</v>
      </c>
      <c r="H30" s="1017">
        <f ca="1" t="shared" si="14"/>
        <v>336</v>
      </c>
      <c r="I30" s="1018">
        <v>45465</v>
      </c>
      <c r="J30" s="1019"/>
      <c r="K30" s="1020">
        <f t="shared" ref="K30:K33" si="29">EDATE(I30,12)</f>
        <v>45830</v>
      </c>
      <c r="L30" s="1017">
        <f ca="1" t="shared" si="12"/>
        <v>447</v>
      </c>
      <c r="M30" s="1018">
        <v>45352</v>
      </c>
      <c r="N30" s="1019"/>
      <c r="O30" s="1053">
        <f t="shared" si="5"/>
        <v>45536</v>
      </c>
      <c r="P30" s="1051">
        <f ca="1" t="shared" si="6"/>
        <v>267</v>
      </c>
    </row>
    <row r="31" ht="16.15" customHeight="1" spans="1:16">
      <c r="A31" s="1021"/>
      <c r="B31" s="1025" t="s">
        <v>153</v>
      </c>
      <c r="C31" s="1016" t="s">
        <v>30</v>
      </c>
      <c r="D31" s="1017">
        <f ca="1" t="shared" si="25"/>
        <v>347</v>
      </c>
      <c r="E31" s="1018">
        <v>45454</v>
      </c>
      <c r="F31" s="1019"/>
      <c r="G31" s="1020">
        <f t="shared" si="26"/>
        <v>45819</v>
      </c>
      <c r="H31" s="1017">
        <f ca="1" t="shared" si="27"/>
        <v>45148</v>
      </c>
      <c r="I31" s="1018"/>
      <c r="J31" s="1019"/>
      <c r="K31" s="1020">
        <f t="shared" si="29"/>
        <v>366</v>
      </c>
      <c r="L31" s="1017">
        <f ca="1" t="shared" si="12"/>
        <v>305</v>
      </c>
      <c r="M31" s="1018">
        <v>45496</v>
      </c>
      <c r="N31" s="1019"/>
      <c r="O31" s="1053">
        <f t="shared" si="5"/>
        <v>45680</v>
      </c>
      <c r="P31" s="1051">
        <f ca="1" t="shared" si="6"/>
        <v>125</v>
      </c>
    </row>
    <row r="32" ht="16.15" customHeight="1" spans="1:16">
      <c r="A32" s="1021"/>
      <c r="B32" s="1025" t="s">
        <v>154</v>
      </c>
      <c r="C32" s="1016" t="s">
        <v>34</v>
      </c>
      <c r="D32" s="1017">
        <f ca="1" t="shared" si="25"/>
        <v>492</v>
      </c>
      <c r="E32" s="1018">
        <v>45307</v>
      </c>
      <c r="F32" s="1019"/>
      <c r="G32" s="1020">
        <f t="shared" si="26"/>
        <v>45673</v>
      </c>
      <c r="H32" s="1017">
        <f ca="1" t="shared" si="14"/>
        <v>492</v>
      </c>
      <c r="I32" s="1018">
        <v>45307</v>
      </c>
      <c r="J32" s="1019"/>
      <c r="K32" s="1020">
        <f t="shared" si="29"/>
        <v>45673</v>
      </c>
      <c r="L32" s="1017">
        <f ca="1" t="shared" si="12"/>
        <v>518</v>
      </c>
      <c r="M32" s="1018">
        <v>45280</v>
      </c>
      <c r="N32" s="1019"/>
      <c r="O32" s="1053">
        <f t="shared" si="5"/>
        <v>45463</v>
      </c>
      <c r="P32" s="1051">
        <f ca="1" t="shared" si="6"/>
        <v>338</v>
      </c>
    </row>
    <row r="33" ht="16.15" customHeight="1" spans="2:16">
      <c r="B33" s="1026" t="s">
        <v>155</v>
      </c>
      <c r="C33" s="1027" t="s">
        <v>30</v>
      </c>
      <c r="D33" s="1028">
        <f ca="1" t="shared" si="20"/>
        <v>333</v>
      </c>
      <c r="E33" s="1029">
        <v>45468</v>
      </c>
      <c r="F33" s="1030"/>
      <c r="G33" s="1031">
        <f t="shared" si="26"/>
        <v>45833</v>
      </c>
      <c r="H33" s="1028">
        <f ca="1" t="shared" si="14"/>
        <v>333</v>
      </c>
      <c r="I33" s="1029">
        <v>45468</v>
      </c>
      <c r="J33" s="1030"/>
      <c r="K33" s="1031">
        <f t="shared" si="29"/>
        <v>45833</v>
      </c>
      <c r="L33" s="1028">
        <f ca="1" t="shared" si="12"/>
        <v>45148</v>
      </c>
      <c r="M33" s="1029"/>
      <c r="N33" s="1030"/>
      <c r="O33" s="1054"/>
      <c r="P33" s="1051">
        <f ca="1" t="shared" si="6"/>
        <v>45148</v>
      </c>
    </row>
    <row r="34" spans="2:5">
      <c r="B34" s="1032"/>
      <c r="C34" s="1032"/>
      <c r="D34" s="1032"/>
      <c r="E34" s="1032"/>
    </row>
    <row r="35" spans="2:5">
      <c r="B35" s="1032"/>
      <c r="C35" s="1032"/>
      <c r="D35" s="1032"/>
      <c r="E35" s="1032"/>
    </row>
    <row r="43" spans="3:11">
      <c r="C43" s="1033"/>
      <c r="D43" s="1033"/>
      <c r="E43" s="1034"/>
      <c r="F43" s="1035"/>
      <c r="G43" s="1036"/>
      <c r="H43" s="1036"/>
      <c r="I43" s="1055"/>
      <c r="J43" s="1055"/>
      <c r="K43" s="1055"/>
    </row>
  </sheetData>
  <sheetProtection algorithmName="SHA-512" hashValue="ULrGp26hKGStJs2wdzc/Q8/P+P6KFAafi7Li67Jtxtyh5XiETNsB+j87o+dgLs8/MYOx49i0AV+3xtdlplptlA==" saltValue="op9QYKUDYvQd00iIiPiP9A==" spinCount="100000" sheet="1" selectLockedCells="1" autoFilter="0"/>
  <autoFilter xmlns:etc="http://www.wps.cn/officeDocument/2017/etCustomData" ref="A1:K33" etc:filterBottomFollowUsedRange="0">
    <filterColumn colId="0">
      <customFilters>
        <customFilter operator="equal" val=""/>
        <customFilter operator="equal" val="ECP"/>
      </customFilters>
    </filterColumn>
    <extLst/>
  </autoFilter>
  <mergeCells count="4">
    <mergeCell ref="D1:G1"/>
    <mergeCell ref="D2:G2"/>
    <mergeCell ref="H2:K2"/>
    <mergeCell ref="L2:O2"/>
  </mergeCells>
  <conditionalFormatting sqref="D3:P3">
    <cfRule type="containsText" dxfId="2" priority="15" operator="between" text="Valid">
      <formula>NOT(ISERROR(SEARCH("Valid",D3)))</formula>
    </cfRule>
    <cfRule type="containsText" dxfId="1" priority="16" operator="between" text="Valid">
      <formula>NOT(ISERROR(SEARCH("Valid",D3)))</formula>
    </cfRule>
    <cfRule type="containsText" dxfId="0" priority="17" operator="between" text="Expired">
      <formula>NOT(ISERROR(SEARCH("Expired",D3)))</formula>
    </cfRule>
  </conditionalFormatting>
  <conditionalFormatting sqref="D4">
    <cfRule type="iconSet" priority="494">
      <iconSet iconSet="4TrafficLights" reverse="1">
        <cfvo type="percent" val="0"/>
        <cfvo type="num" val="330"/>
        <cfvo type="num" val="360"/>
        <cfvo type="num" val="450"/>
      </iconSet>
    </cfRule>
  </conditionalFormatting>
  <conditionalFormatting sqref="H4">
    <cfRule type="iconSet" priority="499">
      <iconSet iconSet="4TrafficLights" reverse="1">
        <cfvo type="percent" val="0"/>
        <cfvo type="num" val="330"/>
        <cfvo type="num" val="360"/>
        <cfvo type="num" val="450"/>
      </iconSet>
    </cfRule>
  </conditionalFormatting>
  <conditionalFormatting sqref="L4">
    <cfRule type="iconSet" priority="133">
      <iconSet iconSet="4TrafficLights" reverse="1">
        <cfvo type="percent" val="0"/>
        <cfvo type="num" val="330"/>
        <cfvo type="num" val="360"/>
        <cfvo type="num" val="450"/>
      </iconSet>
    </cfRule>
  </conditionalFormatting>
  <conditionalFormatting sqref="D5">
    <cfRule type="iconSet" priority="1279">
      <iconSet iconSet="4TrafficLights" reverse="1">
        <cfvo type="percent" val="0"/>
        <cfvo type="num" val="330"/>
        <cfvo type="num" val="360"/>
        <cfvo type="num" val="450"/>
      </iconSet>
    </cfRule>
  </conditionalFormatting>
  <conditionalFormatting sqref="H7">
    <cfRule type="iconSet" priority="6">
      <iconSet iconSet="4TrafficLights" reverse="1">
        <cfvo type="percent" val="0"/>
        <cfvo type="num" val="330"/>
        <cfvo type="num" val="360"/>
        <cfvo type="num" val="450"/>
      </iconSet>
    </cfRule>
  </conditionalFormatting>
  <conditionalFormatting sqref="L7">
    <cfRule type="iconSet" priority="5">
      <iconSet iconSet="4TrafficLights" reverse="1">
        <cfvo type="percent" val="0"/>
        <cfvo type="num" val="330"/>
        <cfvo type="num" val="360"/>
        <cfvo type="num" val="450"/>
      </iconSet>
    </cfRule>
  </conditionalFormatting>
  <conditionalFormatting sqref="D8">
    <cfRule type="iconSet" priority="485">
      <iconSet iconSet="4TrafficLights" reverse="1">
        <cfvo type="percent" val="0"/>
        <cfvo type="num" val="330"/>
        <cfvo type="num" val="360"/>
        <cfvo type="num" val="450"/>
      </iconSet>
    </cfRule>
  </conditionalFormatting>
  <conditionalFormatting sqref="H8">
    <cfRule type="iconSet" priority="484">
      <iconSet iconSet="4TrafficLights" reverse="1">
        <cfvo type="percent" val="0"/>
        <cfvo type="num" val="330"/>
        <cfvo type="num" val="360"/>
        <cfvo type="num" val="450"/>
      </iconSet>
    </cfRule>
  </conditionalFormatting>
  <conditionalFormatting sqref="L8">
    <cfRule type="iconSet" priority="132">
      <iconSet iconSet="4TrafficLights" reverse="1">
        <cfvo type="percent" val="0"/>
        <cfvo type="num" val="330"/>
        <cfvo type="num" val="360"/>
        <cfvo type="num" val="450"/>
      </iconSet>
    </cfRule>
  </conditionalFormatting>
  <conditionalFormatting sqref="D9">
    <cfRule type="iconSet" priority="664">
      <iconSet iconSet="4TrafficLights" reverse="1">
        <cfvo type="percent" val="0"/>
        <cfvo type="num" val="330"/>
        <cfvo type="num" val="360"/>
        <cfvo type="num" val="450"/>
      </iconSet>
    </cfRule>
  </conditionalFormatting>
  <conditionalFormatting sqref="D10">
    <cfRule type="iconSet" priority="663">
      <iconSet iconSet="4TrafficLights" reverse="1">
        <cfvo type="percent" val="0"/>
        <cfvo type="num" val="330"/>
        <cfvo type="num" val="360"/>
        <cfvo type="num" val="450"/>
      </iconSet>
    </cfRule>
  </conditionalFormatting>
  <conditionalFormatting sqref="D11">
    <cfRule type="iconSet" priority="368">
      <iconSet iconSet="4TrafficLights" reverse="1">
        <cfvo type="percent" val="0"/>
        <cfvo type="num" val="330"/>
        <cfvo type="num" val="360"/>
        <cfvo type="num" val="450"/>
      </iconSet>
    </cfRule>
  </conditionalFormatting>
  <conditionalFormatting sqref="H11">
    <cfRule type="iconSet" priority="367">
      <iconSet iconSet="4TrafficLights" reverse="1">
        <cfvo type="percent" val="0"/>
        <cfvo type="num" val="330"/>
        <cfvo type="num" val="360"/>
        <cfvo type="num" val="450"/>
      </iconSet>
    </cfRule>
  </conditionalFormatting>
  <conditionalFormatting sqref="L11">
    <cfRule type="iconSet" priority="124">
      <iconSet iconSet="4TrafficLights" reverse="1">
        <cfvo type="percent" val="0"/>
        <cfvo type="num" val="330"/>
        <cfvo type="num" val="360"/>
        <cfvo type="num" val="450"/>
      </iconSet>
    </cfRule>
  </conditionalFormatting>
  <conditionalFormatting sqref="D12">
    <cfRule type="iconSet" priority="479">
      <iconSet iconSet="4TrafficLights" reverse="1">
        <cfvo type="percent" val="0"/>
        <cfvo type="num" val="330"/>
        <cfvo type="num" val="360"/>
        <cfvo type="num" val="450"/>
      </iconSet>
    </cfRule>
  </conditionalFormatting>
  <conditionalFormatting sqref="H12">
    <cfRule type="iconSet" priority="478">
      <iconSet iconSet="4TrafficLights" reverse="1">
        <cfvo type="percent" val="0"/>
        <cfvo type="num" val="330"/>
        <cfvo type="num" val="360"/>
        <cfvo type="num" val="450"/>
      </iconSet>
    </cfRule>
  </conditionalFormatting>
  <conditionalFormatting sqref="L12">
    <cfRule type="iconSet" priority="131">
      <iconSet iconSet="4TrafficLights" reverse="1">
        <cfvo type="percent" val="0"/>
        <cfvo type="num" val="330"/>
        <cfvo type="num" val="360"/>
        <cfvo type="num" val="450"/>
      </iconSet>
    </cfRule>
  </conditionalFormatting>
  <conditionalFormatting sqref="D13">
    <cfRule type="iconSet" priority="534">
      <iconSet iconSet="4TrafficLights" reverse="1">
        <cfvo type="percent" val="0"/>
        <cfvo type="num" val="330"/>
        <cfvo type="num" val="360"/>
        <cfvo type="num" val="450"/>
      </iconSet>
    </cfRule>
  </conditionalFormatting>
  <conditionalFormatting sqref="D14">
    <cfRule type="iconSet" priority="392">
      <iconSet iconSet="4TrafficLights" reverse="1">
        <cfvo type="percent" val="0"/>
        <cfvo type="num" val="330"/>
        <cfvo type="num" val="360"/>
        <cfvo type="num" val="450"/>
      </iconSet>
    </cfRule>
  </conditionalFormatting>
  <conditionalFormatting sqref="H14">
    <cfRule type="iconSet" priority="391">
      <iconSet iconSet="4TrafficLights" reverse="1">
        <cfvo type="percent" val="0"/>
        <cfvo type="num" val="330"/>
        <cfvo type="num" val="360"/>
        <cfvo type="num" val="450"/>
      </iconSet>
    </cfRule>
  </conditionalFormatting>
  <conditionalFormatting sqref="L14">
    <cfRule type="iconSet" priority="130">
      <iconSet iconSet="4TrafficLights" reverse="1">
        <cfvo type="percent" val="0"/>
        <cfvo type="num" val="330"/>
        <cfvo type="num" val="360"/>
        <cfvo type="num" val="450"/>
      </iconSet>
    </cfRule>
  </conditionalFormatting>
  <conditionalFormatting sqref="D19">
    <cfRule type="iconSet" priority="4">
      <iconSet iconSet="4TrafficLights" reverse="1">
        <cfvo type="percent" val="0"/>
        <cfvo type="num" val="330"/>
        <cfvo type="num" val="360"/>
        <cfvo type="num" val="450"/>
      </iconSet>
    </cfRule>
  </conditionalFormatting>
  <conditionalFormatting sqref="H19">
    <cfRule type="iconSet" priority="3">
      <iconSet iconSet="4TrafficLights" reverse="1">
        <cfvo type="percent" val="0"/>
        <cfvo type="num" val="330"/>
        <cfvo type="num" val="360"/>
        <cfvo type="num" val="450"/>
      </iconSet>
    </cfRule>
  </conditionalFormatting>
  <conditionalFormatting sqref="L19">
    <cfRule type="iconSet" priority="2">
      <iconSet iconSet="4TrafficLights" reverse="1">
        <cfvo type="percent" val="0"/>
        <cfvo type="num" val="330"/>
        <cfvo type="num" val="360"/>
        <cfvo type="num" val="450"/>
      </iconSet>
    </cfRule>
  </conditionalFormatting>
  <conditionalFormatting sqref="L23">
    <cfRule type="iconSet" priority="1">
      <iconSet iconSet="4TrafficLights" reverse="1">
        <cfvo type="percent" val="0"/>
        <cfvo type="num" val="330"/>
        <cfvo type="num" val="360"/>
        <cfvo type="num" val="450"/>
      </iconSet>
    </cfRule>
  </conditionalFormatting>
  <conditionalFormatting sqref="D33">
    <cfRule type="iconSet" priority="639">
      <iconSet iconSet="4TrafficLights" reverse="1">
        <cfvo type="percent" val="0"/>
        <cfvo type="num" val="330"/>
        <cfvo type="num" val="360"/>
        <cfvo type="num" val="450"/>
      </iconSet>
    </cfRule>
  </conditionalFormatting>
  <conditionalFormatting sqref="B3:B33">
    <cfRule type="containsText" dxfId="2" priority="351" operator="between" text="Valid">
      <formula>NOT(ISERROR(SEARCH("Valid",B3)))</formula>
    </cfRule>
    <cfRule type="containsText" dxfId="1" priority="352" operator="between" text="Valid">
      <formula>NOT(ISERROR(SEARCH("Valid",B3)))</formula>
    </cfRule>
    <cfRule type="containsText" dxfId="0" priority="353" operator="between" text="Expired">
      <formula>NOT(ISERROR(SEARCH("Expired",B3)))</formula>
    </cfRule>
  </conditionalFormatting>
  <conditionalFormatting sqref="D6:D7">
    <cfRule type="iconSet" priority="1238">
      <iconSet iconSet="4TrafficLights" reverse="1">
        <cfvo type="percent" val="0"/>
        <cfvo type="num" val="330"/>
        <cfvo type="num" val="360"/>
        <cfvo type="num" val="450"/>
      </iconSet>
    </cfRule>
  </conditionalFormatting>
  <conditionalFormatting sqref="D15:D16">
    <cfRule type="iconSet" priority="550">
      <iconSet iconSet="4TrafficLights" reverse="1">
        <cfvo type="percent" val="0"/>
        <cfvo type="num" val="330"/>
        <cfvo type="num" val="360"/>
        <cfvo type="num" val="450"/>
      </iconSet>
    </cfRule>
  </conditionalFormatting>
  <conditionalFormatting sqref="D26:D32">
    <cfRule type="iconSet" priority="594">
      <iconSet iconSet="4TrafficLights" reverse="1">
        <cfvo type="percent" val="0"/>
        <cfvo type="num" val="330"/>
        <cfvo type="num" val="360"/>
        <cfvo type="num" val="450"/>
      </iconSet>
    </cfRule>
  </conditionalFormatting>
  <conditionalFormatting sqref="H5:H6">
    <cfRule type="iconSet" priority="1305">
      <iconSet iconSet="4TrafficLights" reverse="1">
        <cfvo type="percent" val="0"/>
        <cfvo type="num" val="330"/>
        <cfvo type="num" val="360"/>
        <cfvo type="num" val="450"/>
      </iconSet>
    </cfRule>
  </conditionalFormatting>
  <conditionalFormatting sqref="L5:L6">
    <cfRule type="iconSet" priority="1309">
      <iconSet iconSet="4TrafficLights" reverse="1">
        <cfvo type="percent" val="0"/>
        <cfvo type="num" val="330"/>
        <cfvo type="num" val="360"/>
        <cfvo type="num" val="450"/>
      </iconSet>
    </cfRule>
  </conditionalFormatting>
  <conditionalFormatting sqref="P4:P33">
    <cfRule type="iconSet" priority="24">
      <iconSet iconSet="4TrafficLights" reverse="1">
        <cfvo type="percent" val="0"/>
        <cfvo type="num" val="330"/>
        <cfvo type="num" val="360"/>
        <cfvo type="num" val="450"/>
      </iconSet>
    </cfRule>
  </conditionalFormatting>
  <conditionalFormatting sqref="E4:G33 I4:K33 M4:O33">
    <cfRule type="containsText" dxfId="1" priority="239" operator="between" text="Valid">
      <formula>NOT(ISERROR(SEARCH("Valid",E4)))</formula>
    </cfRule>
    <cfRule type="containsText" dxfId="3" priority="237" operator="between" text="Valid">
      <formula>NOT(ISERROR(SEARCH("Valid",E4)))</formula>
    </cfRule>
    <cfRule type="containsText" dxfId="2" priority="238" operator="between" text="Valid">
      <formula>NOT(ISERROR(SEARCH("Valid",E4)))</formula>
    </cfRule>
    <cfRule type="containsText" dxfId="0" priority="240" operator="between" text="Expired">
      <formula>NOT(ISERROR(SEARCH("Expired",E4)))</formula>
    </cfRule>
  </conditionalFormatting>
  <conditionalFormatting sqref="H9:H10 H13 H15:H18 H20:H33">
    <cfRule type="iconSet" priority="1223">
      <iconSet iconSet="4TrafficLights" reverse="1">
        <cfvo type="percent" val="0"/>
        <cfvo type="num" val="330"/>
        <cfvo type="num" val="360"/>
        <cfvo type="num" val="450"/>
      </iconSet>
    </cfRule>
  </conditionalFormatting>
  <conditionalFormatting sqref="L9:L10 L13 L15:L18 L24:L33 L20:L22">
    <cfRule type="iconSet" priority="1227">
      <iconSet iconSet="4TrafficLights" reverse="1">
        <cfvo type="percent" val="0"/>
        <cfvo type="num" val="330"/>
        <cfvo type="num" val="360"/>
        <cfvo type="num" val="450"/>
      </iconSet>
    </cfRule>
  </conditionalFormatting>
  <conditionalFormatting sqref="D17:D18 D20:D25">
    <cfRule type="iconSet" priority="1219">
      <iconSet iconSet="4TrafficLights" reverse="1">
        <cfvo type="percent" val="0"/>
        <cfvo type="num" val="330"/>
        <cfvo type="num" val="360"/>
        <cfvo type="num" val="450"/>
      </iconSet>
    </cfRule>
  </conditionalFormatting>
  <dataValidations count="2">
    <dataValidation type="list" allowBlank="1" showInputMessage="1" sqref="C4:C33">
      <formula1>MarineSuperintendent</formula1>
    </dataValidation>
    <dataValidation type="list" allowBlank="1" showInputMessage="1" showErrorMessage="1" sqref="F4:F8 F10:F14 F17:F33 J4:J8 J10:J14 J17:J33 N4:N8 N10:N14 N17:N33">
      <formula1>Guide!$A$56</formula1>
    </dataValidation>
  </dataValidations>
  <pageMargins left="0.7" right="0.7" top="0.75" bottom="0.75" header="0.3" footer="0.3"/>
  <pageSetup paperSize="9" scale="68" fitToHeight="0"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A1:BW188"/>
  <sheetViews>
    <sheetView zoomScale="85" zoomScaleNormal="85" zoomScaleSheetLayoutView="120" workbookViewId="0">
      <pane xSplit="3" ySplit="2" topLeftCell="AC6" activePane="bottomRight" state="frozen"/>
      <selection/>
      <selection pane="topRight"/>
      <selection pane="bottomLeft"/>
      <selection pane="bottomRight" activeCell="AC3" sqref="AC3:AC54"/>
    </sheetView>
  </sheetViews>
  <sheetFormatPr defaultColWidth="9.42857142857143" defaultRowHeight="15"/>
  <cols>
    <col min="1" max="1" width="20.5714285714286" style="616" customWidth="1"/>
    <col min="2" max="2" width="14.4285714285714" style="616" customWidth="1"/>
    <col min="3" max="3" width="16.4285714285714" style="616" customWidth="1"/>
    <col min="4" max="4" width="13.5714285714286" style="697" customWidth="1"/>
    <col min="5" max="5" width="11.5714285714286" style="697" customWidth="1"/>
    <col min="6" max="8" width="9.57142857142857" style="616" customWidth="1"/>
    <col min="9" max="9" width="15.4285714285714" style="697" customWidth="1"/>
    <col min="10" max="10" width="12.5714285714286" style="697" customWidth="1"/>
    <col min="11" max="13" width="9.57142857142857" style="616" customWidth="1"/>
    <col min="14" max="14" width="11.5714285714286" style="697" customWidth="1"/>
    <col min="15" max="15" width="12.5714285714286" style="697" customWidth="1"/>
    <col min="16" max="18" width="9.57142857142857" style="616" customWidth="1"/>
    <col min="19" max="19" width="12.4285714285714" style="697" customWidth="1"/>
    <col min="20" max="20" width="13" style="697" customWidth="1"/>
    <col min="21" max="23" width="9.57142857142857" style="616" customWidth="1"/>
    <col min="24" max="24" width="12.4285714285714" style="697" customWidth="1"/>
    <col min="25" max="25" width="13" style="697" customWidth="1"/>
    <col min="26" max="28" width="9.57142857142857" style="616" customWidth="1"/>
    <col min="29" max="30" width="15.4285714285714" style="697" customWidth="1"/>
    <col min="31" max="33" width="9.57142857142857" style="616" customWidth="1"/>
    <col min="34" max="35" width="14.5714285714286" style="616" customWidth="1"/>
    <col min="36" max="36" width="14" style="616" customWidth="1"/>
    <col min="37" max="37" width="8.57142857142857" style="616" customWidth="1"/>
    <col min="38" max="38" width="9.57142857142857" style="616" customWidth="1"/>
    <col min="39" max="39" width="17.5714285714286" style="616" customWidth="1"/>
    <col min="40" max="40" width="11.5714285714286" style="697" customWidth="1"/>
    <col min="41" max="41" width="13.5714285714286" style="616" customWidth="1"/>
    <col min="42" max="42" width="15.2857142857143" style="616" customWidth="1"/>
    <col min="43" max="43" width="17" style="616" customWidth="1"/>
    <col min="44" max="44" width="11.5714285714286" style="697" customWidth="1"/>
    <col min="45" max="45" width="13.5714285714286" style="697" customWidth="1"/>
    <col min="46" max="47" width="12.5714285714286" style="697" customWidth="1"/>
    <col min="48" max="48" width="11" style="742" customWidth="1"/>
    <col min="49" max="49" width="12.4285714285714" style="742" customWidth="1"/>
    <col min="50" max="16384" width="9.42857142857143" style="616"/>
  </cols>
  <sheetData>
    <row r="1" ht="15.75" spans="1:38">
      <c r="A1" s="743"/>
      <c r="B1" s="507"/>
      <c r="C1" s="507"/>
      <c r="D1" s="744" t="s">
        <v>156</v>
      </c>
      <c r="E1" s="745"/>
      <c r="F1" s="745"/>
      <c r="G1" s="745"/>
      <c r="H1" s="746"/>
      <c r="I1" s="814" t="s">
        <v>157</v>
      </c>
      <c r="J1" s="814"/>
      <c r="K1" s="814"/>
      <c r="L1" s="814"/>
      <c r="M1" s="815"/>
      <c r="N1" s="816" t="s">
        <v>158</v>
      </c>
      <c r="O1" s="817"/>
      <c r="P1" s="817"/>
      <c r="Q1" s="817"/>
      <c r="R1" s="850"/>
      <c r="S1" s="851" t="s">
        <v>159</v>
      </c>
      <c r="T1" s="852"/>
      <c r="U1" s="852"/>
      <c r="V1" s="852"/>
      <c r="W1" s="853"/>
      <c r="X1" s="854" t="s">
        <v>160</v>
      </c>
      <c r="Y1" s="875"/>
      <c r="Z1" s="875"/>
      <c r="AA1" s="875"/>
      <c r="AB1" s="876"/>
      <c r="AC1" s="877" t="s">
        <v>161</v>
      </c>
      <c r="AD1" s="878"/>
      <c r="AE1" s="878"/>
      <c r="AF1" s="878"/>
      <c r="AG1" s="878"/>
      <c r="AH1" s="908" t="s">
        <v>162</v>
      </c>
      <c r="AI1" s="909"/>
      <c r="AJ1" s="909"/>
      <c r="AK1" s="909"/>
      <c r="AL1" s="909"/>
    </row>
    <row r="2" ht="46.5" customHeight="1" spans="1:49">
      <c r="A2" s="747" t="s">
        <v>163</v>
      </c>
      <c r="B2" s="748" t="s">
        <v>164</v>
      </c>
      <c r="C2" s="749" t="s">
        <v>165</v>
      </c>
      <c r="D2" s="750" t="s">
        <v>166</v>
      </c>
      <c r="E2" s="751" t="s">
        <v>167</v>
      </c>
      <c r="F2" s="752" t="s">
        <v>168</v>
      </c>
      <c r="G2" s="753" t="s">
        <v>169</v>
      </c>
      <c r="H2" s="754" t="s">
        <v>170</v>
      </c>
      <c r="I2" s="818" t="s">
        <v>171</v>
      </c>
      <c r="J2" s="819" t="s">
        <v>167</v>
      </c>
      <c r="K2" s="820" t="s">
        <v>168</v>
      </c>
      <c r="L2" s="821" t="s">
        <v>172</v>
      </c>
      <c r="M2" s="822" t="s">
        <v>170</v>
      </c>
      <c r="N2" s="823" t="s">
        <v>173</v>
      </c>
      <c r="O2" s="824" t="s">
        <v>167</v>
      </c>
      <c r="P2" s="825" t="s">
        <v>168</v>
      </c>
      <c r="Q2" s="825" t="s">
        <v>169</v>
      </c>
      <c r="R2" s="855" t="s">
        <v>170</v>
      </c>
      <c r="S2" s="856" t="s">
        <v>174</v>
      </c>
      <c r="T2" s="857" t="s">
        <v>167</v>
      </c>
      <c r="U2" s="858" t="s">
        <v>168</v>
      </c>
      <c r="V2" s="859" t="s">
        <v>172</v>
      </c>
      <c r="W2" s="860" t="s">
        <v>170</v>
      </c>
      <c r="X2" s="861" t="s">
        <v>175</v>
      </c>
      <c r="Y2" s="879" t="s">
        <v>167</v>
      </c>
      <c r="Z2" s="880" t="s">
        <v>168</v>
      </c>
      <c r="AA2" s="881" t="s">
        <v>172</v>
      </c>
      <c r="AB2" s="882" t="s">
        <v>170</v>
      </c>
      <c r="AC2" s="883" t="s">
        <v>176</v>
      </c>
      <c r="AD2" s="884" t="s">
        <v>167</v>
      </c>
      <c r="AE2" s="885" t="s">
        <v>168</v>
      </c>
      <c r="AF2" s="886" t="s">
        <v>172</v>
      </c>
      <c r="AG2" s="910" t="s">
        <v>170</v>
      </c>
      <c r="AH2" s="911" t="s">
        <v>177</v>
      </c>
      <c r="AI2" s="912" t="s">
        <v>167</v>
      </c>
      <c r="AJ2" s="913" t="s">
        <v>168</v>
      </c>
      <c r="AK2" s="914" t="s">
        <v>172</v>
      </c>
      <c r="AL2" s="915" t="s">
        <v>170</v>
      </c>
      <c r="AM2" s="916" t="s">
        <v>178</v>
      </c>
      <c r="AN2" s="917" t="s">
        <v>179</v>
      </c>
      <c r="AO2" s="934"/>
      <c r="AP2" s="935" t="s">
        <v>180</v>
      </c>
      <c r="AQ2" s="935" t="s">
        <v>181</v>
      </c>
      <c r="AR2" s="936" t="s">
        <v>182</v>
      </c>
      <c r="AS2" s="936" t="s">
        <v>183</v>
      </c>
      <c r="AT2" s="936" t="s">
        <v>184</v>
      </c>
      <c r="AU2" s="936" t="s">
        <v>185</v>
      </c>
      <c r="AV2" s="937" t="s">
        <v>186</v>
      </c>
      <c r="AW2" s="949" t="s">
        <v>187</v>
      </c>
    </row>
    <row r="3" ht="15.75" spans="1:49">
      <c r="A3" s="755" t="str">
        <f>' IA-SI DRY'!B4</f>
        <v>Cielo di Valparaiso</v>
      </c>
      <c r="B3" s="523"/>
      <c r="C3" s="756"/>
      <c r="D3" s="757"/>
      <c r="E3" s="758"/>
      <c r="F3" s="759">
        <f>G3+H3</f>
        <v>0</v>
      </c>
      <c r="G3" s="760"/>
      <c r="H3" s="761"/>
      <c r="I3" s="757"/>
      <c r="J3" s="758"/>
      <c r="K3" s="826">
        <f>L3+M3</f>
        <v>0</v>
      </c>
      <c r="L3" s="760"/>
      <c r="M3" s="761"/>
      <c r="N3" s="757"/>
      <c r="O3" s="758"/>
      <c r="P3" s="827">
        <f>Q3+R3</f>
        <v>0</v>
      </c>
      <c r="Q3" s="523"/>
      <c r="R3" s="862"/>
      <c r="S3" s="757"/>
      <c r="T3" s="758"/>
      <c r="U3" s="863">
        <f>V3+W3</f>
        <v>0</v>
      </c>
      <c r="V3" s="760"/>
      <c r="W3" s="761"/>
      <c r="X3" s="864"/>
      <c r="Y3" s="887"/>
      <c r="Z3" s="888"/>
      <c r="AA3" s="889"/>
      <c r="AB3" s="890"/>
      <c r="AC3" s="757"/>
      <c r="AD3" s="758"/>
      <c r="AE3" s="891">
        <f>AF3+AG3</f>
        <v>0</v>
      </c>
      <c r="AF3" s="760"/>
      <c r="AG3" s="761"/>
      <c r="AH3" s="757"/>
      <c r="AI3" s="758"/>
      <c r="AJ3" s="918">
        <f t="shared" ref="AJ3:AJ46" si="0">AK3+AL3</f>
        <v>0</v>
      </c>
      <c r="AK3" s="760"/>
      <c r="AL3" s="761"/>
      <c r="AM3" s="919"/>
      <c r="AN3" s="920"/>
      <c r="AO3" s="920"/>
      <c r="AP3" s="920"/>
      <c r="AQ3" s="920"/>
      <c r="AR3" s="938"/>
      <c r="AS3" s="938"/>
      <c r="AT3" s="938"/>
      <c r="AU3" s="938"/>
      <c r="AV3" s="939">
        <f t="shared" ref="AV3:AV26" si="1">AU3-AR3</f>
        <v>0</v>
      </c>
      <c r="AW3" s="939">
        <f>AT3-AS3</f>
        <v>0</v>
      </c>
    </row>
    <row r="4" spans="1:49">
      <c r="A4" s="762"/>
      <c r="B4" s="531"/>
      <c r="C4" s="763"/>
      <c r="D4" s="764"/>
      <c r="E4" s="765"/>
      <c r="F4" s="766">
        <f t="shared" ref="F4:F46" si="2">G4+H4</f>
        <v>0</v>
      </c>
      <c r="G4" s="531"/>
      <c r="H4" s="767"/>
      <c r="I4" s="764"/>
      <c r="J4" s="795"/>
      <c r="K4" s="828">
        <f t="shared" ref="K4:K46" si="3">L4+M4</f>
        <v>0</v>
      </c>
      <c r="L4" s="531"/>
      <c r="M4" s="767"/>
      <c r="N4" s="829"/>
      <c r="O4" s="795"/>
      <c r="P4" s="830">
        <f t="shared" ref="P4:P46" si="4">Q4+R4</f>
        <v>0</v>
      </c>
      <c r="Q4" s="531"/>
      <c r="R4" s="865"/>
      <c r="S4" s="764"/>
      <c r="T4" s="795"/>
      <c r="U4" s="866">
        <f t="shared" ref="U4:U46" si="5">V4+W4</f>
        <v>0</v>
      </c>
      <c r="V4" s="531"/>
      <c r="W4" s="767"/>
      <c r="X4" s="867"/>
      <c r="Y4" s="892"/>
      <c r="Z4" s="893"/>
      <c r="AA4" s="893"/>
      <c r="AB4" s="894"/>
      <c r="AC4" s="765"/>
      <c r="AD4" s="795"/>
      <c r="AE4" s="895">
        <f t="shared" ref="AE4:AE46" si="6">AF4+AG4</f>
        <v>0</v>
      </c>
      <c r="AF4" s="531"/>
      <c r="AG4" s="767"/>
      <c r="AH4" s="765"/>
      <c r="AI4" s="795"/>
      <c r="AJ4" s="921">
        <f t="shared" si="0"/>
        <v>0</v>
      </c>
      <c r="AK4" s="531"/>
      <c r="AL4" s="767"/>
      <c r="AM4" s="922"/>
      <c r="AN4" s="923"/>
      <c r="AO4" s="923"/>
      <c r="AP4" s="923"/>
      <c r="AQ4" s="923"/>
      <c r="AR4" s="940"/>
      <c r="AS4" s="940"/>
      <c r="AT4" s="940"/>
      <c r="AU4" s="940"/>
      <c r="AV4" s="941">
        <f t="shared" si="1"/>
        <v>0</v>
      </c>
      <c r="AW4" s="941">
        <f t="shared" ref="AW4:AW46" si="7">AT4-AS4</f>
        <v>0</v>
      </c>
    </row>
    <row r="5" spans="1:49">
      <c r="A5" s="762"/>
      <c r="B5" s="531"/>
      <c r="C5" s="763"/>
      <c r="D5" s="764"/>
      <c r="E5" s="765"/>
      <c r="F5" s="766">
        <f t="shared" si="2"/>
        <v>0</v>
      </c>
      <c r="G5" s="531"/>
      <c r="H5" s="767"/>
      <c r="I5" s="764"/>
      <c r="J5" s="795"/>
      <c r="K5" s="828">
        <f t="shared" si="3"/>
        <v>0</v>
      </c>
      <c r="L5" s="531"/>
      <c r="M5" s="767"/>
      <c r="N5" s="829"/>
      <c r="O5" s="795"/>
      <c r="P5" s="830">
        <f t="shared" si="4"/>
        <v>0</v>
      </c>
      <c r="Q5" s="531"/>
      <c r="R5" s="865"/>
      <c r="S5" s="764"/>
      <c r="T5" s="795"/>
      <c r="U5" s="866">
        <f t="shared" si="5"/>
        <v>0</v>
      </c>
      <c r="V5" s="531"/>
      <c r="W5" s="767"/>
      <c r="X5" s="867"/>
      <c r="Y5" s="892"/>
      <c r="Z5" s="893"/>
      <c r="AA5" s="893"/>
      <c r="AB5" s="894"/>
      <c r="AC5" s="765"/>
      <c r="AD5" s="795"/>
      <c r="AE5" s="895">
        <f t="shared" si="6"/>
        <v>0</v>
      </c>
      <c r="AF5" s="531"/>
      <c r="AG5" s="767"/>
      <c r="AH5" s="765"/>
      <c r="AI5" s="795"/>
      <c r="AJ5" s="921">
        <f t="shared" si="0"/>
        <v>0</v>
      </c>
      <c r="AK5" s="531"/>
      <c r="AL5" s="767"/>
      <c r="AM5" s="922"/>
      <c r="AN5" s="923"/>
      <c r="AO5" s="923"/>
      <c r="AP5" s="923"/>
      <c r="AQ5" s="923"/>
      <c r="AR5" s="940"/>
      <c r="AS5" s="940"/>
      <c r="AT5" s="940"/>
      <c r="AU5" s="940"/>
      <c r="AV5" s="941">
        <f t="shared" si="1"/>
        <v>0</v>
      </c>
      <c r="AW5" s="941">
        <f t="shared" si="7"/>
        <v>0</v>
      </c>
    </row>
    <row r="6" ht="15.75" spans="1:49">
      <c r="A6" s="768"/>
      <c r="B6" s="537"/>
      <c r="C6" s="769"/>
      <c r="D6" s="770"/>
      <c r="E6" s="771"/>
      <c r="F6" s="772">
        <f t="shared" si="2"/>
        <v>0</v>
      </c>
      <c r="G6" s="537"/>
      <c r="H6" s="773"/>
      <c r="I6" s="770"/>
      <c r="J6" s="797"/>
      <c r="K6" s="831">
        <f t="shared" si="3"/>
        <v>0</v>
      </c>
      <c r="L6" s="537"/>
      <c r="M6" s="773"/>
      <c r="N6" s="832"/>
      <c r="O6" s="797"/>
      <c r="P6" s="833">
        <f t="shared" si="4"/>
        <v>0</v>
      </c>
      <c r="Q6" s="537"/>
      <c r="R6" s="868"/>
      <c r="S6" s="770"/>
      <c r="T6" s="797"/>
      <c r="U6" s="869">
        <f t="shared" si="5"/>
        <v>0</v>
      </c>
      <c r="V6" s="537"/>
      <c r="W6" s="773"/>
      <c r="X6" s="870"/>
      <c r="Y6" s="896"/>
      <c r="Z6" s="897"/>
      <c r="AA6" s="897"/>
      <c r="AB6" s="898"/>
      <c r="AC6" s="899"/>
      <c r="AD6" s="797"/>
      <c r="AE6" s="900">
        <f t="shared" si="6"/>
        <v>0</v>
      </c>
      <c r="AF6" s="537"/>
      <c r="AG6" s="773"/>
      <c r="AH6" s="771"/>
      <c r="AI6" s="797"/>
      <c r="AJ6" s="924">
        <f t="shared" si="0"/>
        <v>0</v>
      </c>
      <c r="AK6" s="537"/>
      <c r="AL6" s="773"/>
      <c r="AM6" s="925"/>
      <c r="AN6" s="926"/>
      <c r="AO6" s="926"/>
      <c r="AP6" s="926"/>
      <c r="AQ6" s="926"/>
      <c r="AR6" s="942"/>
      <c r="AS6" s="942"/>
      <c r="AT6" s="942"/>
      <c r="AU6" s="942"/>
      <c r="AV6" s="943">
        <f t="shared" si="1"/>
        <v>0</v>
      </c>
      <c r="AW6" s="943">
        <f t="shared" si="7"/>
        <v>0</v>
      </c>
    </row>
    <row r="7" ht="15.75" spans="1:49">
      <c r="A7" s="774" t="str">
        <f>' IA-SI DRY'!B5</f>
        <v>Cielo Dei Maronti</v>
      </c>
      <c r="B7" s="587" t="s">
        <v>34</v>
      </c>
      <c r="C7" s="775" t="s">
        <v>36</v>
      </c>
      <c r="D7" s="764" t="s">
        <v>188</v>
      </c>
      <c r="E7" s="765" t="s">
        <v>188</v>
      </c>
      <c r="F7" s="776">
        <f t="shared" si="2"/>
        <v>4</v>
      </c>
      <c r="G7" s="777">
        <v>0</v>
      </c>
      <c r="H7" s="767">
        <v>4</v>
      </c>
      <c r="I7" s="764"/>
      <c r="J7" s="765"/>
      <c r="K7" s="828">
        <f t="shared" si="3"/>
        <v>0</v>
      </c>
      <c r="L7" s="777"/>
      <c r="M7" s="767"/>
      <c r="N7" s="764" t="s">
        <v>188</v>
      </c>
      <c r="O7" s="795" t="s">
        <v>188</v>
      </c>
      <c r="P7" s="834">
        <f t="shared" si="4"/>
        <v>5</v>
      </c>
      <c r="Q7" s="777">
        <v>0</v>
      </c>
      <c r="R7" s="767">
        <v>5</v>
      </c>
      <c r="S7" s="764"/>
      <c r="T7" s="795"/>
      <c r="U7" s="866">
        <f t="shared" si="5"/>
        <v>0</v>
      </c>
      <c r="V7" s="777"/>
      <c r="W7" s="767"/>
      <c r="X7" s="871"/>
      <c r="Y7" s="901"/>
      <c r="Z7" s="902"/>
      <c r="AA7" s="902"/>
      <c r="AB7" s="903"/>
      <c r="AC7" s="829" t="s">
        <v>188</v>
      </c>
      <c r="AD7" s="795" t="s">
        <v>188</v>
      </c>
      <c r="AE7" s="895">
        <f t="shared" si="6"/>
        <v>0</v>
      </c>
      <c r="AF7" s="777">
        <v>0</v>
      </c>
      <c r="AG7" s="767">
        <v>0</v>
      </c>
      <c r="AH7" s="764"/>
      <c r="AI7" s="795"/>
      <c r="AJ7" s="921">
        <f t="shared" si="0"/>
        <v>0</v>
      </c>
      <c r="AK7" s="777"/>
      <c r="AL7" s="767"/>
      <c r="AM7" s="919"/>
      <c r="AN7" s="920"/>
      <c r="AO7" s="920"/>
      <c r="AP7" s="920" t="s">
        <v>189</v>
      </c>
      <c r="AQ7" s="920" t="s">
        <v>190</v>
      </c>
      <c r="AR7" s="938">
        <v>45508</v>
      </c>
      <c r="AS7" s="938">
        <v>45509</v>
      </c>
      <c r="AT7" s="938">
        <v>45511</v>
      </c>
      <c r="AU7" s="938">
        <v>45514</v>
      </c>
      <c r="AV7" s="939">
        <f t="shared" si="1"/>
        <v>6</v>
      </c>
      <c r="AW7" s="946">
        <f t="shared" si="7"/>
        <v>2</v>
      </c>
    </row>
    <row r="8" spans="1:49">
      <c r="A8" s="762"/>
      <c r="B8" s="531"/>
      <c r="C8" s="763"/>
      <c r="D8" s="764"/>
      <c r="E8" s="765"/>
      <c r="F8" s="776">
        <f t="shared" si="2"/>
        <v>0</v>
      </c>
      <c r="G8" s="531"/>
      <c r="H8" s="767"/>
      <c r="I8" s="764"/>
      <c r="J8" s="795"/>
      <c r="K8" s="828">
        <f t="shared" si="3"/>
        <v>0</v>
      </c>
      <c r="L8" s="531"/>
      <c r="M8" s="767"/>
      <c r="N8" s="764"/>
      <c r="O8" s="795"/>
      <c r="P8" s="834">
        <f t="shared" si="4"/>
        <v>0</v>
      </c>
      <c r="Q8" s="531"/>
      <c r="R8" s="767"/>
      <c r="S8" s="764"/>
      <c r="T8" s="795"/>
      <c r="U8" s="866">
        <f t="shared" si="5"/>
        <v>0</v>
      </c>
      <c r="V8" s="531"/>
      <c r="W8" s="767"/>
      <c r="X8" s="867"/>
      <c r="Y8" s="892"/>
      <c r="Z8" s="893"/>
      <c r="AA8" s="893"/>
      <c r="AB8" s="894"/>
      <c r="AC8" s="829"/>
      <c r="AD8" s="795"/>
      <c r="AE8" s="895">
        <f t="shared" si="6"/>
        <v>0</v>
      </c>
      <c r="AF8" s="531"/>
      <c r="AG8" s="767"/>
      <c r="AH8" s="764"/>
      <c r="AI8" s="795"/>
      <c r="AJ8" s="921">
        <f t="shared" si="0"/>
        <v>0</v>
      </c>
      <c r="AK8" s="531"/>
      <c r="AL8" s="767"/>
      <c r="AM8" s="922"/>
      <c r="AN8" s="923"/>
      <c r="AO8" s="923"/>
      <c r="AP8" s="923"/>
      <c r="AQ8" s="923"/>
      <c r="AR8" s="940"/>
      <c r="AS8" s="940"/>
      <c r="AT8" s="940"/>
      <c r="AU8" s="940"/>
      <c r="AV8" s="941">
        <f t="shared" si="1"/>
        <v>0</v>
      </c>
      <c r="AW8" s="941">
        <f t="shared" si="7"/>
        <v>0</v>
      </c>
    </row>
    <row r="9" spans="1:49">
      <c r="A9" s="762"/>
      <c r="B9" s="531"/>
      <c r="C9" s="763"/>
      <c r="D9" s="764"/>
      <c r="E9" s="765"/>
      <c r="F9" s="776">
        <f t="shared" si="2"/>
        <v>0</v>
      </c>
      <c r="G9" s="531"/>
      <c r="H9" s="767"/>
      <c r="I9" s="764"/>
      <c r="J9" s="795"/>
      <c r="K9" s="828">
        <f t="shared" si="3"/>
        <v>0</v>
      </c>
      <c r="L9" s="531"/>
      <c r="M9" s="767"/>
      <c r="N9" s="764"/>
      <c r="O9" s="795"/>
      <c r="P9" s="834">
        <f t="shared" si="4"/>
        <v>0</v>
      </c>
      <c r="Q9" s="531"/>
      <c r="R9" s="767"/>
      <c r="S9" s="764"/>
      <c r="T9" s="795"/>
      <c r="U9" s="866">
        <f t="shared" si="5"/>
        <v>0</v>
      </c>
      <c r="V9" s="531"/>
      <c r="W9" s="767"/>
      <c r="X9" s="867"/>
      <c r="Y9" s="892"/>
      <c r="Z9" s="893"/>
      <c r="AA9" s="893"/>
      <c r="AB9" s="894"/>
      <c r="AC9" s="829"/>
      <c r="AD9" s="795"/>
      <c r="AE9" s="895">
        <f t="shared" si="6"/>
        <v>0</v>
      </c>
      <c r="AF9" s="531"/>
      <c r="AG9" s="767"/>
      <c r="AH9" s="764"/>
      <c r="AI9" s="795"/>
      <c r="AJ9" s="921">
        <f t="shared" si="0"/>
        <v>0</v>
      </c>
      <c r="AK9" s="531"/>
      <c r="AL9" s="767"/>
      <c r="AM9" s="922"/>
      <c r="AN9" s="923"/>
      <c r="AO9" s="923"/>
      <c r="AP9" s="923"/>
      <c r="AQ9" s="923"/>
      <c r="AR9" s="940"/>
      <c r="AS9" s="940"/>
      <c r="AT9" s="940"/>
      <c r="AU9" s="940"/>
      <c r="AV9" s="941">
        <f t="shared" si="1"/>
        <v>0</v>
      </c>
      <c r="AW9" s="941">
        <f t="shared" si="7"/>
        <v>0</v>
      </c>
    </row>
    <row r="10" ht="15.75" spans="1:49">
      <c r="A10" s="768"/>
      <c r="B10" s="537"/>
      <c r="C10" s="769"/>
      <c r="D10" s="770"/>
      <c r="E10" s="771"/>
      <c r="F10" s="772">
        <f t="shared" si="2"/>
        <v>0</v>
      </c>
      <c r="G10" s="537"/>
      <c r="H10" s="773"/>
      <c r="I10" s="770"/>
      <c r="J10" s="797"/>
      <c r="K10" s="831">
        <f t="shared" si="3"/>
        <v>0</v>
      </c>
      <c r="L10" s="537"/>
      <c r="M10" s="773"/>
      <c r="N10" s="770"/>
      <c r="O10" s="797"/>
      <c r="P10" s="835">
        <f t="shared" si="4"/>
        <v>0</v>
      </c>
      <c r="Q10" s="537"/>
      <c r="R10" s="773"/>
      <c r="S10" s="770"/>
      <c r="T10" s="797"/>
      <c r="U10" s="869">
        <f t="shared" si="5"/>
        <v>0</v>
      </c>
      <c r="V10" s="537"/>
      <c r="W10" s="773"/>
      <c r="X10" s="870"/>
      <c r="Y10" s="896"/>
      <c r="Z10" s="897"/>
      <c r="AA10" s="897"/>
      <c r="AB10" s="898"/>
      <c r="AC10" s="832"/>
      <c r="AD10" s="797"/>
      <c r="AE10" s="900">
        <f t="shared" si="6"/>
        <v>0</v>
      </c>
      <c r="AF10" s="537"/>
      <c r="AG10" s="773"/>
      <c r="AH10" s="770"/>
      <c r="AI10" s="797"/>
      <c r="AJ10" s="924">
        <f t="shared" si="0"/>
        <v>0</v>
      </c>
      <c r="AK10" s="537"/>
      <c r="AL10" s="773"/>
      <c r="AM10" s="927"/>
      <c r="AN10" s="928"/>
      <c r="AO10" s="928"/>
      <c r="AP10" s="928"/>
      <c r="AQ10" s="928"/>
      <c r="AR10" s="944"/>
      <c r="AS10" s="944"/>
      <c r="AT10" s="944"/>
      <c r="AU10" s="944"/>
      <c r="AV10" s="943">
        <f t="shared" si="1"/>
        <v>0</v>
      </c>
      <c r="AW10" s="947">
        <f t="shared" si="7"/>
        <v>0</v>
      </c>
    </row>
    <row r="11" ht="15.75" spans="1:49">
      <c r="A11" s="774" t="str">
        <f>' IA-SI DRY'!B6</f>
        <v>Medi Adriatico</v>
      </c>
      <c r="B11" s="587" t="s">
        <v>35</v>
      </c>
      <c r="C11" s="775" t="s">
        <v>36</v>
      </c>
      <c r="D11" s="764" t="s">
        <v>191</v>
      </c>
      <c r="E11" s="765" t="s">
        <v>192</v>
      </c>
      <c r="F11" s="776">
        <f t="shared" si="2"/>
        <v>3</v>
      </c>
      <c r="G11" s="777">
        <v>0</v>
      </c>
      <c r="H11" s="767">
        <v>3</v>
      </c>
      <c r="I11" s="764" t="s">
        <v>193</v>
      </c>
      <c r="J11" s="765" t="s">
        <v>194</v>
      </c>
      <c r="K11" s="828">
        <f t="shared" si="3"/>
        <v>5</v>
      </c>
      <c r="L11" s="777">
        <v>0</v>
      </c>
      <c r="M11" s="767">
        <v>5</v>
      </c>
      <c r="N11" s="764"/>
      <c r="O11" s="758"/>
      <c r="P11" s="834">
        <f t="shared" si="4"/>
        <v>0</v>
      </c>
      <c r="Q11" s="777"/>
      <c r="R11" s="767"/>
      <c r="S11" s="829"/>
      <c r="T11" s="795"/>
      <c r="U11" s="866">
        <f t="shared" si="5"/>
        <v>0</v>
      </c>
      <c r="V11" s="777"/>
      <c r="W11" s="767"/>
      <c r="X11" s="871"/>
      <c r="Y11" s="901"/>
      <c r="Z11" s="902"/>
      <c r="AA11" s="902"/>
      <c r="AB11" s="903"/>
      <c r="AC11" s="764" t="s">
        <v>193</v>
      </c>
      <c r="AD11" s="765" t="s">
        <v>194</v>
      </c>
      <c r="AE11" s="895">
        <f t="shared" si="6"/>
        <v>0</v>
      </c>
      <c r="AF11" s="777">
        <v>0</v>
      </c>
      <c r="AG11" s="767">
        <v>0</v>
      </c>
      <c r="AH11" s="829"/>
      <c r="AI11" s="758"/>
      <c r="AJ11" s="921">
        <f t="shared" si="0"/>
        <v>0</v>
      </c>
      <c r="AK11" s="777"/>
      <c r="AL11" s="767"/>
      <c r="AM11" s="764"/>
      <c r="AN11" s="929"/>
      <c r="AO11" s="923"/>
      <c r="AP11" s="929" t="s">
        <v>195</v>
      </c>
      <c r="AQ11" s="929" t="s">
        <v>195</v>
      </c>
      <c r="AR11" s="945">
        <v>45506</v>
      </c>
      <c r="AS11" s="945">
        <v>45506</v>
      </c>
      <c r="AT11" s="945">
        <v>45509</v>
      </c>
      <c r="AU11" s="945">
        <v>45509</v>
      </c>
      <c r="AV11" s="939">
        <f t="shared" si="1"/>
        <v>3</v>
      </c>
      <c r="AW11" s="939">
        <f t="shared" si="7"/>
        <v>3</v>
      </c>
    </row>
    <row r="12" spans="1:49">
      <c r="A12" s="762"/>
      <c r="B12" s="531"/>
      <c r="C12" s="763"/>
      <c r="D12" s="764"/>
      <c r="E12" s="765"/>
      <c r="F12" s="776">
        <f t="shared" si="2"/>
        <v>0</v>
      </c>
      <c r="G12" s="531"/>
      <c r="H12" s="767"/>
      <c r="I12" s="764"/>
      <c r="J12" s="795"/>
      <c r="K12" s="828">
        <f t="shared" si="3"/>
        <v>0</v>
      </c>
      <c r="L12" s="531"/>
      <c r="M12" s="767"/>
      <c r="N12" s="829"/>
      <c r="O12" s="795"/>
      <c r="P12" s="834">
        <f t="shared" si="4"/>
        <v>0</v>
      </c>
      <c r="Q12" s="531"/>
      <c r="R12" s="767"/>
      <c r="S12" s="829"/>
      <c r="T12" s="795"/>
      <c r="U12" s="866">
        <f t="shared" si="5"/>
        <v>0</v>
      </c>
      <c r="V12" s="531"/>
      <c r="W12" s="767"/>
      <c r="X12" s="867"/>
      <c r="Y12" s="892"/>
      <c r="Z12" s="893"/>
      <c r="AA12" s="893"/>
      <c r="AB12" s="894"/>
      <c r="AC12" s="829"/>
      <c r="AD12" s="795"/>
      <c r="AE12" s="895">
        <f t="shared" si="6"/>
        <v>0</v>
      </c>
      <c r="AF12" s="531"/>
      <c r="AG12" s="767"/>
      <c r="AH12" s="764"/>
      <c r="AI12" s="795"/>
      <c r="AJ12" s="921">
        <f t="shared" si="0"/>
        <v>0</v>
      </c>
      <c r="AK12" s="531"/>
      <c r="AL12" s="767"/>
      <c r="AM12" s="764"/>
      <c r="AN12" s="923"/>
      <c r="AO12" s="923"/>
      <c r="AP12" s="929"/>
      <c r="AQ12" s="929"/>
      <c r="AR12" s="945"/>
      <c r="AS12" s="945"/>
      <c r="AT12" s="945"/>
      <c r="AU12" s="945"/>
      <c r="AV12" s="941">
        <f t="shared" si="1"/>
        <v>0</v>
      </c>
      <c r="AW12" s="941">
        <f t="shared" si="7"/>
        <v>0</v>
      </c>
    </row>
    <row r="13" spans="1:49">
      <c r="A13" s="762"/>
      <c r="B13" s="531"/>
      <c r="C13" s="763"/>
      <c r="D13" s="764"/>
      <c r="E13" s="765"/>
      <c r="F13" s="776">
        <f t="shared" si="2"/>
        <v>0</v>
      </c>
      <c r="G13" s="531"/>
      <c r="H13" s="767"/>
      <c r="I13" s="764"/>
      <c r="J13" s="795"/>
      <c r="K13" s="828">
        <f t="shared" si="3"/>
        <v>0</v>
      </c>
      <c r="L13" s="531"/>
      <c r="M13" s="767"/>
      <c r="N13" s="764"/>
      <c r="O13" s="795"/>
      <c r="P13" s="834">
        <f t="shared" si="4"/>
        <v>0</v>
      </c>
      <c r="Q13" s="531"/>
      <c r="R13" s="767"/>
      <c r="S13" s="829"/>
      <c r="T13" s="795"/>
      <c r="U13" s="866">
        <f t="shared" si="5"/>
        <v>0</v>
      </c>
      <c r="V13" s="531"/>
      <c r="W13" s="767"/>
      <c r="X13" s="867"/>
      <c r="Y13" s="892"/>
      <c r="Z13" s="893"/>
      <c r="AA13" s="893"/>
      <c r="AB13" s="894"/>
      <c r="AC13" s="829"/>
      <c r="AD13" s="795"/>
      <c r="AE13" s="895">
        <f t="shared" si="6"/>
        <v>0</v>
      </c>
      <c r="AF13" s="531"/>
      <c r="AG13" s="767"/>
      <c r="AH13" s="764"/>
      <c r="AI13" s="795"/>
      <c r="AJ13" s="921">
        <f t="shared" si="0"/>
        <v>0</v>
      </c>
      <c r="AK13" s="531"/>
      <c r="AL13" s="767"/>
      <c r="AM13" s="922"/>
      <c r="AN13" s="923"/>
      <c r="AO13" s="504"/>
      <c r="AP13" s="923"/>
      <c r="AQ13" s="923"/>
      <c r="AR13" s="940"/>
      <c r="AS13" s="940"/>
      <c r="AT13" s="940"/>
      <c r="AU13" s="940"/>
      <c r="AV13" s="941">
        <f t="shared" si="1"/>
        <v>0</v>
      </c>
      <c r="AW13" s="941">
        <f t="shared" si="7"/>
        <v>0</v>
      </c>
    </row>
    <row r="14" ht="15.75" spans="1:49">
      <c r="A14" s="768"/>
      <c r="B14" s="537"/>
      <c r="C14" s="769"/>
      <c r="D14" s="770"/>
      <c r="E14" s="771"/>
      <c r="F14" s="772">
        <f t="shared" si="2"/>
        <v>0</v>
      </c>
      <c r="G14" s="537"/>
      <c r="H14" s="773"/>
      <c r="I14" s="770"/>
      <c r="J14" s="797"/>
      <c r="K14" s="831">
        <f t="shared" si="3"/>
        <v>0</v>
      </c>
      <c r="L14" s="537"/>
      <c r="M14" s="773"/>
      <c r="N14" s="770"/>
      <c r="O14" s="797"/>
      <c r="P14" s="835">
        <f t="shared" si="4"/>
        <v>0</v>
      </c>
      <c r="Q14" s="537"/>
      <c r="R14" s="773"/>
      <c r="S14" s="832"/>
      <c r="T14" s="797"/>
      <c r="U14" s="869">
        <f t="shared" si="5"/>
        <v>0</v>
      </c>
      <c r="V14" s="537"/>
      <c r="W14" s="773"/>
      <c r="X14" s="870"/>
      <c r="Y14" s="896"/>
      <c r="Z14" s="897"/>
      <c r="AA14" s="897"/>
      <c r="AB14" s="898"/>
      <c r="AC14" s="832"/>
      <c r="AD14" s="797"/>
      <c r="AE14" s="900">
        <f t="shared" si="6"/>
        <v>0</v>
      </c>
      <c r="AF14" s="537"/>
      <c r="AG14" s="773"/>
      <c r="AH14" s="770"/>
      <c r="AI14" s="797"/>
      <c r="AJ14" s="924">
        <f t="shared" si="0"/>
        <v>0</v>
      </c>
      <c r="AK14" s="537"/>
      <c r="AL14" s="773"/>
      <c r="AM14" s="925"/>
      <c r="AN14" s="926"/>
      <c r="AO14" s="926"/>
      <c r="AP14" s="926"/>
      <c r="AQ14" s="926"/>
      <c r="AR14" s="942"/>
      <c r="AS14" s="942"/>
      <c r="AT14" s="942"/>
      <c r="AU14" s="942"/>
      <c r="AV14" s="943">
        <f t="shared" si="1"/>
        <v>0</v>
      </c>
      <c r="AW14" s="943">
        <f t="shared" si="7"/>
        <v>0</v>
      </c>
    </row>
    <row r="15" ht="15.75" spans="1:49">
      <c r="A15" s="774" t="str">
        <f>' IA-SI DRY'!B7</f>
        <v>Medi Atlantico</v>
      </c>
      <c r="B15" s="587" t="s">
        <v>25</v>
      </c>
      <c r="C15" s="775" t="s">
        <v>37</v>
      </c>
      <c r="D15" s="764" t="s">
        <v>196</v>
      </c>
      <c r="E15" s="765" t="s">
        <v>196</v>
      </c>
      <c r="F15" s="778">
        <f t="shared" si="2"/>
        <v>5</v>
      </c>
      <c r="G15" s="777">
        <v>0</v>
      </c>
      <c r="H15" s="767">
        <v>5</v>
      </c>
      <c r="I15" s="764"/>
      <c r="J15" s="795"/>
      <c r="K15" s="828">
        <f t="shared" si="3"/>
        <v>0</v>
      </c>
      <c r="L15" s="777"/>
      <c r="M15" s="767"/>
      <c r="N15" s="764"/>
      <c r="O15" s="795"/>
      <c r="P15" s="834">
        <f t="shared" si="4"/>
        <v>0</v>
      </c>
      <c r="Q15" s="777"/>
      <c r="R15" s="767"/>
      <c r="S15" s="829"/>
      <c r="T15" s="795"/>
      <c r="U15" s="866">
        <f t="shared" si="5"/>
        <v>0</v>
      </c>
      <c r="V15" s="777"/>
      <c r="W15" s="767"/>
      <c r="X15" s="871"/>
      <c r="Y15" s="901"/>
      <c r="Z15" s="902"/>
      <c r="AA15" s="902"/>
      <c r="AB15" s="903"/>
      <c r="AC15" s="829" t="s">
        <v>196</v>
      </c>
      <c r="AD15" s="795" t="s">
        <v>196</v>
      </c>
      <c r="AE15" s="895">
        <f t="shared" si="6"/>
        <v>0</v>
      </c>
      <c r="AF15" s="777">
        <v>0</v>
      </c>
      <c r="AG15" s="767">
        <v>0</v>
      </c>
      <c r="AH15" s="764"/>
      <c r="AI15" s="795"/>
      <c r="AJ15" s="921">
        <f t="shared" si="0"/>
        <v>0</v>
      </c>
      <c r="AK15" s="777"/>
      <c r="AL15" s="767"/>
      <c r="AM15" s="919"/>
      <c r="AN15" s="920"/>
      <c r="AO15" s="920"/>
      <c r="AP15" s="920" t="s">
        <v>197</v>
      </c>
      <c r="AQ15" s="920" t="s">
        <v>197</v>
      </c>
      <c r="AR15" s="938">
        <v>45466</v>
      </c>
      <c r="AS15" s="938">
        <v>45467</v>
      </c>
      <c r="AT15" s="938">
        <v>45469</v>
      </c>
      <c r="AU15" s="938">
        <v>45471</v>
      </c>
      <c r="AV15" s="939">
        <f t="shared" si="1"/>
        <v>5</v>
      </c>
      <c r="AW15" s="939">
        <f t="shared" si="7"/>
        <v>2</v>
      </c>
    </row>
    <row r="16" spans="1:49">
      <c r="A16" s="762"/>
      <c r="B16" s="531"/>
      <c r="C16" s="763"/>
      <c r="D16" s="764"/>
      <c r="E16" s="765"/>
      <c r="F16" s="779">
        <f t="shared" si="2"/>
        <v>0</v>
      </c>
      <c r="G16" s="531"/>
      <c r="H16" s="767"/>
      <c r="I16" s="764"/>
      <c r="J16" s="795"/>
      <c r="K16" s="828">
        <f t="shared" si="3"/>
        <v>0</v>
      </c>
      <c r="L16" s="531"/>
      <c r="M16" s="767"/>
      <c r="N16" s="764"/>
      <c r="O16" s="795"/>
      <c r="P16" s="834">
        <f t="shared" si="4"/>
        <v>0</v>
      </c>
      <c r="Q16" s="531"/>
      <c r="R16" s="767"/>
      <c r="S16" s="829"/>
      <c r="T16" s="795"/>
      <c r="U16" s="866">
        <f t="shared" si="5"/>
        <v>0</v>
      </c>
      <c r="V16" s="531"/>
      <c r="W16" s="767"/>
      <c r="X16" s="867"/>
      <c r="Y16" s="892"/>
      <c r="Z16" s="893"/>
      <c r="AA16" s="893"/>
      <c r="AB16" s="894"/>
      <c r="AC16" s="829"/>
      <c r="AD16" s="795"/>
      <c r="AE16" s="895">
        <f t="shared" si="6"/>
        <v>0</v>
      </c>
      <c r="AF16" s="531"/>
      <c r="AG16" s="767"/>
      <c r="AH16" s="764"/>
      <c r="AI16" s="795"/>
      <c r="AJ16" s="921">
        <f t="shared" si="0"/>
        <v>0</v>
      </c>
      <c r="AK16" s="531"/>
      <c r="AL16" s="767"/>
      <c r="AM16" s="922"/>
      <c r="AN16" s="923"/>
      <c r="AO16" s="923"/>
      <c r="AP16" s="923"/>
      <c r="AQ16" s="923"/>
      <c r="AR16" s="940"/>
      <c r="AS16" s="940"/>
      <c r="AT16" s="940"/>
      <c r="AU16" s="940"/>
      <c r="AV16" s="941">
        <f t="shared" si="1"/>
        <v>0</v>
      </c>
      <c r="AW16" s="941">
        <f t="shared" si="7"/>
        <v>0</v>
      </c>
    </row>
    <row r="17" spans="1:49">
      <c r="A17" s="762"/>
      <c r="B17" s="531"/>
      <c r="C17" s="763"/>
      <c r="D17" s="764"/>
      <c r="E17" s="765"/>
      <c r="F17" s="776">
        <f t="shared" si="2"/>
        <v>0</v>
      </c>
      <c r="G17" s="531"/>
      <c r="H17" s="767"/>
      <c r="I17" s="764"/>
      <c r="J17" s="795"/>
      <c r="K17" s="828">
        <f t="shared" si="3"/>
        <v>0</v>
      </c>
      <c r="L17" s="531"/>
      <c r="M17" s="767"/>
      <c r="N17" s="764"/>
      <c r="O17" s="795"/>
      <c r="P17" s="834">
        <f t="shared" si="4"/>
        <v>0</v>
      </c>
      <c r="Q17" s="531"/>
      <c r="R17" s="767"/>
      <c r="S17" s="829"/>
      <c r="T17" s="795"/>
      <c r="U17" s="866">
        <f t="shared" si="5"/>
        <v>0</v>
      </c>
      <c r="V17" s="531"/>
      <c r="W17" s="767"/>
      <c r="X17" s="867"/>
      <c r="Y17" s="892"/>
      <c r="Z17" s="893"/>
      <c r="AA17" s="893"/>
      <c r="AB17" s="894"/>
      <c r="AC17" s="829"/>
      <c r="AD17" s="795"/>
      <c r="AE17" s="895">
        <f t="shared" si="6"/>
        <v>0</v>
      </c>
      <c r="AF17" s="531"/>
      <c r="AG17" s="767"/>
      <c r="AH17" s="764"/>
      <c r="AI17" s="795"/>
      <c r="AJ17" s="921">
        <f t="shared" si="0"/>
        <v>0</v>
      </c>
      <c r="AK17" s="531"/>
      <c r="AL17" s="767"/>
      <c r="AM17" s="922"/>
      <c r="AN17" s="923"/>
      <c r="AO17" s="923"/>
      <c r="AP17" s="923"/>
      <c r="AQ17" s="923"/>
      <c r="AR17" s="940"/>
      <c r="AS17" s="940"/>
      <c r="AT17" s="940"/>
      <c r="AU17" s="940"/>
      <c r="AV17" s="941">
        <f t="shared" si="1"/>
        <v>0</v>
      </c>
      <c r="AW17" s="941">
        <f t="shared" si="7"/>
        <v>0</v>
      </c>
    </row>
    <row r="18" ht="15.75" spans="1:49">
      <c r="A18" s="768"/>
      <c r="B18" s="537"/>
      <c r="C18" s="769"/>
      <c r="D18" s="770"/>
      <c r="E18" s="771"/>
      <c r="F18" s="772">
        <f t="shared" si="2"/>
        <v>0</v>
      </c>
      <c r="G18" s="537"/>
      <c r="H18" s="773"/>
      <c r="I18" s="770"/>
      <c r="J18" s="797"/>
      <c r="K18" s="831">
        <f t="shared" si="3"/>
        <v>0</v>
      </c>
      <c r="L18" s="537"/>
      <c r="M18" s="773"/>
      <c r="N18" s="770"/>
      <c r="O18" s="797"/>
      <c r="P18" s="835">
        <f t="shared" si="4"/>
        <v>0</v>
      </c>
      <c r="Q18" s="537"/>
      <c r="R18" s="773"/>
      <c r="S18" s="832"/>
      <c r="T18" s="797"/>
      <c r="U18" s="869">
        <f t="shared" si="5"/>
        <v>0</v>
      </c>
      <c r="V18" s="537"/>
      <c r="W18" s="773"/>
      <c r="X18" s="870"/>
      <c r="Y18" s="896"/>
      <c r="Z18" s="897"/>
      <c r="AA18" s="897"/>
      <c r="AB18" s="898"/>
      <c r="AC18" s="832"/>
      <c r="AD18" s="797"/>
      <c r="AE18" s="900">
        <f t="shared" si="6"/>
        <v>0</v>
      </c>
      <c r="AF18" s="537"/>
      <c r="AG18" s="773"/>
      <c r="AH18" s="770"/>
      <c r="AI18" s="797"/>
      <c r="AJ18" s="924">
        <f t="shared" si="0"/>
        <v>0</v>
      </c>
      <c r="AK18" s="537"/>
      <c r="AL18" s="773"/>
      <c r="AM18" s="927"/>
      <c r="AN18" s="928"/>
      <c r="AO18" s="928"/>
      <c r="AP18" s="928"/>
      <c r="AQ18" s="928"/>
      <c r="AR18" s="944"/>
      <c r="AS18" s="944"/>
      <c r="AT18" s="944"/>
      <c r="AU18" s="944"/>
      <c r="AV18" s="943">
        <f t="shared" si="1"/>
        <v>0</v>
      </c>
      <c r="AW18" s="943">
        <f t="shared" si="7"/>
        <v>0</v>
      </c>
    </row>
    <row r="19" ht="15.75" spans="1:49">
      <c r="A19" s="774" t="s">
        <v>123</v>
      </c>
      <c r="B19" s="587"/>
      <c r="C19" s="775"/>
      <c r="D19" s="764"/>
      <c r="E19" s="765"/>
      <c r="F19" s="776">
        <f t="shared" ref="F19:F22" si="8">G19+H19</f>
        <v>0</v>
      </c>
      <c r="G19" s="777"/>
      <c r="H19" s="767"/>
      <c r="I19" s="764"/>
      <c r="J19" s="765"/>
      <c r="K19" s="828">
        <f t="shared" ref="K19:K22" si="9">L19+M19</f>
        <v>0</v>
      </c>
      <c r="L19" s="777"/>
      <c r="M19" s="767"/>
      <c r="N19" s="764"/>
      <c r="O19" s="795"/>
      <c r="P19" s="834">
        <f t="shared" ref="P19:P22" si="10">Q19+R19</f>
        <v>0</v>
      </c>
      <c r="Q19" s="777"/>
      <c r="R19" s="767"/>
      <c r="S19" s="829"/>
      <c r="T19" s="795"/>
      <c r="U19" s="866">
        <f t="shared" ref="U19:U22" si="11">V19+W19</f>
        <v>0</v>
      </c>
      <c r="V19" s="777"/>
      <c r="W19" s="767"/>
      <c r="X19" s="871"/>
      <c r="Y19" s="901"/>
      <c r="Z19" s="902"/>
      <c r="AA19" s="902"/>
      <c r="AB19" s="903"/>
      <c r="AC19" s="764"/>
      <c r="AD19" s="795"/>
      <c r="AE19" s="895">
        <f t="shared" ref="AE19:AE22" si="12">AF19+AG19</f>
        <v>0</v>
      </c>
      <c r="AF19" s="777"/>
      <c r="AG19" s="767"/>
      <c r="AH19" s="764"/>
      <c r="AI19" s="795"/>
      <c r="AJ19" s="921">
        <f t="shared" ref="AJ19:AJ22" si="13">AK19+AL19</f>
        <v>0</v>
      </c>
      <c r="AK19" s="777"/>
      <c r="AL19" s="767"/>
      <c r="AM19" s="920"/>
      <c r="AN19" s="920"/>
      <c r="AO19" s="920"/>
      <c r="AP19" s="920"/>
      <c r="AQ19" s="920"/>
      <c r="AR19" s="938"/>
      <c r="AS19" s="938"/>
      <c r="AT19" s="938"/>
      <c r="AU19" s="938"/>
      <c r="AV19" s="939">
        <f t="shared" ref="AV19:AV22" si="14">AU19-AR19</f>
        <v>0</v>
      </c>
      <c r="AW19" s="939">
        <f t="shared" ref="AW19:AW22" si="15">AT19-AS19</f>
        <v>0</v>
      </c>
    </row>
    <row r="20" spans="1:49">
      <c r="A20" s="762"/>
      <c r="B20" s="531"/>
      <c r="C20" s="763"/>
      <c r="D20" s="764"/>
      <c r="E20" s="765"/>
      <c r="F20" s="776">
        <f t="shared" si="8"/>
        <v>0</v>
      </c>
      <c r="G20" s="531"/>
      <c r="H20" s="767"/>
      <c r="I20" s="764"/>
      <c r="J20" s="795"/>
      <c r="K20" s="828">
        <f t="shared" si="9"/>
        <v>0</v>
      </c>
      <c r="L20" s="531"/>
      <c r="M20" s="767"/>
      <c r="N20" s="764"/>
      <c r="O20" s="795"/>
      <c r="P20" s="834">
        <f t="shared" si="10"/>
        <v>0</v>
      </c>
      <c r="Q20" s="531"/>
      <c r="R20" s="767"/>
      <c r="S20" s="829"/>
      <c r="T20" s="795"/>
      <c r="U20" s="866">
        <f t="shared" si="11"/>
        <v>0</v>
      </c>
      <c r="V20" s="531"/>
      <c r="W20" s="767"/>
      <c r="X20" s="867"/>
      <c r="Y20" s="892"/>
      <c r="Z20" s="893"/>
      <c r="AA20" s="893"/>
      <c r="AB20" s="894"/>
      <c r="AC20" s="829"/>
      <c r="AD20" s="795"/>
      <c r="AE20" s="895">
        <f t="shared" si="12"/>
        <v>0</v>
      </c>
      <c r="AF20" s="531"/>
      <c r="AG20" s="767"/>
      <c r="AH20" s="764"/>
      <c r="AI20" s="795"/>
      <c r="AJ20" s="921">
        <f t="shared" si="13"/>
        <v>0</v>
      </c>
      <c r="AK20" s="531"/>
      <c r="AL20" s="767"/>
      <c r="AM20" s="923"/>
      <c r="AN20" s="923"/>
      <c r="AO20" s="923"/>
      <c r="AP20" s="923"/>
      <c r="AQ20" s="923"/>
      <c r="AR20" s="940"/>
      <c r="AS20" s="940"/>
      <c r="AT20" s="940"/>
      <c r="AU20" s="940"/>
      <c r="AV20" s="941">
        <f t="shared" si="14"/>
        <v>0</v>
      </c>
      <c r="AW20" s="941">
        <f t="shared" si="15"/>
        <v>0</v>
      </c>
    </row>
    <row r="21" spans="1:49">
      <c r="A21" s="762"/>
      <c r="B21" s="531"/>
      <c r="C21" s="763"/>
      <c r="D21" s="764"/>
      <c r="E21" s="765"/>
      <c r="F21" s="776">
        <f t="shared" si="8"/>
        <v>0</v>
      </c>
      <c r="G21" s="531"/>
      <c r="H21" s="767"/>
      <c r="I21" s="764"/>
      <c r="J21" s="795"/>
      <c r="K21" s="828">
        <f t="shared" si="9"/>
        <v>0</v>
      </c>
      <c r="L21" s="531"/>
      <c r="M21" s="767"/>
      <c r="N21" s="764"/>
      <c r="O21" s="795"/>
      <c r="P21" s="834">
        <f t="shared" si="10"/>
        <v>0</v>
      </c>
      <c r="Q21" s="531"/>
      <c r="R21" s="767"/>
      <c r="S21" s="764"/>
      <c r="T21" s="795"/>
      <c r="U21" s="866">
        <f t="shared" si="11"/>
        <v>0</v>
      </c>
      <c r="V21" s="531"/>
      <c r="W21" s="767"/>
      <c r="X21" s="867"/>
      <c r="Y21" s="892"/>
      <c r="Z21" s="893"/>
      <c r="AA21" s="893"/>
      <c r="AB21" s="894"/>
      <c r="AC21" s="764"/>
      <c r="AD21" s="795"/>
      <c r="AE21" s="895">
        <f t="shared" si="12"/>
        <v>0</v>
      </c>
      <c r="AF21" s="531"/>
      <c r="AG21" s="767"/>
      <c r="AH21" s="764"/>
      <c r="AI21" s="795"/>
      <c r="AJ21" s="921">
        <f t="shared" si="13"/>
        <v>0</v>
      </c>
      <c r="AK21" s="531"/>
      <c r="AL21" s="767"/>
      <c r="AM21" s="923"/>
      <c r="AN21" s="923"/>
      <c r="AO21" s="923"/>
      <c r="AP21" s="923"/>
      <c r="AQ21" s="923"/>
      <c r="AR21" s="940"/>
      <c r="AS21" s="940"/>
      <c r="AT21" s="940"/>
      <c r="AU21" s="940"/>
      <c r="AV21" s="941">
        <f t="shared" si="14"/>
        <v>0</v>
      </c>
      <c r="AW21" s="941">
        <f t="shared" si="15"/>
        <v>0</v>
      </c>
    </row>
    <row r="22" ht="15.75" spans="1:49">
      <c r="A22" s="768"/>
      <c r="B22" s="537"/>
      <c r="C22" s="769"/>
      <c r="D22" s="770"/>
      <c r="E22" s="771"/>
      <c r="F22" s="780">
        <f t="shared" si="8"/>
        <v>0</v>
      </c>
      <c r="G22" s="537"/>
      <c r="H22" s="773"/>
      <c r="I22" s="770"/>
      <c r="J22" s="797"/>
      <c r="K22" s="831">
        <f t="shared" si="9"/>
        <v>0</v>
      </c>
      <c r="L22" s="537"/>
      <c r="M22" s="773"/>
      <c r="N22" s="770"/>
      <c r="O22" s="797"/>
      <c r="P22" s="835">
        <f t="shared" si="10"/>
        <v>0</v>
      </c>
      <c r="Q22" s="537"/>
      <c r="R22" s="773"/>
      <c r="S22" s="770"/>
      <c r="T22" s="797"/>
      <c r="U22" s="869">
        <f t="shared" si="11"/>
        <v>0</v>
      </c>
      <c r="V22" s="537"/>
      <c r="W22" s="773"/>
      <c r="X22" s="870"/>
      <c r="Y22" s="896"/>
      <c r="Z22" s="897"/>
      <c r="AA22" s="897"/>
      <c r="AB22" s="898"/>
      <c r="AC22" s="770"/>
      <c r="AD22" s="797"/>
      <c r="AE22" s="900">
        <f t="shared" si="12"/>
        <v>0</v>
      </c>
      <c r="AF22" s="537"/>
      <c r="AG22" s="773"/>
      <c r="AH22" s="770"/>
      <c r="AI22" s="797"/>
      <c r="AJ22" s="924">
        <f t="shared" si="13"/>
        <v>0</v>
      </c>
      <c r="AK22" s="537"/>
      <c r="AL22" s="773"/>
      <c r="AM22" s="928"/>
      <c r="AN22" s="928"/>
      <c r="AO22" s="928"/>
      <c r="AP22" s="928"/>
      <c r="AQ22" s="928"/>
      <c r="AR22" s="944"/>
      <c r="AS22" s="944"/>
      <c r="AT22" s="944"/>
      <c r="AU22" s="944"/>
      <c r="AV22" s="943">
        <f t="shared" si="14"/>
        <v>0</v>
      </c>
      <c r="AW22" s="943">
        <f t="shared" si="15"/>
        <v>0</v>
      </c>
    </row>
    <row r="23" ht="15.75" spans="1:49">
      <c r="A23" s="774" t="str">
        <f>' IA-SI DRY'!B8</f>
        <v>Medi Egadi</v>
      </c>
      <c r="B23" s="587" t="s">
        <v>27</v>
      </c>
      <c r="C23" s="775" t="s">
        <v>37</v>
      </c>
      <c r="D23" s="764" t="s">
        <v>198</v>
      </c>
      <c r="E23" s="765" t="s">
        <v>198</v>
      </c>
      <c r="F23" s="776">
        <f t="shared" si="2"/>
        <v>3</v>
      </c>
      <c r="G23" s="777">
        <v>0</v>
      </c>
      <c r="H23" s="767">
        <v>3</v>
      </c>
      <c r="I23" s="764"/>
      <c r="J23" s="765"/>
      <c r="K23" s="828">
        <f t="shared" si="3"/>
        <v>0</v>
      </c>
      <c r="L23" s="777"/>
      <c r="M23" s="767"/>
      <c r="N23" s="764"/>
      <c r="O23" s="795"/>
      <c r="P23" s="834">
        <f t="shared" si="4"/>
        <v>0</v>
      </c>
      <c r="Q23" s="777"/>
      <c r="R23" s="767"/>
      <c r="S23" s="829" t="s">
        <v>198</v>
      </c>
      <c r="T23" s="795" t="s">
        <v>198</v>
      </c>
      <c r="U23" s="866">
        <f t="shared" si="5"/>
        <v>1</v>
      </c>
      <c r="V23" s="777">
        <v>0</v>
      </c>
      <c r="W23" s="767">
        <v>1</v>
      </c>
      <c r="X23" s="871"/>
      <c r="Y23" s="901"/>
      <c r="Z23" s="902"/>
      <c r="AA23" s="902"/>
      <c r="AB23" s="903"/>
      <c r="AC23" s="764" t="s">
        <v>198</v>
      </c>
      <c r="AD23" s="795" t="s">
        <v>198</v>
      </c>
      <c r="AE23" s="895">
        <f t="shared" si="6"/>
        <v>0</v>
      </c>
      <c r="AF23" s="777">
        <v>0</v>
      </c>
      <c r="AG23" s="767">
        <v>0</v>
      </c>
      <c r="AH23" s="764"/>
      <c r="AI23" s="795"/>
      <c r="AJ23" s="921">
        <f t="shared" si="0"/>
        <v>0</v>
      </c>
      <c r="AK23" s="777"/>
      <c r="AL23" s="767"/>
      <c r="AM23" s="930"/>
      <c r="AN23" s="929"/>
      <c r="AO23" s="929"/>
      <c r="AP23" s="929" t="s">
        <v>199</v>
      </c>
      <c r="AQ23" s="929" t="s">
        <v>199</v>
      </c>
      <c r="AR23" s="945">
        <v>45512</v>
      </c>
      <c r="AS23" s="945">
        <v>45512</v>
      </c>
      <c r="AT23" s="945">
        <v>45512</v>
      </c>
      <c r="AU23" s="945">
        <v>45512</v>
      </c>
      <c r="AV23" s="946">
        <f t="shared" si="1"/>
        <v>0</v>
      </c>
      <c r="AW23" s="946">
        <f t="shared" si="7"/>
        <v>0</v>
      </c>
    </row>
    <row r="24" spans="1:49">
      <c r="A24" s="762"/>
      <c r="B24" s="531"/>
      <c r="C24" s="763"/>
      <c r="D24" s="764"/>
      <c r="E24" s="765"/>
      <c r="F24" s="776">
        <f t="shared" si="2"/>
        <v>0</v>
      </c>
      <c r="G24" s="531"/>
      <c r="H24" s="767"/>
      <c r="I24" s="764"/>
      <c r="J24" s="795"/>
      <c r="K24" s="828">
        <f t="shared" si="3"/>
        <v>0</v>
      </c>
      <c r="L24" s="531"/>
      <c r="M24" s="767"/>
      <c r="N24" s="764"/>
      <c r="O24" s="795"/>
      <c r="P24" s="834">
        <f t="shared" si="4"/>
        <v>0</v>
      </c>
      <c r="Q24" s="531"/>
      <c r="R24" s="767"/>
      <c r="S24" s="829"/>
      <c r="T24" s="795"/>
      <c r="U24" s="866">
        <f t="shared" si="5"/>
        <v>0</v>
      </c>
      <c r="V24" s="531"/>
      <c r="W24" s="767"/>
      <c r="X24" s="867"/>
      <c r="Y24" s="892"/>
      <c r="Z24" s="893"/>
      <c r="AA24" s="893"/>
      <c r="AB24" s="894"/>
      <c r="AC24" s="829"/>
      <c r="AD24" s="795"/>
      <c r="AE24" s="895">
        <f t="shared" si="6"/>
        <v>0</v>
      </c>
      <c r="AF24" s="531"/>
      <c r="AG24" s="767"/>
      <c r="AH24" s="764"/>
      <c r="AI24" s="795"/>
      <c r="AJ24" s="921">
        <f t="shared" si="0"/>
        <v>0</v>
      </c>
      <c r="AK24" s="531"/>
      <c r="AL24" s="767"/>
      <c r="AM24" s="922"/>
      <c r="AN24" s="923"/>
      <c r="AO24" s="923"/>
      <c r="AP24" s="923"/>
      <c r="AQ24" s="923"/>
      <c r="AR24" s="940"/>
      <c r="AS24" s="940"/>
      <c r="AT24" s="940"/>
      <c r="AU24" s="940"/>
      <c r="AV24" s="941">
        <f t="shared" si="1"/>
        <v>0</v>
      </c>
      <c r="AW24" s="941">
        <f t="shared" si="7"/>
        <v>0</v>
      </c>
    </row>
    <row r="25" spans="1:49">
      <c r="A25" s="762"/>
      <c r="B25" s="531"/>
      <c r="C25" s="763"/>
      <c r="D25" s="764"/>
      <c r="E25" s="765"/>
      <c r="F25" s="776">
        <f t="shared" si="2"/>
        <v>0</v>
      </c>
      <c r="G25" s="531"/>
      <c r="H25" s="767"/>
      <c r="I25" s="764"/>
      <c r="J25" s="795"/>
      <c r="K25" s="828">
        <f t="shared" si="3"/>
        <v>0</v>
      </c>
      <c r="L25" s="531"/>
      <c r="M25" s="767"/>
      <c r="N25" s="764"/>
      <c r="O25" s="795"/>
      <c r="P25" s="834">
        <f t="shared" si="4"/>
        <v>0</v>
      </c>
      <c r="Q25" s="531"/>
      <c r="R25" s="767"/>
      <c r="S25" s="764"/>
      <c r="T25" s="795"/>
      <c r="U25" s="866">
        <f t="shared" si="5"/>
        <v>0</v>
      </c>
      <c r="V25" s="531"/>
      <c r="W25" s="767"/>
      <c r="X25" s="867"/>
      <c r="Y25" s="892"/>
      <c r="Z25" s="893"/>
      <c r="AA25" s="893"/>
      <c r="AB25" s="894"/>
      <c r="AC25" s="764"/>
      <c r="AD25" s="795"/>
      <c r="AE25" s="895">
        <f t="shared" si="6"/>
        <v>0</v>
      </c>
      <c r="AF25" s="531"/>
      <c r="AG25" s="767"/>
      <c r="AH25" s="764"/>
      <c r="AI25" s="795"/>
      <c r="AJ25" s="921">
        <f t="shared" si="0"/>
        <v>0</v>
      </c>
      <c r="AK25" s="531"/>
      <c r="AL25" s="767"/>
      <c r="AM25" s="922"/>
      <c r="AN25" s="923"/>
      <c r="AO25" s="923"/>
      <c r="AP25" s="923"/>
      <c r="AQ25" s="923"/>
      <c r="AR25" s="940"/>
      <c r="AS25" s="940"/>
      <c r="AT25" s="940"/>
      <c r="AU25" s="940"/>
      <c r="AV25" s="941">
        <f t="shared" si="1"/>
        <v>0</v>
      </c>
      <c r="AW25" s="941">
        <f t="shared" si="7"/>
        <v>0</v>
      </c>
    </row>
    <row r="26" ht="15.75" spans="1:49">
      <c r="A26" s="768"/>
      <c r="B26" s="537"/>
      <c r="C26" s="769"/>
      <c r="D26" s="770"/>
      <c r="E26" s="771"/>
      <c r="F26" s="780">
        <f t="shared" si="2"/>
        <v>0</v>
      </c>
      <c r="G26" s="537"/>
      <c r="H26" s="773"/>
      <c r="I26" s="770"/>
      <c r="J26" s="797"/>
      <c r="K26" s="831">
        <f t="shared" si="3"/>
        <v>0</v>
      </c>
      <c r="L26" s="537"/>
      <c r="M26" s="773"/>
      <c r="N26" s="770"/>
      <c r="O26" s="797"/>
      <c r="P26" s="835">
        <f t="shared" si="4"/>
        <v>0</v>
      </c>
      <c r="Q26" s="537"/>
      <c r="R26" s="773"/>
      <c r="S26" s="770"/>
      <c r="T26" s="797"/>
      <c r="U26" s="869">
        <f t="shared" si="5"/>
        <v>0</v>
      </c>
      <c r="V26" s="537"/>
      <c r="W26" s="773"/>
      <c r="X26" s="870"/>
      <c r="Y26" s="896"/>
      <c r="Z26" s="897"/>
      <c r="AA26" s="897"/>
      <c r="AB26" s="898"/>
      <c r="AC26" s="770"/>
      <c r="AD26" s="797"/>
      <c r="AE26" s="900">
        <f t="shared" si="6"/>
        <v>0</v>
      </c>
      <c r="AF26" s="537"/>
      <c r="AG26" s="773"/>
      <c r="AH26" s="770"/>
      <c r="AI26" s="797"/>
      <c r="AJ26" s="924">
        <f t="shared" si="0"/>
        <v>0</v>
      </c>
      <c r="AK26" s="537"/>
      <c r="AL26" s="773"/>
      <c r="AM26" s="927"/>
      <c r="AN26" s="926"/>
      <c r="AO26" s="926"/>
      <c r="AP26" s="926"/>
      <c r="AQ26" s="926"/>
      <c r="AR26" s="942"/>
      <c r="AS26" s="942"/>
      <c r="AT26" s="942"/>
      <c r="AU26" s="942"/>
      <c r="AV26" s="947">
        <f t="shared" si="1"/>
        <v>0</v>
      </c>
      <c r="AW26" s="947">
        <f t="shared" si="7"/>
        <v>0</v>
      </c>
    </row>
    <row r="27" ht="15.75" spans="1:49">
      <c r="A27" s="755" t="str">
        <f>' IA-SI DRY'!B9</f>
        <v>Medi Egeo</v>
      </c>
      <c r="B27" s="523" t="s">
        <v>25</v>
      </c>
      <c r="C27" s="781" t="s">
        <v>37</v>
      </c>
      <c r="D27" s="782" t="s">
        <v>200</v>
      </c>
      <c r="E27" s="783" t="s">
        <v>200</v>
      </c>
      <c r="F27" s="778">
        <f t="shared" si="2"/>
        <v>3</v>
      </c>
      <c r="G27" s="784">
        <v>0</v>
      </c>
      <c r="H27" s="785">
        <v>3</v>
      </c>
      <c r="I27" s="782"/>
      <c r="J27" s="783"/>
      <c r="K27" s="836">
        <f t="shared" si="3"/>
        <v>0</v>
      </c>
      <c r="L27" s="784"/>
      <c r="M27" s="785"/>
      <c r="N27" s="764"/>
      <c r="O27" s="795"/>
      <c r="P27" s="834">
        <f t="shared" ref="P27:P34" si="16">Q27+R27</f>
        <v>0</v>
      </c>
      <c r="Q27" s="777"/>
      <c r="R27" s="767"/>
      <c r="S27" s="829"/>
      <c r="T27" s="795"/>
      <c r="U27" s="866">
        <f t="shared" ref="U27:U34" si="17">V27+W27</f>
        <v>0</v>
      </c>
      <c r="V27" s="777"/>
      <c r="W27" s="767"/>
      <c r="X27" s="871"/>
      <c r="Y27" s="901"/>
      <c r="Z27" s="902"/>
      <c r="AA27" s="902"/>
      <c r="AB27" s="903"/>
      <c r="AC27" s="764" t="s">
        <v>200</v>
      </c>
      <c r="AD27" s="795" t="s">
        <v>200</v>
      </c>
      <c r="AE27" s="895">
        <f t="shared" ref="AE27:AE34" si="18">AF27+AG27</f>
        <v>0</v>
      </c>
      <c r="AF27" s="777">
        <v>0</v>
      </c>
      <c r="AG27" s="767">
        <v>0</v>
      </c>
      <c r="AH27" s="764"/>
      <c r="AI27" s="795"/>
      <c r="AJ27" s="921">
        <f t="shared" ref="AJ27:AJ34" si="19">AK27+AL27</f>
        <v>0</v>
      </c>
      <c r="AK27" s="777"/>
      <c r="AL27" s="767"/>
      <c r="AM27" s="919"/>
      <c r="AN27" s="920"/>
      <c r="AO27" s="920"/>
      <c r="AP27" s="920" t="s">
        <v>201</v>
      </c>
      <c r="AQ27" s="920" t="s">
        <v>201</v>
      </c>
      <c r="AR27" s="938">
        <v>45563</v>
      </c>
      <c r="AS27" s="938">
        <v>45564</v>
      </c>
      <c r="AT27" s="938">
        <v>45565</v>
      </c>
      <c r="AU27" s="938">
        <v>45566</v>
      </c>
      <c r="AV27" s="948">
        <f t="shared" ref="AV27:AV30" si="20">AU27-AR27</f>
        <v>3</v>
      </c>
      <c r="AW27" s="948">
        <f t="shared" ref="AW27:AW30" si="21">AT27-AS27</f>
        <v>1</v>
      </c>
    </row>
    <row r="28" spans="1:49">
      <c r="A28" s="762"/>
      <c r="B28" s="531"/>
      <c r="C28" s="786"/>
      <c r="D28" s="787"/>
      <c r="E28" s="788"/>
      <c r="F28" s="779">
        <f t="shared" si="2"/>
        <v>0</v>
      </c>
      <c r="G28" s="789"/>
      <c r="H28" s="790"/>
      <c r="I28" s="787"/>
      <c r="J28" s="837"/>
      <c r="K28" s="838">
        <f t="shared" si="3"/>
        <v>0</v>
      </c>
      <c r="L28" s="789"/>
      <c r="M28" s="790"/>
      <c r="N28" s="764"/>
      <c r="O28" s="795"/>
      <c r="P28" s="834">
        <f t="shared" si="16"/>
        <v>0</v>
      </c>
      <c r="Q28" s="531"/>
      <c r="R28" s="767"/>
      <c r="S28" s="829"/>
      <c r="T28" s="795"/>
      <c r="U28" s="866">
        <f t="shared" si="17"/>
        <v>0</v>
      </c>
      <c r="V28" s="531"/>
      <c r="W28" s="767"/>
      <c r="X28" s="867"/>
      <c r="Y28" s="892"/>
      <c r="Z28" s="893"/>
      <c r="AA28" s="893"/>
      <c r="AB28" s="894"/>
      <c r="AC28" s="829"/>
      <c r="AD28" s="795"/>
      <c r="AE28" s="895">
        <f t="shared" si="18"/>
        <v>0</v>
      </c>
      <c r="AF28" s="531"/>
      <c r="AG28" s="767"/>
      <c r="AH28" s="764"/>
      <c r="AI28" s="795"/>
      <c r="AJ28" s="921">
        <f t="shared" si="19"/>
        <v>0</v>
      </c>
      <c r="AK28" s="531"/>
      <c r="AL28" s="767"/>
      <c r="AM28" s="922"/>
      <c r="AN28" s="923"/>
      <c r="AO28" s="923"/>
      <c r="AP28" s="923"/>
      <c r="AQ28" s="923"/>
      <c r="AR28" s="940"/>
      <c r="AS28" s="940"/>
      <c r="AT28" s="940"/>
      <c r="AU28" s="940"/>
      <c r="AV28" s="947">
        <f t="shared" si="20"/>
        <v>0</v>
      </c>
      <c r="AW28" s="947">
        <f t="shared" si="21"/>
        <v>0</v>
      </c>
    </row>
    <row r="29" spans="1:49">
      <c r="A29" s="762"/>
      <c r="B29" s="531"/>
      <c r="C29" s="786"/>
      <c r="D29" s="787"/>
      <c r="E29" s="788"/>
      <c r="F29" s="779">
        <f t="shared" si="2"/>
        <v>0</v>
      </c>
      <c r="G29" s="789"/>
      <c r="H29" s="790"/>
      <c r="I29" s="787"/>
      <c r="J29" s="837"/>
      <c r="K29" s="838">
        <f t="shared" si="3"/>
        <v>0</v>
      </c>
      <c r="L29" s="789"/>
      <c r="M29" s="790"/>
      <c r="N29" s="764"/>
      <c r="O29" s="795"/>
      <c r="P29" s="834">
        <f t="shared" si="16"/>
        <v>0</v>
      </c>
      <c r="Q29" s="531"/>
      <c r="R29" s="767"/>
      <c r="S29" s="764"/>
      <c r="T29" s="795"/>
      <c r="U29" s="866">
        <f t="shared" si="17"/>
        <v>0</v>
      </c>
      <c r="V29" s="531"/>
      <c r="W29" s="767"/>
      <c r="X29" s="867"/>
      <c r="Y29" s="892"/>
      <c r="Z29" s="893"/>
      <c r="AA29" s="893"/>
      <c r="AB29" s="894"/>
      <c r="AC29" s="764"/>
      <c r="AD29" s="795"/>
      <c r="AE29" s="895">
        <f t="shared" si="18"/>
        <v>0</v>
      </c>
      <c r="AF29" s="531"/>
      <c r="AG29" s="767"/>
      <c r="AH29" s="764"/>
      <c r="AI29" s="795"/>
      <c r="AJ29" s="921">
        <f t="shared" si="19"/>
        <v>0</v>
      </c>
      <c r="AK29" s="531"/>
      <c r="AL29" s="767"/>
      <c r="AM29" s="922"/>
      <c r="AN29" s="923"/>
      <c r="AO29" s="923"/>
      <c r="AP29" s="923"/>
      <c r="AQ29" s="923"/>
      <c r="AR29" s="940"/>
      <c r="AS29" s="940"/>
      <c r="AT29" s="940"/>
      <c r="AU29" s="940"/>
      <c r="AV29" s="947">
        <f t="shared" si="20"/>
        <v>0</v>
      </c>
      <c r="AW29" s="947">
        <f t="shared" si="21"/>
        <v>0</v>
      </c>
    </row>
    <row r="30" ht="15.75" spans="1:49">
      <c r="A30" s="768"/>
      <c r="B30" s="537"/>
      <c r="C30" s="791"/>
      <c r="D30" s="770"/>
      <c r="E30" s="771"/>
      <c r="F30" s="792">
        <f t="shared" si="2"/>
        <v>0</v>
      </c>
      <c r="G30" s="537"/>
      <c r="H30" s="773"/>
      <c r="I30" s="770"/>
      <c r="J30" s="797"/>
      <c r="K30" s="831">
        <f t="shared" si="3"/>
        <v>0</v>
      </c>
      <c r="L30" s="537"/>
      <c r="M30" s="773"/>
      <c r="N30" s="770"/>
      <c r="O30" s="797"/>
      <c r="P30" s="835">
        <f t="shared" si="16"/>
        <v>0</v>
      </c>
      <c r="Q30" s="537"/>
      <c r="R30" s="773"/>
      <c r="S30" s="770"/>
      <c r="T30" s="797"/>
      <c r="U30" s="869">
        <f t="shared" si="17"/>
        <v>0</v>
      </c>
      <c r="V30" s="537"/>
      <c r="W30" s="773"/>
      <c r="X30" s="870"/>
      <c r="Y30" s="896"/>
      <c r="Z30" s="897"/>
      <c r="AA30" s="897"/>
      <c r="AB30" s="898"/>
      <c r="AC30" s="770"/>
      <c r="AD30" s="797"/>
      <c r="AE30" s="900">
        <f t="shared" si="18"/>
        <v>0</v>
      </c>
      <c r="AF30" s="537"/>
      <c r="AG30" s="773"/>
      <c r="AH30" s="770"/>
      <c r="AI30" s="797"/>
      <c r="AJ30" s="924">
        <f t="shared" si="19"/>
        <v>0</v>
      </c>
      <c r="AK30" s="537"/>
      <c r="AL30" s="773"/>
      <c r="AM30" s="927"/>
      <c r="AN30" s="926"/>
      <c r="AO30" s="926"/>
      <c r="AP30" s="926"/>
      <c r="AQ30" s="926"/>
      <c r="AR30" s="942"/>
      <c r="AS30" s="942"/>
      <c r="AT30" s="942"/>
      <c r="AU30" s="942"/>
      <c r="AV30" s="947">
        <f t="shared" si="20"/>
        <v>0</v>
      </c>
      <c r="AW30" s="947">
        <f t="shared" si="21"/>
        <v>0</v>
      </c>
    </row>
    <row r="31" s="706" customFormat="1" ht="15.75" spans="1:75">
      <c r="A31" s="774" t="str">
        <f>' IA-SI DRY'!B10</f>
        <v>Medi Matsuura</v>
      </c>
      <c r="B31" s="587" t="s">
        <v>25</v>
      </c>
      <c r="C31" s="519" t="s">
        <v>37</v>
      </c>
      <c r="D31" s="793" t="s">
        <v>202</v>
      </c>
      <c r="E31" s="758" t="s">
        <v>202</v>
      </c>
      <c r="F31" s="778">
        <f t="shared" si="2"/>
        <v>4</v>
      </c>
      <c r="G31" s="523">
        <v>0</v>
      </c>
      <c r="H31" s="523">
        <v>4</v>
      </c>
      <c r="I31" s="782" t="s">
        <v>202</v>
      </c>
      <c r="J31" s="783" t="s">
        <v>202</v>
      </c>
      <c r="K31" s="836">
        <f t="shared" ref="K31:K34" si="22">L31+M31</f>
        <v>2</v>
      </c>
      <c r="L31" s="784">
        <v>0</v>
      </c>
      <c r="M31" s="785">
        <v>2</v>
      </c>
      <c r="N31" s="764"/>
      <c r="O31" s="795"/>
      <c r="P31" s="834">
        <f t="shared" si="16"/>
        <v>0</v>
      </c>
      <c r="Q31" s="777"/>
      <c r="R31" s="767"/>
      <c r="S31" s="829"/>
      <c r="T31" s="795"/>
      <c r="U31" s="866">
        <f t="shared" si="17"/>
        <v>0</v>
      </c>
      <c r="V31" s="777"/>
      <c r="W31" s="767"/>
      <c r="X31" s="871"/>
      <c r="Y31" s="901"/>
      <c r="Z31" s="902"/>
      <c r="AA31" s="902"/>
      <c r="AB31" s="903"/>
      <c r="AC31" s="764" t="s">
        <v>202</v>
      </c>
      <c r="AD31" s="795" t="s">
        <v>202</v>
      </c>
      <c r="AE31" s="895">
        <f t="shared" si="18"/>
        <v>0</v>
      </c>
      <c r="AF31" s="777">
        <v>0</v>
      </c>
      <c r="AG31" s="767">
        <v>0</v>
      </c>
      <c r="AH31" s="764"/>
      <c r="AI31" s="795"/>
      <c r="AJ31" s="921">
        <f t="shared" si="19"/>
        <v>0</v>
      </c>
      <c r="AK31" s="777"/>
      <c r="AL31" s="767"/>
      <c r="AM31" s="920"/>
      <c r="AN31" s="920"/>
      <c r="AO31" s="920"/>
      <c r="AP31" s="920" t="s">
        <v>203</v>
      </c>
      <c r="AQ31" s="920" t="s">
        <v>203</v>
      </c>
      <c r="AR31" s="938">
        <v>45589</v>
      </c>
      <c r="AS31" s="938">
        <v>45591</v>
      </c>
      <c r="AT31" s="938">
        <v>45596</v>
      </c>
      <c r="AU31" s="938">
        <v>45596</v>
      </c>
      <c r="AV31" s="948">
        <f t="shared" ref="AV31:AV34" si="23">AU31-AR31</f>
        <v>7</v>
      </c>
      <c r="AW31" s="948">
        <f t="shared" ref="AW31:AW34" si="24">AT31-AS31</f>
        <v>5</v>
      </c>
      <c r="AX31" s="950"/>
      <c r="AY31" s="616"/>
      <c r="AZ31" s="616"/>
      <c r="BA31" s="616"/>
      <c r="BB31" s="616"/>
      <c r="BC31" s="616"/>
      <c r="BD31" s="616"/>
      <c r="BE31" s="616"/>
      <c r="BF31" s="616"/>
      <c r="BG31" s="616"/>
      <c r="BH31" s="616"/>
      <c r="BI31" s="616"/>
      <c r="BJ31" s="616"/>
      <c r="BK31" s="616"/>
      <c r="BL31" s="616"/>
      <c r="BM31" s="616"/>
      <c r="BN31" s="616"/>
      <c r="BO31" s="616"/>
      <c r="BP31" s="616"/>
      <c r="BQ31" s="616"/>
      <c r="BR31" s="616"/>
      <c r="BS31" s="616"/>
      <c r="BT31" s="616"/>
      <c r="BU31" s="616"/>
      <c r="BV31" s="616"/>
      <c r="BW31" s="951"/>
    </row>
    <row r="32" s="706" customFormat="1" spans="1:75">
      <c r="A32" s="762"/>
      <c r="B32" s="531"/>
      <c r="C32" s="527"/>
      <c r="D32" s="794"/>
      <c r="E32" s="795"/>
      <c r="F32" s="779">
        <f t="shared" si="2"/>
        <v>0</v>
      </c>
      <c r="G32" s="531"/>
      <c r="H32" s="531"/>
      <c r="I32" s="787"/>
      <c r="J32" s="837"/>
      <c r="K32" s="838">
        <f t="shared" si="22"/>
        <v>0</v>
      </c>
      <c r="L32" s="789"/>
      <c r="M32" s="790"/>
      <c r="N32" s="764"/>
      <c r="O32" s="795"/>
      <c r="P32" s="834">
        <f t="shared" si="16"/>
        <v>0</v>
      </c>
      <c r="Q32" s="531"/>
      <c r="R32" s="767"/>
      <c r="S32" s="829"/>
      <c r="T32" s="795"/>
      <c r="U32" s="866">
        <f t="shared" si="17"/>
        <v>0</v>
      </c>
      <c r="V32" s="531"/>
      <c r="W32" s="767"/>
      <c r="X32" s="867"/>
      <c r="Y32" s="892"/>
      <c r="Z32" s="893"/>
      <c r="AA32" s="893"/>
      <c r="AB32" s="894"/>
      <c r="AC32" s="829"/>
      <c r="AD32" s="795"/>
      <c r="AE32" s="895">
        <f t="shared" si="18"/>
        <v>0</v>
      </c>
      <c r="AF32" s="531"/>
      <c r="AG32" s="767"/>
      <c r="AH32" s="764"/>
      <c r="AI32" s="795"/>
      <c r="AJ32" s="921">
        <f t="shared" si="19"/>
        <v>0</v>
      </c>
      <c r="AK32" s="531"/>
      <c r="AL32" s="767"/>
      <c r="AM32" s="923"/>
      <c r="AN32" s="923"/>
      <c r="AO32" s="923"/>
      <c r="AP32" s="923"/>
      <c r="AQ32" s="923"/>
      <c r="AR32" s="940"/>
      <c r="AS32" s="940"/>
      <c r="AT32" s="940"/>
      <c r="AU32" s="940"/>
      <c r="AV32" s="947">
        <f t="shared" si="23"/>
        <v>0</v>
      </c>
      <c r="AW32" s="947">
        <f t="shared" si="24"/>
        <v>0</v>
      </c>
      <c r="AX32" s="950"/>
      <c r="AY32" s="616"/>
      <c r="AZ32" s="616"/>
      <c r="BA32" s="616"/>
      <c r="BB32" s="616"/>
      <c r="BC32" s="616"/>
      <c r="BD32" s="616"/>
      <c r="BE32" s="616"/>
      <c r="BF32" s="616"/>
      <c r="BG32" s="616"/>
      <c r="BH32" s="616"/>
      <c r="BI32" s="616"/>
      <c r="BJ32" s="616"/>
      <c r="BK32" s="616"/>
      <c r="BL32" s="616"/>
      <c r="BM32" s="616"/>
      <c r="BN32" s="616"/>
      <c r="BO32" s="616"/>
      <c r="BP32" s="616"/>
      <c r="BQ32" s="616"/>
      <c r="BR32" s="616"/>
      <c r="BS32" s="616"/>
      <c r="BT32" s="616"/>
      <c r="BU32" s="616"/>
      <c r="BV32" s="616"/>
      <c r="BW32" s="951"/>
    </row>
    <row r="33" s="706" customFormat="1" spans="1:75">
      <c r="A33" s="762"/>
      <c r="B33" s="531"/>
      <c r="C33" s="527"/>
      <c r="D33" s="794"/>
      <c r="E33" s="795"/>
      <c r="F33" s="779">
        <f t="shared" si="2"/>
        <v>0</v>
      </c>
      <c r="G33" s="531"/>
      <c r="H33" s="531"/>
      <c r="I33" s="787"/>
      <c r="J33" s="837"/>
      <c r="K33" s="838">
        <f t="shared" si="22"/>
        <v>0</v>
      </c>
      <c r="L33" s="789"/>
      <c r="M33" s="790"/>
      <c r="N33" s="764"/>
      <c r="O33" s="795"/>
      <c r="P33" s="834">
        <f t="shared" si="16"/>
        <v>0</v>
      </c>
      <c r="Q33" s="531"/>
      <c r="R33" s="767"/>
      <c r="S33" s="764"/>
      <c r="T33" s="795"/>
      <c r="U33" s="866">
        <f t="shared" si="17"/>
        <v>0</v>
      </c>
      <c r="V33" s="531"/>
      <c r="W33" s="767"/>
      <c r="X33" s="867"/>
      <c r="Y33" s="892"/>
      <c r="Z33" s="893"/>
      <c r="AA33" s="893"/>
      <c r="AB33" s="894"/>
      <c r="AC33" s="764"/>
      <c r="AD33" s="795"/>
      <c r="AE33" s="895">
        <f t="shared" si="18"/>
        <v>0</v>
      </c>
      <c r="AF33" s="531"/>
      <c r="AG33" s="767"/>
      <c r="AH33" s="764"/>
      <c r="AI33" s="795"/>
      <c r="AJ33" s="921">
        <f t="shared" si="19"/>
        <v>0</v>
      </c>
      <c r="AK33" s="531"/>
      <c r="AL33" s="767"/>
      <c r="AM33" s="923"/>
      <c r="AN33" s="923"/>
      <c r="AO33" s="923"/>
      <c r="AP33" s="923"/>
      <c r="AQ33" s="923"/>
      <c r="AR33" s="940"/>
      <c r="AS33" s="940"/>
      <c r="AT33" s="940"/>
      <c r="AU33" s="940"/>
      <c r="AV33" s="947">
        <f t="shared" si="23"/>
        <v>0</v>
      </c>
      <c r="AW33" s="947">
        <f t="shared" si="24"/>
        <v>0</v>
      </c>
      <c r="AX33" s="950"/>
      <c r="AY33" s="616"/>
      <c r="AZ33" s="616"/>
      <c r="BA33" s="616"/>
      <c r="BB33" s="616"/>
      <c r="BC33" s="616"/>
      <c r="BD33" s="616"/>
      <c r="BE33" s="616"/>
      <c r="BF33" s="616"/>
      <c r="BG33" s="616"/>
      <c r="BH33" s="616"/>
      <c r="BI33" s="616"/>
      <c r="BJ33" s="616"/>
      <c r="BK33" s="616"/>
      <c r="BL33" s="616"/>
      <c r="BM33" s="616"/>
      <c r="BN33" s="616"/>
      <c r="BO33" s="616"/>
      <c r="BP33" s="616"/>
      <c r="BQ33" s="616"/>
      <c r="BR33" s="616"/>
      <c r="BS33" s="616"/>
      <c r="BT33" s="616"/>
      <c r="BU33" s="616"/>
      <c r="BV33" s="616"/>
      <c r="BW33" s="951"/>
    </row>
    <row r="34" s="706" customFormat="1" ht="15.75" spans="1:75">
      <c r="A34" s="768"/>
      <c r="B34" s="537"/>
      <c r="C34" s="542"/>
      <c r="D34" s="796"/>
      <c r="E34" s="797"/>
      <c r="F34" s="792">
        <f t="shared" si="2"/>
        <v>0</v>
      </c>
      <c r="G34" s="537"/>
      <c r="H34" s="537"/>
      <c r="I34" s="770"/>
      <c r="J34" s="797"/>
      <c r="K34" s="831">
        <f t="shared" si="22"/>
        <v>0</v>
      </c>
      <c r="L34" s="537"/>
      <c r="M34" s="773"/>
      <c r="N34" s="770"/>
      <c r="O34" s="797"/>
      <c r="P34" s="835">
        <f t="shared" si="16"/>
        <v>0</v>
      </c>
      <c r="Q34" s="537"/>
      <c r="R34" s="773"/>
      <c r="S34" s="770"/>
      <c r="T34" s="797"/>
      <c r="U34" s="869">
        <f t="shared" si="17"/>
        <v>0</v>
      </c>
      <c r="V34" s="537"/>
      <c r="W34" s="773"/>
      <c r="X34" s="870"/>
      <c r="Y34" s="896"/>
      <c r="Z34" s="897"/>
      <c r="AA34" s="897"/>
      <c r="AB34" s="898"/>
      <c r="AC34" s="770"/>
      <c r="AD34" s="797"/>
      <c r="AE34" s="900">
        <f t="shared" si="18"/>
        <v>0</v>
      </c>
      <c r="AF34" s="537"/>
      <c r="AG34" s="773"/>
      <c r="AH34" s="770"/>
      <c r="AI34" s="797"/>
      <c r="AJ34" s="924">
        <f t="shared" si="19"/>
        <v>0</v>
      </c>
      <c r="AK34" s="537"/>
      <c r="AL34" s="773"/>
      <c r="AM34" s="928"/>
      <c r="AN34" s="928"/>
      <c r="AO34" s="928"/>
      <c r="AP34" s="928"/>
      <c r="AQ34" s="928"/>
      <c r="AR34" s="944"/>
      <c r="AS34" s="944"/>
      <c r="AT34" s="944"/>
      <c r="AU34" s="944"/>
      <c r="AV34" s="943">
        <f t="shared" si="23"/>
        <v>0</v>
      </c>
      <c r="AW34" s="943">
        <f t="shared" si="24"/>
        <v>0</v>
      </c>
      <c r="AX34" s="950"/>
      <c r="AY34" s="616"/>
      <c r="AZ34" s="616"/>
      <c r="BA34" s="616"/>
      <c r="BB34" s="616"/>
      <c r="BC34" s="616"/>
      <c r="BD34" s="616"/>
      <c r="BE34" s="616"/>
      <c r="BF34" s="616"/>
      <c r="BG34" s="616"/>
      <c r="BH34" s="616"/>
      <c r="BI34" s="616"/>
      <c r="BJ34" s="616"/>
      <c r="BK34" s="616"/>
      <c r="BL34" s="616"/>
      <c r="BM34" s="616"/>
      <c r="BN34" s="616"/>
      <c r="BO34" s="616"/>
      <c r="BP34" s="616"/>
      <c r="BQ34" s="616"/>
      <c r="BR34" s="616"/>
      <c r="BS34" s="616"/>
      <c r="BT34" s="616"/>
      <c r="BU34" s="616"/>
      <c r="BV34" s="616"/>
      <c r="BW34" s="951"/>
    </row>
    <row r="35" ht="15.75" spans="1:49">
      <c r="A35" s="774" t="str">
        <f>' IA-SI DRY'!B11</f>
        <v>Medi Palmarola</v>
      </c>
      <c r="B35" s="587" t="s">
        <v>33</v>
      </c>
      <c r="C35" s="775" t="s">
        <v>36</v>
      </c>
      <c r="D35" s="798" t="s">
        <v>204</v>
      </c>
      <c r="E35" s="799" t="s">
        <v>204</v>
      </c>
      <c r="F35" s="779">
        <f t="shared" ref="F35:F42" si="25">G35+H35</f>
        <v>5</v>
      </c>
      <c r="G35" s="800">
        <v>2</v>
      </c>
      <c r="H35" s="801">
        <v>3</v>
      </c>
      <c r="I35" s="798" t="s">
        <v>204</v>
      </c>
      <c r="J35" s="799" t="s">
        <v>204</v>
      </c>
      <c r="K35" s="838">
        <f t="shared" si="3"/>
        <v>6</v>
      </c>
      <c r="L35" s="800">
        <v>1</v>
      </c>
      <c r="M35" s="801">
        <v>5</v>
      </c>
      <c r="N35" s="798" t="s">
        <v>204</v>
      </c>
      <c r="O35" s="839" t="s">
        <v>204</v>
      </c>
      <c r="P35" s="840">
        <f t="shared" ref="P35:P42" si="26">Q35+R35</f>
        <v>5</v>
      </c>
      <c r="Q35" s="800">
        <v>3</v>
      </c>
      <c r="R35" s="801">
        <v>2</v>
      </c>
      <c r="S35" s="798" t="s">
        <v>204</v>
      </c>
      <c r="T35" s="799" t="s">
        <v>204</v>
      </c>
      <c r="U35" s="872">
        <f t="shared" ref="U35:U42" si="27">V35+W35</f>
        <v>4</v>
      </c>
      <c r="V35" s="800">
        <v>1</v>
      </c>
      <c r="W35" s="801">
        <v>3</v>
      </c>
      <c r="X35" s="871"/>
      <c r="Y35" s="901"/>
      <c r="Z35" s="902"/>
      <c r="AA35" s="902"/>
      <c r="AB35" s="903"/>
      <c r="AC35" s="798" t="s">
        <v>204</v>
      </c>
      <c r="AD35" s="799" t="s">
        <v>204</v>
      </c>
      <c r="AE35" s="904">
        <f t="shared" ref="AE35:AE42" si="28">AF35+AG35</f>
        <v>0</v>
      </c>
      <c r="AF35" s="800">
        <v>0</v>
      </c>
      <c r="AG35" s="801">
        <v>0</v>
      </c>
      <c r="AH35" s="931" t="s">
        <v>205</v>
      </c>
      <c r="AI35" s="931" t="s">
        <v>204</v>
      </c>
      <c r="AJ35" s="932">
        <f t="shared" si="0"/>
        <v>6</v>
      </c>
      <c r="AK35" s="800">
        <v>2</v>
      </c>
      <c r="AL35" s="801">
        <v>4</v>
      </c>
      <c r="AM35" s="930"/>
      <c r="AN35" s="929"/>
      <c r="AO35" s="929"/>
      <c r="AP35" s="929" t="s">
        <v>206</v>
      </c>
      <c r="AQ35" s="929" t="s">
        <v>207</v>
      </c>
      <c r="AR35" s="945">
        <v>45495</v>
      </c>
      <c r="AS35" s="945">
        <v>45497</v>
      </c>
      <c r="AT35" s="931">
        <v>45501</v>
      </c>
      <c r="AU35" s="931">
        <v>45501</v>
      </c>
      <c r="AV35" s="946">
        <f t="shared" ref="AV35:AV42" si="29">AU35-AR35</f>
        <v>6</v>
      </c>
      <c r="AW35" s="946">
        <f t="shared" ref="AW35:AW42" si="30">AT35-AS35</f>
        <v>4</v>
      </c>
    </row>
    <row r="36" spans="1:49">
      <c r="A36" s="802"/>
      <c r="B36" s="531"/>
      <c r="C36" s="775"/>
      <c r="D36" s="764"/>
      <c r="E36" s="765"/>
      <c r="F36" s="776">
        <f t="shared" si="25"/>
        <v>0</v>
      </c>
      <c r="G36" s="777"/>
      <c r="H36" s="767"/>
      <c r="I36" s="764"/>
      <c r="J36" s="795"/>
      <c r="K36" s="828">
        <f t="shared" ref="K36:K42" si="31">L36+M36</f>
        <v>0</v>
      </c>
      <c r="L36" s="777"/>
      <c r="M36" s="767"/>
      <c r="N36" s="764"/>
      <c r="O36" s="795"/>
      <c r="P36" s="834">
        <f t="shared" si="26"/>
        <v>0</v>
      </c>
      <c r="Q36" s="777"/>
      <c r="R36" s="767"/>
      <c r="S36" s="764"/>
      <c r="T36" s="795"/>
      <c r="U36" s="866">
        <f t="shared" si="27"/>
        <v>0</v>
      </c>
      <c r="V36" s="777"/>
      <c r="W36" s="767"/>
      <c r="X36" s="867"/>
      <c r="Y36" s="892"/>
      <c r="Z36" s="893"/>
      <c r="AA36" s="893"/>
      <c r="AB36" s="894"/>
      <c r="AC36" s="764"/>
      <c r="AD36" s="795"/>
      <c r="AE36" s="895">
        <f t="shared" si="28"/>
        <v>0</v>
      </c>
      <c r="AF36" s="777"/>
      <c r="AG36" s="767"/>
      <c r="AH36" s="764"/>
      <c r="AI36" s="795"/>
      <c r="AJ36" s="921">
        <f t="shared" si="0"/>
        <v>0</v>
      </c>
      <c r="AK36" s="777"/>
      <c r="AL36" s="767"/>
      <c r="AM36" s="923"/>
      <c r="AN36" s="923"/>
      <c r="AO36" s="923"/>
      <c r="AP36" s="923"/>
      <c r="AQ36" s="923"/>
      <c r="AR36" s="940"/>
      <c r="AS36" s="940"/>
      <c r="AT36" s="940"/>
      <c r="AU36" s="940"/>
      <c r="AV36" s="941">
        <f t="shared" si="29"/>
        <v>0</v>
      </c>
      <c r="AW36" s="941">
        <f t="shared" si="30"/>
        <v>0</v>
      </c>
    </row>
    <row r="37" spans="1:49">
      <c r="A37" s="802"/>
      <c r="B37" s="531"/>
      <c r="C37" s="775"/>
      <c r="D37" s="764"/>
      <c r="E37" s="765"/>
      <c r="F37" s="776">
        <f t="shared" si="25"/>
        <v>0</v>
      </c>
      <c r="G37" s="777"/>
      <c r="H37" s="767"/>
      <c r="I37" s="764"/>
      <c r="J37" s="795"/>
      <c r="K37" s="828">
        <f t="shared" si="31"/>
        <v>0</v>
      </c>
      <c r="L37" s="777"/>
      <c r="M37" s="767"/>
      <c r="N37" s="764"/>
      <c r="O37" s="795"/>
      <c r="P37" s="834">
        <f t="shared" si="26"/>
        <v>0</v>
      </c>
      <c r="Q37" s="777"/>
      <c r="R37" s="767"/>
      <c r="S37" s="764"/>
      <c r="T37" s="795"/>
      <c r="U37" s="866">
        <f t="shared" si="27"/>
        <v>0</v>
      </c>
      <c r="V37" s="777"/>
      <c r="W37" s="767"/>
      <c r="X37" s="867"/>
      <c r="Y37" s="892"/>
      <c r="Z37" s="893"/>
      <c r="AA37" s="893"/>
      <c r="AB37" s="894"/>
      <c r="AC37" s="764"/>
      <c r="AD37" s="795"/>
      <c r="AE37" s="895">
        <f t="shared" si="28"/>
        <v>0</v>
      </c>
      <c r="AF37" s="777"/>
      <c r="AG37" s="767"/>
      <c r="AH37" s="764"/>
      <c r="AI37" s="795"/>
      <c r="AJ37" s="921">
        <f t="shared" si="0"/>
        <v>0</v>
      </c>
      <c r="AK37" s="777"/>
      <c r="AL37" s="767"/>
      <c r="AM37" s="923"/>
      <c r="AN37" s="923"/>
      <c r="AO37" s="923"/>
      <c r="AP37" s="923"/>
      <c r="AQ37" s="923"/>
      <c r="AR37" s="940"/>
      <c r="AS37" s="940"/>
      <c r="AT37" s="940"/>
      <c r="AU37" s="940"/>
      <c r="AV37" s="941">
        <f t="shared" si="29"/>
        <v>0</v>
      </c>
      <c r="AW37" s="941">
        <f t="shared" si="30"/>
        <v>0</v>
      </c>
    </row>
    <row r="38" ht="15.75" spans="1:49">
      <c r="A38" s="768"/>
      <c r="B38" s="537"/>
      <c r="C38" s="775"/>
      <c r="D38" s="770"/>
      <c r="E38" s="771"/>
      <c r="F38" s="776">
        <f t="shared" si="25"/>
        <v>0</v>
      </c>
      <c r="G38" s="777"/>
      <c r="H38" s="767"/>
      <c r="I38" s="764"/>
      <c r="J38" s="795"/>
      <c r="K38" s="828">
        <f t="shared" si="31"/>
        <v>0</v>
      </c>
      <c r="L38" s="777"/>
      <c r="M38" s="767"/>
      <c r="N38" s="770"/>
      <c r="O38" s="797"/>
      <c r="P38" s="835">
        <f t="shared" si="26"/>
        <v>0</v>
      </c>
      <c r="Q38" s="537"/>
      <c r="R38" s="773"/>
      <c r="S38" s="770"/>
      <c r="T38" s="797"/>
      <c r="U38" s="869">
        <f t="shared" si="27"/>
        <v>0</v>
      </c>
      <c r="V38" s="537"/>
      <c r="W38" s="773"/>
      <c r="X38" s="870"/>
      <c r="Y38" s="896"/>
      <c r="Z38" s="897"/>
      <c r="AA38" s="897"/>
      <c r="AB38" s="898"/>
      <c r="AC38" s="770"/>
      <c r="AD38" s="797"/>
      <c r="AE38" s="900">
        <f t="shared" si="28"/>
        <v>0</v>
      </c>
      <c r="AF38" s="537"/>
      <c r="AG38" s="773"/>
      <c r="AH38" s="770"/>
      <c r="AI38" s="797"/>
      <c r="AJ38" s="924">
        <f t="shared" si="0"/>
        <v>0</v>
      </c>
      <c r="AK38" s="537"/>
      <c r="AL38" s="773"/>
      <c r="AM38" s="928"/>
      <c r="AN38" s="928"/>
      <c r="AO38" s="928"/>
      <c r="AP38" s="928"/>
      <c r="AQ38" s="928"/>
      <c r="AR38" s="944"/>
      <c r="AS38" s="944"/>
      <c r="AT38" s="944"/>
      <c r="AU38" s="944"/>
      <c r="AV38" s="943">
        <f t="shared" si="29"/>
        <v>0</v>
      </c>
      <c r="AW38" s="947">
        <f t="shared" si="30"/>
        <v>0</v>
      </c>
    </row>
    <row r="39" ht="15.75" spans="1:49">
      <c r="A39" s="774" t="str">
        <f>' IA-SI DRY'!B12</f>
        <v>Medi Sydney</v>
      </c>
      <c r="B39" s="587" t="s">
        <v>31</v>
      </c>
      <c r="C39" s="519" t="s">
        <v>37</v>
      </c>
      <c r="D39" s="798" t="s">
        <v>208</v>
      </c>
      <c r="E39" s="799" t="s">
        <v>208</v>
      </c>
      <c r="F39" s="778">
        <f t="shared" si="25"/>
        <v>6</v>
      </c>
      <c r="G39" s="523">
        <v>1</v>
      </c>
      <c r="H39" s="523">
        <v>5</v>
      </c>
      <c r="I39" s="764" t="s">
        <v>208</v>
      </c>
      <c r="J39" s="799" t="s">
        <v>208</v>
      </c>
      <c r="K39" s="836">
        <f t="shared" si="31"/>
        <v>7</v>
      </c>
      <c r="L39" s="784">
        <v>0</v>
      </c>
      <c r="M39" s="785">
        <v>7</v>
      </c>
      <c r="N39" s="764"/>
      <c r="O39" s="795"/>
      <c r="P39" s="834">
        <f t="shared" si="26"/>
        <v>0</v>
      </c>
      <c r="Q39" s="777"/>
      <c r="R39" s="767"/>
      <c r="S39" s="829"/>
      <c r="T39" s="795"/>
      <c r="U39" s="866">
        <f t="shared" si="27"/>
        <v>0</v>
      </c>
      <c r="V39" s="777"/>
      <c r="W39" s="767"/>
      <c r="X39" s="871"/>
      <c r="Y39" s="901"/>
      <c r="Z39" s="902"/>
      <c r="AA39" s="902"/>
      <c r="AB39" s="903"/>
      <c r="AC39" s="793" t="s">
        <v>208</v>
      </c>
      <c r="AD39" s="758" t="s">
        <v>208</v>
      </c>
      <c r="AE39" s="895">
        <v>0</v>
      </c>
      <c r="AF39" s="777">
        <v>0</v>
      </c>
      <c r="AG39" s="767">
        <v>0</v>
      </c>
      <c r="AH39" s="799"/>
      <c r="AI39" s="839"/>
      <c r="AJ39" s="932"/>
      <c r="AK39" s="800"/>
      <c r="AL39" s="801"/>
      <c r="AM39" s="919"/>
      <c r="AN39" s="920"/>
      <c r="AO39" s="920"/>
      <c r="AP39" s="920" t="s">
        <v>207</v>
      </c>
      <c r="AQ39" s="920" t="s">
        <v>207</v>
      </c>
      <c r="AR39" s="938">
        <v>45569</v>
      </c>
      <c r="AS39" s="938">
        <v>45570</v>
      </c>
      <c r="AT39" s="938">
        <v>45571</v>
      </c>
      <c r="AU39" s="938">
        <v>45572</v>
      </c>
      <c r="AV39" s="948">
        <f t="shared" si="29"/>
        <v>3</v>
      </c>
      <c r="AW39" s="948">
        <f t="shared" si="30"/>
        <v>1</v>
      </c>
    </row>
    <row r="40" spans="1:49">
      <c r="A40" s="762"/>
      <c r="B40" s="531"/>
      <c r="C40" s="527"/>
      <c r="D40" s="794"/>
      <c r="E40" s="795"/>
      <c r="F40" s="779">
        <f t="shared" si="25"/>
        <v>0</v>
      </c>
      <c r="G40" s="531"/>
      <c r="H40" s="531"/>
      <c r="I40" s="787"/>
      <c r="J40" s="837"/>
      <c r="K40" s="838">
        <f t="shared" si="31"/>
        <v>0</v>
      </c>
      <c r="L40" s="789"/>
      <c r="M40" s="790"/>
      <c r="N40" s="764"/>
      <c r="O40" s="795"/>
      <c r="P40" s="834">
        <f t="shared" si="26"/>
        <v>0</v>
      </c>
      <c r="Q40" s="531"/>
      <c r="R40" s="767"/>
      <c r="S40" s="829"/>
      <c r="T40" s="795"/>
      <c r="U40" s="866">
        <f t="shared" si="27"/>
        <v>0</v>
      </c>
      <c r="V40" s="531"/>
      <c r="W40" s="767"/>
      <c r="X40" s="871"/>
      <c r="Y40" s="901"/>
      <c r="Z40" s="902"/>
      <c r="AA40" s="902"/>
      <c r="AB40" s="903"/>
      <c r="AC40" s="829"/>
      <c r="AD40" s="795"/>
      <c r="AE40" s="895">
        <f t="shared" si="28"/>
        <v>0</v>
      </c>
      <c r="AF40" s="531"/>
      <c r="AG40" s="767"/>
      <c r="AH40" s="799"/>
      <c r="AI40" s="839"/>
      <c r="AJ40" s="932"/>
      <c r="AK40" s="800"/>
      <c r="AL40" s="801"/>
      <c r="AM40" s="922"/>
      <c r="AN40" s="923"/>
      <c r="AO40" s="923"/>
      <c r="AP40" s="923"/>
      <c r="AQ40" s="923"/>
      <c r="AR40" s="940"/>
      <c r="AS40" s="940"/>
      <c r="AT40" s="940"/>
      <c r="AU40" s="940"/>
      <c r="AV40" s="947">
        <f t="shared" si="29"/>
        <v>0</v>
      </c>
      <c r="AW40" s="947">
        <f t="shared" si="30"/>
        <v>0</v>
      </c>
    </row>
    <row r="41" spans="1:49">
      <c r="A41" s="762"/>
      <c r="B41" s="531"/>
      <c r="C41" s="527"/>
      <c r="D41" s="794"/>
      <c r="E41" s="795"/>
      <c r="F41" s="779">
        <f t="shared" si="25"/>
        <v>0</v>
      </c>
      <c r="G41" s="531"/>
      <c r="H41" s="531"/>
      <c r="I41" s="787"/>
      <c r="J41" s="837"/>
      <c r="K41" s="838">
        <f t="shared" si="31"/>
        <v>0</v>
      </c>
      <c r="L41" s="789"/>
      <c r="M41" s="790"/>
      <c r="N41" s="764"/>
      <c r="O41" s="795"/>
      <c r="P41" s="834">
        <f t="shared" si="26"/>
        <v>0</v>
      </c>
      <c r="Q41" s="531"/>
      <c r="R41" s="767"/>
      <c r="S41" s="764"/>
      <c r="T41" s="795"/>
      <c r="U41" s="866">
        <f t="shared" si="27"/>
        <v>0</v>
      </c>
      <c r="V41" s="531"/>
      <c r="W41" s="767"/>
      <c r="X41" s="871"/>
      <c r="Y41" s="901"/>
      <c r="Z41" s="902"/>
      <c r="AA41" s="902"/>
      <c r="AB41" s="903"/>
      <c r="AC41" s="764"/>
      <c r="AD41" s="795"/>
      <c r="AE41" s="895">
        <f t="shared" si="28"/>
        <v>0</v>
      </c>
      <c r="AF41" s="531"/>
      <c r="AG41" s="767"/>
      <c r="AH41" s="799"/>
      <c r="AI41" s="839"/>
      <c r="AJ41" s="932"/>
      <c r="AK41" s="800"/>
      <c r="AL41" s="801"/>
      <c r="AM41" s="922"/>
      <c r="AN41" s="923"/>
      <c r="AO41" s="923"/>
      <c r="AP41" s="923"/>
      <c r="AQ41" s="923"/>
      <c r="AR41" s="940"/>
      <c r="AS41" s="940"/>
      <c r="AT41" s="940"/>
      <c r="AU41" s="940"/>
      <c r="AV41" s="947">
        <f t="shared" si="29"/>
        <v>0</v>
      </c>
      <c r="AW41" s="947">
        <f t="shared" si="30"/>
        <v>0</v>
      </c>
    </row>
    <row r="42" ht="15.75" spans="1:49">
      <c r="A42" s="768"/>
      <c r="B42" s="537"/>
      <c r="C42" s="542"/>
      <c r="D42" s="796"/>
      <c r="E42" s="797"/>
      <c r="F42" s="792">
        <f t="shared" si="25"/>
        <v>0</v>
      </c>
      <c r="G42" s="537"/>
      <c r="H42" s="537"/>
      <c r="I42" s="770"/>
      <c r="J42" s="797"/>
      <c r="K42" s="831">
        <f t="shared" si="31"/>
        <v>0</v>
      </c>
      <c r="L42" s="537"/>
      <c r="M42" s="773"/>
      <c r="N42" s="770"/>
      <c r="O42" s="797"/>
      <c r="P42" s="835">
        <f t="shared" si="26"/>
        <v>0</v>
      </c>
      <c r="Q42" s="537"/>
      <c r="R42" s="773"/>
      <c r="S42" s="770"/>
      <c r="T42" s="797"/>
      <c r="U42" s="869">
        <f t="shared" si="27"/>
        <v>0</v>
      </c>
      <c r="V42" s="537"/>
      <c r="W42" s="773"/>
      <c r="X42" s="871"/>
      <c r="Y42" s="901"/>
      <c r="Z42" s="902"/>
      <c r="AA42" s="902"/>
      <c r="AB42" s="903"/>
      <c r="AC42" s="770"/>
      <c r="AD42" s="797"/>
      <c r="AE42" s="900">
        <f t="shared" si="28"/>
        <v>0</v>
      </c>
      <c r="AF42" s="537"/>
      <c r="AG42" s="773"/>
      <c r="AH42" s="799"/>
      <c r="AI42" s="839"/>
      <c r="AJ42" s="932"/>
      <c r="AK42" s="800"/>
      <c r="AL42" s="801"/>
      <c r="AM42" s="927"/>
      <c r="AN42" s="926"/>
      <c r="AO42" s="926"/>
      <c r="AP42" s="926"/>
      <c r="AQ42" s="926"/>
      <c r="AR42" s="942"/>
      <c r="AS42" s="942"/>
      <c r="AT42" s="942"/>
      <c r="AU42" s="942"/>
      <c r="AV42" s="947">
        <f t="shared" si="29"/>
        <v>0</v>
      </c>
      <c r="AW42" s="947">
        <f t="shared" si="30"/>
        <v>0</v>
      </c>
    </row>
    <row r="43" ht="15.75" spans="1:49">
      <c r="A43" s="803" t="str">
        <f>' IA-SI DRY'!B13</f>
        <v>Medi Tirreno</v>
      </c>
      <c r="B43" s="544" t="s">
        <v>27</v>
      </c>
      <c r="C43" s="519" t="s">
        <v>37</v>
      </c>
      <c r="D43" s="552" t="s">
        <v>209</v>
      </c>
      <c r="E43" s="593" t="s">
        <v>209</v>
      </c>
      <c r="F43" s="778">
        <f t="shared" si="2"/>
        <v>3</v>
      </c>
      <c r="G43" s="760">
        <v>0</v>
      </c>
      <c r="H43" s="761">
        <v>3</v>
      </c>
      <c r="I43" s="757"/>
      <c r="J43" s="758"/>
      <c r="K43" s="836">
        <f t="shared" si="3"/>
        <v>0</v>
      </c>
      <c r="L43" s="760"/>
      <c r="M43" s="761"/>
      <c r="N43" s="758"/>
      <c r="O43" s="758"/>
      <c r="P43" s="841">
        <f t="shared" si="4"/>
        <v>0</v>
      </c>
      <c r="Q43" s="760"/>
      <c r="R43" s="761"/>
      <c r="S43" s="757"/>
      <c r="T43" s="758"/>
      <c r="U43" s="873">
        <f t="shared" si="5"/>
        <v>0</v>
      </c>
      <c r="V43" s="760"/>
      <c r="W43" s="761"/>
      <c r="X43" s="864"/>
      <c r="Y43" s="901"/>
      <c r="Z43" s="902"/>
      <c r="AA43" s="902"/>
      <c r="AB43" s="903"/>
      <c r="AC43" s="520" t="s">
        <v>209</v>
      </c>
      <c r="AD43" s="520" t="s">
        <v>209</v>
      </c>
      <c r="AE43" s="905">
        <f t="shared" si="6"/>
        <v>0</v>
      </c>
      <c r="AF43" s="760">
        <v>0</v>
      </c>
      <c r="AG43" s="761">
        <v>0</v>
      </c>
      <c r="AH43" s="758"/>
      <c r="AI43" s="758"/>
      <c r="AJ43" s="918">
        <f t="shared" si="0"/>
        <v>0</v>
      </c>
      <c r="AK43" s="760"/>
      <c r="AL43" s="761"/>
      <c r="AM43" s="920"/>
      <c r="AN43" s="920"/>
      <c r="AO43" s="920"/>
      <c r="AP43" s="920"/>
      <c r="AQ43" s="920"/>
      <c r="AR43" s="938"/>
      <c r="AS43" s="938"/>
      <c r="AT43" s="938"/>
      <c r="AU43" s="938"/>
      <c r="AV43" s="939">
        <f t="shared" ref="AV43:AV46" si="32">AU43-AR43</f>
        <v>0</v>
      </c>
      <c r="AW43" s="939">
        <f t="shared" si="7"/>
        <v>0</v>
      </c>
    </row>
    <row r="44" spans="1:49">
      <c r="A44" s="802"/>
      <c r="B44" s="587"/>
      <c r="C44" s="775"/>
      <c r="D44" s="764"/>
      <c r="E44" s="765"/>
      <c r="F44" s="776">
        <f t="shared" si="2"/>
        <v>0</v>
      </c>
      <c r="G44" s="777"/>
      <c r="H44" s="767"/>
      <c r="I44" s="764"/>
      <c r="J44" s="795"/>
      <c r="K44" s="828">
        <f t="shared" si="3"/>
        <v>0</v>
      </c>
      <c r="L44" s="777"/>
      <c r="M44" s="767"/>
      <c r="N44" s="764"/>
      <c r="O44" s="795"/>
      <c r="P44" s="834">
        <f t="shared" si="4"/>
        <v>0</v>
      </c>
      <c r="Q44" s="777"/>
      <c r="R44" s="767"/>
      <c r="S44" s="764"/>
      <c r="T44" s="795"/>
      <c r="U44" s="866">
        <f t="shared" si="5"/>
        <v>0</v>
      </c>
      <c r="V44" s="777"/>
      <c r="W44" s="767"/>
      <c r="X44" s="871"/>
      <c r="Y44" s="901"/>
      <c r="Z44" s="902"/>
      <c r="AA44" s="902"/>
      <c r="AB44" s="903"/>
      <c r="AC44" s="764"/>
      <c r="AD44" s="795"/>
      <c r="AE44" s="895">
        <f t="shared" si="6"/>
        <v>0</v>
      </c>
      <c r="AF44" s="777"/>
      <c r="AG44" s="767"/>
      <c r="AH44" s="764"/>
      <c r="AI44" s="795"/>
      <c r="AJ44" s="921">
        <f t="shared" si="0"/>
        <v>0</v>
      </c>
      <c r="AK44" s="777"/>
      <c r="AL44" s="767"/>
      <c r="AM44" s="923"/>
      <c r="AN44" s="923"/>
      <c r="AO44" s="923"/>
      <c r="AP44" s="923"/>
      <c r="AQ44" s="923"/>
      <c r="AR44" s="940"/>
      <c r="AS44" s="940"/>
      <c r="AT44" s="940"/>
      <c r="AU44" s="940"/>
      <c r="AV44" s="941">
        <f t="shared" si="32"/>
        <v>0</v>
      </c>
      <c r="AW44" s="941">
        <f t="shared" si="7"/>
        <v>0</v>
      </c>
    </row>
    <row r="45" spans="1:49">
      <c r="A45" s="802"/>
      <c r="B45" s="587"/>
      <c r="C45" s="775"/>
      <c r="D45" s="764"/>
      <c r="E45" s="765"/>
      <c r="F45" s="776">
        <f t="shared" si="2"/>
        <v>0</v>
      </c>
      <c r="G45" s="777"/>
      <c r="H45" s="767"/>
      <c r="I45" s="764"/>
      <c r="J45" s="795"/>
      <c r="K45" s="828">
        <f t="shared" si="3"/>
        <v>0</v>
      </c>
      <c r="L45" s="777"/>
      <c r="M45" s="767"/>
      <c r="N45" s="764"/>
      <c r="O45" s="795"/>
      <c r="P45" s="834">
        <f t="shared" si="4"/>
        <v>0</v>
      </c>
      <c r="Q45" s="777"/>
      <c r="R45" s="767"/>
      <c r="S45" s="764"/>
      <c r="T45" s="795"/>
      <c r="U45" s="866">
        <f t="shared" si="5"/>
        <v>0</v>
      </c>
      <c r="V45" s="777"/>
      <c r="W45" s="767"/>
      <c r="X45" s="871"/>
      <c r="Y45" s="901"/>
      <c r="Z45" s="902"/>
      <c r="AA45" s="902"/>
      <c r="AB45" s="903"/>
      <c r="AC45" s="764"/>
      <c r="AD45" s="795"/>
      <c r="AE45" s="895">
        <f t="shared" si="6"/>
        <v>0</v>
      </c>
      <c r="AF45" s="777"/>
      <c r="AG45" s="767"/>
      <c r="AH45" s="764"/>
      <c r="AI45" s="795"/>
      <c r="AJ45" s="921">
        <f t="shared" si="0"/>
        <v>0</v>
      </c>
      <c r="AK45" s="777"/>
      <c r="AL45" s="767"/>
      <c r="AM45" s="923"/>
      <c r="AN45" s="923"/>
      <c r="AO45" s="923"/>
      <c r="AP45" s="923"/>
      <c r="AQ45" s="923"/>
      <c r="AR45" s="940"/>
      <c r="AS45" s="940"/>
      <c r="AT45" s="940"/>
      <c r="AU45" s="940"/>
      <c r="AV45" s="941">
        <f t="shared" si="32"/>
        <v>0</v>
      </c>
      <c r="AW45" s="941">
        <f t="shared" si="7"/>
        <v>0</v>
      </c>
    </row>
    <row r="46" ht="15.75" spans="1:49">
      <c r="A46" s="768"/>
      <c r="B46" s="537"/>
      <c r="C46" s="769"/>
      <c r="D46" s="770"/>
      <c r="E46" s="771"/>
      <c r="F46" s="772">
        <f t="shared" si="2"/>
        <v>0</v>
      </c>
      <c r="G46" s="804"/>
      <c r="H46" s="773"/>
      <c r="I46" s="770"/>
      <c r="J46" s="797"/>
      <c r="K46" s="831">
        <f t="shared" si="3"/>
        <v>0</v>
      </c>
      <c r="L46" s="804"/>
      <c r="M46" s="773"/>
      <c r="N46" s="770"/>
      <c r="O46" s="797"/>
      <c r="P46" s="835">
        <f t="shared" si="4"/>
        <v>0</v>
      </c>
      <c r="Q46" s="804"/>
      <c r="R46" s="773"/>
      <c r="S46" s="770"/>
      <c r="T46" s="797"/>
      <c r="U46" s="869">
        <f t="shared" si="5"/>
        <v>0</v>
      </c>
      <c r="V46" s="804"/>
      <c r="W46" s="773"/>
      <c r="X46" s="870"/>
      <c r="Y46" s="896"/>
      <c r="Z46" s="897"/>
      <c r="AA46" s="897"/>
      <c r="AB46" s="898"/>
      <c r="AC46" s="770"/>
      <c r="AD46" s="797"/>
      <c r="AE46" s="900">
        <f t="shared" si="6"/>
        <v>0</v>
      </c>
      <c r="AF46" s="804"/>
      <c r="AG46" s="773"/>
      <c r="AH46" s="770"/>
      <c r="AI46" s="797"/>
      <c r="AJ46" s="924">
        <f t="shared" si="0"/>
        <v>0</v>
      </c>
      <c r="AK46" s="804"/>
      <c r="AL46" s="773"/>
      <c r="AM46" s="928"/>
      <c r="AN46" s="928"/>
      <c r="AO46" s="928"/>
      <c r="AP46" s="928"/>
      <c r="AQ46" s="928"/>
      <c r="AR46" s="944"/>
      <c r="AS46" s="944"/>
      <c r="AT46" s="944"/>
      <c r="AU46" s="944"/>
      <c r="AV46" s="943">
        <f t="shared" si="32"/>
        <v>0</v>
      </c>
      <c r="AW46" s="943">
        <f t="shared" si="7"/>
        <v>0</v>
      </c>
    </row>
    <row r="47" ht="15.75" spans="1:49">
      <c r="A47" s="805" t="str">
        <f>' IA-SI DRY'!B14</f>
        <v>Medi Zuoz</v>
      </c>
      <c r="B47" s="523" t="s">
        <v>32</v>
      </c>
      <c r="C47" s="756" t="s">
        <v>37</v>
      </c>
      <c r="D47" s="806" t="s">
        <v>210</v>
      </c>
      <c r="E47" s="807" t="s">
        <v>210</v>
      </c>
      <c r="F47" s="808">
        <f t="shared" ref="F47:F54" si="33">G47+H47</f>
        <v>4</v>
      </c>
      <c r="G47" s="760">
        <v>0</v>
      </c>
      <c r="H47" s="761">
        <v>4</v>
      </c>
      <c r="I47" s="806" t="s">
        <v>210</v>
      </c>
      <c r="J47" s="807" t="s">
        <v>210</v>
      </c>
      <c r="K47" s="842">
        <f t="shared" ref="K47:K54" si="34">L47+M47</f>
        <v>6</v>
      </c>
      <c r="L47" s="760">
        <v>0</v>
      </c>
      <c r="M47" s="761">
        <v>6</v>
      </c>
      <c r="N47" s="758"/>
      <c r="O47" s="758"/>
      <c r="P47" s="841">
        <f t="shared" ref="P47:P54" si="35">Q47+R47</f>
        <v>0</v>
      </c>
      <c r="Q47" s="760"/>
      <c r="R47" s="761"/>
      <c r="S47" s="806" t="s">
        <v>210</v>
      </c>
      <c r="T47" s="807" t="s">
        <v>210</v>
      </c>
      <c r="U47" s="874">
        <f t="shared" ref="U47:U54" si="36">V47+W47</f>
        <v>5</v>
      </c>
      <c r="V47" s="760">
        <v>0</v>
      </c>
      <c r="W47" s="761">
        <v>5</v>
      </c>
      <c r="X47" s="864"/>
      <c r="Y47" s="887"/>
      <c r="Z47" s="888"/>
      <c r="AA47" s="888"/>
      <c r="AB47" s="890"/>
      <c r="AC47" s="806" t="s">
        <v>210</v>
      </c>
      <c r="AD47" s="906" t="s">
        <v>210</v>
      </c>
      <c r="AE47" s="907">
        <f t="shared" ref="AE47:AE54" si="37">AF47+AG47</f>
        <v>0</v>
      </c>
      <c r="AF47" s="760">
        <v>0</v>
      </c>
      <c r="AG47" s="761">
        <v>0</v>
      </c>
      <c r="AH47" s="806" t="s">
        <v>210</v>
      </c>
      <c r="AI47" s="906" t="s">
        <v>210</v>
      </c>
      <c r="AJ47" s="933">
        <f t="shared" ref="AJ47:AJ54" si="38">AK47+AL47</f>
        <v>4</v>
      </c>
      <c r="AK47" s="760">
        <v>0</v>
      </c>
      <c r="AL47" s="761">
        <v>4</v>
      </c>
      <c r="AM47" s="920"/>
      <c r="AN47" s="920"/>
      <c r="AO47" s="920"/>
      <c r="AP47" s="920" t="s">
        <v>211</v>
      </c>
      <c r="AQ47" s="920" t="s">
        <v>211</v>
      </c>
      <c r="AR47" s="938">
        <v>45524</v>
      </c>
      <c r="AS47" s="938">
        <v>45525</v>
      </c>
      <c r="AT47" s="938">
        <v>45529</v>
      </c>
      <c r="AU47" s="938">
        <v>45529</v>
      </c>
      <c r="AV47" s="939">
        <f t="shared" ref="AV47:AV54" si="39">AU47-AR47</f>
        <v>5</v>
      </c>
      <c r="AW47" s="939">
        <f t="shared" ref="AW47:AW54" si="40">AT47-AS47</f>
        <v>4</v>
      </c>
    </row>
    <row r="48" spans="1:49">
      <c r="A48" s="802"/>
      <c r="B48" s="587"/>
      <c r="C48" s="775"/>
      <c r="D48" s="764"/>
      <c r="E48" s="765"/>
      <c r="F48" s="776">
        <f t="shared" si="33"/>
        <v>0</v>
      </c>
      <c r="G48" s="777"/>
      <c r="H48" s="767"/>
      <c r="I48" s="764"/>
      <c r="J48" s="795"/>
      <c r="K48" s="828">
        <f t="shared" si="34"/>
        <v>0</v>
      </c>
      <c r="L48" s="777"/>
      <c r="M48" s="767"/>
      <c r="N48" s="764"/>
      <c r="O48" s="795"/>
      <c r="P48" s="834">
        <f t="shared" si="35"/>
        <v>0</v>
      </c>
      <c r="Q48" s="777"/>
      <c r="R48" s="767"/>
      <c r="S48" s="764"/>
      <c r="T48" s="795"/>
      <c r="U48" s="866">
        <f t="shared" si="36"/>
        <v>0</v>
      </c>
      <c r="V48" s="777"/>
      <c r="W48" s="767"/>
      <c r="X48" s="871"/>
      <c r="Y48" s="901"/>
      <c r="Z48" s="902"/>
      <c r="AA48" s="902"/>
      <c r="AB48" s="903"/>
      <c r="AC48" s="764"/>
      <c r="AD48" s="795"/>
      <c r="AE48" s="895">
        <f t="shared" si="37"/>
        <v>0</v>
      </c>
      <c r="AF48" s="777"/>
      <c r="AG48" s="767"/>
      <c r="AH48" s="764"/>
      <c r="AI48" s="795"/>
      <c r="AJ48" s="921">
        <f t="shared" si="38"/>
        <v>0</v>
      </c>
      <c r="AK48" s="777"/>
      <c r="AL48" s="767"/>
      <c r="AM48" s="923"/>
      <c r="AN48" s="923"/>
      <c r="AO48" s="923"/>
      <c r="AP48" s="923"/>
      <c r="AQ48" s="923"/>
      <c r="AR48" s="940"/>
      <c r="AS48" s="940"/>
      <c r="AT48" s="940"/>
      <c r="AU48" s="940"/>
      <c r="AV48" s="941">
        <f t="shared" si="39"/>
        <v>0</v>
      </c>
      <c r="AW48" s="941">
        <f t="shared" si="40"/>
        <v>0</v>
      </c>
    </row>
    <row r="49" spans="1:49">
      <c r="A49" s="802"/>
      <c r="B49" s="587"/>
      <c r="C49" s="775"/>
      <c r="D49" s="764"/>
      <c r="E49" s="765"/>
      <c r="F49" s="776">
        <f t="shared" si="33"/>
        <v>0</v>
      </c>
      <c r="G49" s="777"/>
      <c r="H49" s="767"/>
      <c r="I49" s="764"/>
      <c r="J49" s="795"/>
      <c r="K49" s="828">
        <f t="shared" si="34"/>
        <v>0</v>
      </c>
      <c r="L49" s="777"/>
      <c r="M49" s="767"/>
      <c r="N49" s="764"/>
      <c r="O49" s="795"/>
      <c r="P49" s="834">
        <f t="shared" si="35"/>
        <v>0</v>
      </c>
      <c r="Q49" s="777"/>
      <c r="R49" s="767"/>
      <c r="S49" s="764"/>
      <c r="T49" s="795"/>
      <c r="U49" s="866">
        <f t="shared" si="36"/>
        <v>0</v>
      </c>
      <c r="V49" s="777"/>
      <c r="W49" s="767"/>
      <c r="X49" s="871"/>
      <c r="Y49" s="901"/>
      <c r="Z49" s="902"/>
      <c r="AA49" s="902"/>
      <c r="AB49" s="903"/>
      <c r="AC49" s="764"/>
      <c r="AD49" s="795"/>
      <c r="AE49" s="895">
        <f t="shared" si="37"/>
        <v>0</v>
      </c>
      <c r="AF49" s="777"/>
      <c r="AG49" s="767"/>
      <c r="AH49" s="764"/>
      <c r="AI49" s="795"/>
      <c r="AJ49" s="921">
        <f t="shared" si="38"/>
        <v>0</v>
      </c>
      <c r="AK49" s="777"/>
      <c r="AL49" s="767"/>
      <c r="AM49" s="923"/>
      <c r="AN49" s="923"/>
      <c r="AO49" s="923"/>
      <c r="AP49" s="923"/>
      <c r="AQ49" s="923"/>
      <c r="AR49" s="940"/>
      <c r="AS49" s="940"/>
      <c r="AT49" s="940"/>
      <c r="AU49" s="940"/>
      <c r="AV49" s="941">
        <f t="shared" si="39"/>
        <v>0</v>
      </c>
      <c r="AW49" s="941">
        <f t="shared" si="40"/>
        <v>0</v>
      </c>
    </row>
    <row r="50" ht="15.75" spans="1:49">
      <c r="A50" s="768"/>
      <c r="B50" s="537"/>
      <c r="C50" s="769"/>
      <c r="D50" s="770"/>
      <c r="E50" s="771"/>
      <c r="F50" s="772">
        <f t="shared" si="33"/>
        <v>0</v>
      </c>
      <c r="G50" s="804"/>
      <c r="H50" s="773"/>
      <c r="I50" s="770"/>
      <c r="J50" s="797"/>
      <c r="K50" s="831">
        <f t="shared" si="34"/>
        <v>0</v>
      </c>
      <c r="L50" s="804"/>
      <c r="M50" s="773"/>
      <c r="N50" s="770"/>
      <c r="O50" s="797"/>
      <c r="P50" s="835">
        <f t="shared" si="35"/>
        <v>0</v>
      </c>
      <c r="Q50" s="804"/>
      <c r="R50" s="773"/>
      <c r="S50" s="770"/>
      <c r="T50" s="797"/>
      <c r="U50" s="869">
        <f t="shared" si="36"/>
        <v>0</v>
      </c>
      <c r="V50" s="804"/>
      <c r="W50" s="773"/>
      <c r="X50" s="870"/>
      <c r="Y50" s="896"/>
      <c r="Z50" s="897"/>
      <c r="AA50" s="897"/>
      <c r="AB50" s="898"/>
      <c r="AC50" s="770"/>
      <c r="AD50" s="797"/>
      <c r="AE50" s="900">
        <f t="shared" si="37"/>
        <v>0</v>
      </c>
      <c r="AF50" s="804"/>
      <c r="AG50" s="773"/>
      <c r="AH50" s="770"/>
      <c r="AI50" s="797"/>
      <c r="AJ50" s="924">
        <f t="shared" si="38"/>
        <v>0</v>
      </c>
      <c r="AK50" s="804"/>
      <c r="AL50" s="773"/>
      <c r="AM50" s="928"/>
      <c r="AN50" s="928"/>
      <c r="AO50" s="928"/>
      <c r="AP50" s="928"/>
      <c r="AQ50" s="928"/>
      <c r="AR50" s="944"/>
      <c r="AS50" s="944"/>
      <c r="AT50" s="944"/>
      <c r="AU50" s="944"/>
      <c r="AV50" s="943">
        <f t="shared" si="39"/>
        <v>0</v>
      </c>
      <c r="AW50" s="943">
        <f t="shared" si="40"/>
        <v>0</v>
      </c>
    </row>
    <row r="51" ht="15.75" spans="1:49">
      <c r="A51" s="755"/>
      <c r="B51" s="523"/>
      <c r="C51" s="756"/>
      <c r="D51" s="806"/>
      <c r="E51" s="809"/>
      <c r="F51" s="778">
        <f t="shared" si="33"/>
        <v>0</v>
      </c>
      <c r="G51" s="760"/>
      <c r="H51" s="761"/>
      <c r="I51" s="757"/>
      <c r="J51" s="758"/>
      <c r="K51" s="836">
        <f t="shared" si="34"/>
        <v>0</v>
      </c>
      <c r="L51" s="760"/>
      <c r="M51" s="761"/>
      <c r="N51" s="806"/>
      <c r="O51" s="758"/>
      <c r="P51" s="841">
        <f t="shared" si="35"/>
        <v>0</v>
      </c>
      <c r="Q51" s="760"/>
      <c r="R51" s="761"/>
      <c r="S51" s="757"/>
      <c r="T51" s="758"/>
      <c r="U51" s="873">
        <f t="shared" si="36"/>
        <v>0</v>
      </c>
      <c r="V51" s="760"/>
      <c r="W51" s="761"/>
      <c r="X51" s="864"/>
      <c r="Y51" s="887"/>
      <c r="Z51" s="888"/>
      <c r="AA51" s="888"/>
      <c r="AB51" s="890"/>
      <c r="AC51" s="757"/>
      <c r="AD51" s="758"/>
      <c r="AE51" s="905">
        <f t="shared" si="37"/>
        <v>0</v>
      </c>
      <c r="AF51" s="760"/>
      <c r="AG51" s="761"/>
      <c r="AH51" s="758"/>
      <c r="AI51" s="758"/>
      <c r="AJ51" s="918">
        <f t="shared" si="38"/>
        <v>0</v>
      </c>
      <c r="AK51" s="760"/>
      <c r="AL51" s="761"/>
      <c r="AM51" s="920"/>
      <c r="AN51" s="920"/>
      <c r="AO51" s="920"/>
      <c r="AP51" s="920"/>
      <c r="AQ51" s="920"/>
      <c r="AR51" s="938"/>
      <c r="AS51" s="938"/>
      <c r="AT51" s="938"/>
      <c r="AU51" s="938"/>
      <c r="AV51" s="939">
        <f t="shared" si="39"/>
        <v>0</v>
      </c>
      <c r="AW51" s="939">
        <f t="shared" si="40"/>
        <v>0</v>
      </c>
    </row>
    <row r="52" spans="1:49">
      <c r="A52" s="802"/>
      <c r="B52" s="587"/>
      <c r="C52" s="775"/>
      <c r="D52" s="764"/>
      <c r="E52" s="765"/>
      <c r="F52" s="776">
        <f t="shared" si="33"/>
        <v>0</v>
      </c>
      <c r="G52" s="777"/>
      <c r="H52" s="767"/>
      <c r="I52" s="764"/>
      <c r="J52" s="795"/>
      <c r="K52" s="828">
        <f t="shared" si="34"/>
        <v>0</v>
      </c>
      <c r="L52" s="777"/>
      <c r="M52" s="767"/>
      <c r="N52" s="764"/>
      <c r="O52" s="795"/>
      <c r="P52" s="834">
        <f t="shared" si="35"/>
        <v>0</v>
      </c>
      <c r="Q52" s="777"/>
      <c r="R52" s="767"/>
      <c r="S52" s="764"/>
      <c r="T52" s="795"/>
      <c r="U52" s="866">
        <f t="shared" si="36"/>
        <v>0</v>
      </c>
      <c r="V52" s="777"/>
      <c r="W52" s="767"/>
      <c r="X52" s="871"/>
      <c r="Y52" s="901"/>
      <c r="Z52" s="902"/>
      <c r="AA52" s="902"/>
      <c r="AB52" s="903"/>
      <c r="AC52" s="764"/>
      <c r="AD52" s="795"/>
      <c r="AE52" s="895">
        <f t="shared" si="37"/>
        <v>0</v>
      </c>
      <c r="AF52" s="777"/>
      <c r="AG52" s="767"/>
      <c r="AH52" s="764"/>
      <c r="AI52" s="795"/>
      <c r="AJ52" s="921">
        <f t="shared" si="38"/>
        <v>0</v>
      </c>
      <c r="AK52" s="777"/>
      <c r="AL52" s="767"/>
      <c r="AM52" s="923"/>
      <c r="AN52" s="923"/>
      <c r="AO52" s="923"/>
      <c r="AP52" s="923"/>
      <c r="AQ52" s="923"/>
      <c r="AR52" s="940"/>
      <c r="AS52" s="940"/>
      <c r="AT52" s="940"/>
      <c r="AU52" s="940"/>
      <c r="AV52" s="941">
        <f t="shared" si="39"/>
        <v>0</v>
      </c>
      <c r="AW52" s="941">
        <f t="shared" si="40"/>
        <v>0</v>
      </c>
    </row>
    <row r="53" spans="1:49">
      <c r="A53" s="802"/>
      <c r="B53" s="587"/>
      <c r="C53" s="775"/>
      <c r="D53" s="764"/>
      <c r="E53" s="765"/>
      <c r="F53" s="776">
        <f t="shared" si="33"/>
        <v>0</v>
      </c>
      <c r="G53" s="777"/>
      <c r="H53" s="767"/>
      <c r="I53" s="764"/>
      <c r="J53" s="795"/>
      <c r="K53" s="828">
        <f t="shared" si="34"/>
        <v>0</v>
      </c>
      <c r="L53" s="777"/>
      <c r="M53" s="767"/>
      <c r="N53" s="764"/>
      <c r="O53" s="795"/>
      <c r="P53" s="834">
        <f t="shared" si="35"/>
        <v>0</v>
      </c>
      <c r="Q53" s="777"/>
      <c r="R53" s="767"/>
      <c r="S53" s="764"/>
      <c r="T53" s="795"/>
      <c r="U53" s="866">
        <f t="shared" si="36"/>
        <v>0</v>
      </c>
      <c r="V53" s="777"/>
      <c r="W53" s="767"/>
      <c r="X53" s="871"/>
      <c r="Y53" s="901"/>
      <c r="Z53" s="902"/>
      <c r="AA53" s="902"/>
      <c r="AB53" s="903"/>
      <c r="AC53" s="764"/>
      <c r="AD53" s="795"/>
      <c r="AE53" s="895">
        <f t="shared" si="37"/>
        <v>0</v>
      </c>
      <c r="AF53" s="777"/>
      <c r="AG53" s="767"/>
      <c r="AH53" s="764"/>
      <c r="AI53" s="795"/>
      <c r="AJ53" s="921">
        <f t="shared" si="38"/>
        <v>0</v>
      </c>
      <c r="AK53" s="777"/>
      <c r="AL53" s="767"/>
      <c r="AM53" s="923"/>
      <c r="AN53" s="923"/>
      <c r="AO53" s="923"/>
      <c r="AP53" s="923"/>
      <c r="AQ53" s="923"/>
      <c r="AR53" s="940"/>
      <c r="AS53" s="940"/>
      <c r="AT53" s="940"/>
      <c r="AU53" s="940"/>
      <c r="AV53" s="941">
        <f t="shared" si="39"/>
        <v>0</v>
      </c>
      <c r="AW53" s="941">
        <f t="shared" si="40"/>
        <v>0</v>
      </c>
    </row>
    <row r="54" ht="15.75" spans="1:49">
      <c r="A54" s="768"/>
      <c r="B54" s="537"/>
      <c r="C54" s="769"/>
      <c r="D54" s="770"/>
      <c r="E54" s="771"/>
      <c r="F54" s="772">
        <f t="shared" si="33"/>
        <v>0</v>
      </c>
      <c r="G54" s="804"/>
      <c r="H54" s="773"/>
      <c r="I54" s="770"/>
      <c r="J54" s="797"/>
      <c r="K54" s="831">
        <f t="shared" si="34"/>
        <v>0</v>
      </c>
      <c r="L54" s="804"/>
      <c r="M54" s="773"/>
      <c r="N54" s="843"/>
      <c r="O54" s="797"/>
      <c r="P54" s="835">
        <f t="shared" si="35"/>
        <v>0</v>
      </c>
      <c r="Q54" s="804"/>
      <c r="R54" s="773"/>
      <c r="S54" s="770"/>
      <c r="T54" s="797"/>
      <c r="U54" s="869">
        <f t="shared" si="36"/>
        <v>0</v>
      </c>
      <c r="V54" s="804"/>
      <c r="W54" s="773"/>
      <c r="X54" s="870"/>
      <c r="Y54" s="896"/>
      <c r="Z54" s="897"/>
      <c r="AA54" s="897"/>
      <c r="AB54" s="898"/>
      <c r="AC54" s="770"/>
      <c r="AD54" s="797"/>
      <c r="AE54" s="900">
        <f t="shared" si="37"/>
        <v>0</v>
      </c>
      <c r="AF54" s="804"/>
      <c r="AG54" s="773"/>
      <c r="AH54" s="770"/>
      <c r="AI54" s="797"/>
      <c r="AJ54" s="924">
        <f t="shared" si="38"/>
        <v>0</v>
      </c>
      <c r="AK54" s="804"/>
      <c r="AL54" s="773"/>
      <c r="AM54" s="928"/>
      <c r="AN54" s="928"/>
      <c r="AO54" s="928"/>
      <c r="AP54" s="928"/>
      <c r="AQ54" s="928"/>
      <c r="AR54" s="944"/>
      <c r="AS54" s="944"/>
      <c r="AT54" s="944"/>
      <c r="AU54" s="944"/>
      <c r="AV54" s="943">
        <f t="shared" si="39"/>
        <v>0</v>
      </c>
      <c r="AW54" s="943">
        <f t="shared" si="40"/>
        <v>0</v>
      </c>
    </row>
    <row r="55" ht="15.75"/>
    <row r="56" ht="15.75"/>
    <row r="57" ht="30" customHeight="1" spans="1:15">
      <c r="A57" s="667" t="s">
        <v>212</v>
      </c>
      <c r="B57" s="668"/>
      <c r="C57" s="669"/>
      <c r="D57" s="670" t="s">
        <v>213</v>
      </c>
      <c r="E57" s="671"/>
      <c r="F57" s="672" t="s">
        <v>214</v>
      </c>
      <c r="G57" s="677"/>
      <c r="H57" s="810" t="s">
        <v>215</v>
      </c>
      <c r="I57" s="844"/>
      <c r="J57" s="670" t="s">
        <v>216</v>
      </c>
      <c r="K57" s="845"/>
      <c r="L57" s="846" t="s">
        <v>217</v>
      </c>
      <c r="M57" s="847"/>
      <c r="N57" s="848" t="s">
        <v>218</v>
      </c>
      <c r="O57" s="677"/>
    </row>
    <row r="58" spans="1:15">
      <c r="A58" s="811" t="s">
        <v>164</v>
      </c>
      <c r="B58" s="682" t="s">
        <v>172</v>
      </c>
      <c r="C58" s="683" t="s">
        <v>170</v>
      </c>
      <c r="D58" s="681" t="s">
        <v>172</v>
      </c>
      <c r="E58" s="683" t="s">
        <v>170</v>
      </c>
      <c r="F58" s="681" t="s">
        <v>172</v>
      </c>
      <c r="G58" s="683" t="s">
        <v>170</v>
      </c>
      <c r="H58" s="810" t="s">
        <v>172</v>
      </c>
      <c r="I58" s="844" t="s">
        <v>170</v>
      </c>
      <c r="J58" s="681" t="s">
        <v>172</v>
      </c>
      <c r="K58" s="684" t="s">
        <v>170</v>
      </c>
      <c r="L58" s="681" t="s">
        <v>172</v>
      </c>
      <c r="M58" s="683" t="s">
        <v>170</v>
      </c>
      <c r="N58" s="708" t="s">
        <v>169</v>
      </c>
      <c r="O58" s="683" t="s">
        <v>219</v>
      </c>
    </row>
    <row r="59" spans="1:15">
      <c r="A59" s="812" t="s">
        <v>28</v>
      </c>
      <c r="B59" s="685">
        <f>SUMIF($B$3:$B$54,"*Amandeep*",$G$3:$G$54)</f>
        <v>0</v>
      </c>
      <c r="C59" s="686">
        <f>SUMIF(B3:B54,"*Amandeep*",H3:H54)</f>
        <v>0</v>
      </c>
      <c r="D59" s="687">
        <f>SUMIF(B3:B54,"*Amandeep*",Q3:Q54)</f>
        <v>0</v>
      </c>
      <c r="E59" s="686">
        <f>SUMIF(B3:B54,"*Amandeep*",R3:R54)</f>
        <v>0</v>
      </c>
      <c r="F59" s="687">
        <f>SUMIF(B3:B54,"*Amandeep*",V3:V54)</f>
        <v>0</v>
      </c>
      <c r="G59" s="686">
        <f>SUMIF(B3:B54,"*Amandeep*",W3:W54)</f>
        <v>0</v>
      </c>
      <c r="H59" s="813"/>
      <c r="I59" s="849"/>
      <c r="J59" s="687">
        <f>SUMIF(B3:B54,"*Amandeep*",AF3:AF54)</f>
        <v>0</v>
      </c>
      <c r="K59" s="688">
        <f>SUMIF(B3:B54,"*Amandeep*",AG3:AG54)</f>
        <v>0</v>
      </c>
      <c r="L59" s="687">
        <f>SUMIF(B3:B54,"*Amandeep*",AK3:AK54)</f>
        <v>0</v>
      </c>
      <c r="M59" s="686">
        <f>SUMIF(B3:B54,"*Amandeep*",AL3:AL54)</f>
        <v>0</v>
      </c>
      <c r="N59" s="689">
        <f>SUM(B59,D59,F59,J59,L59)</f>
        <v>0</v>
      </c>
      <c r="O59" s="686">
        <f>SUM(C59,E59,G59,K59,M59)</f>
        <v>0</v>
      </c>
    </row>
    <row r="60" spans="1:15">
      <c r="A60" s="812" t="s">
        <v>29</v>
      </c>
      <c r="B60" s="685">
        <f>SUMIF($B$3:$B$54,"*Ankur*",$G$3:$G$54)</f>
        <v>0</v>
      </c>
      <c r="C60" s="686">
        <f>SUMIF(B3:B54,"*Ankur*",H3:H54)</f>
        <v>0</v>
      </c>
      <c r="D60" s="687">
        <f>SUMIF(B3:B54,"*Ankur*",Q3:Q54)</f>
        <v>0</v>
      </c>
      <c r="E60" s="686">
        <f>SUMIF(B3:B54,"*Ankur*",R3:R54)</f>
        <v>0</v>
      </c>
      <c r="F60" s="687">
        <f>SUMIF(B3:B54,"*Ankur*",V3:V54)</f>
        <v>0</v>
      </c>
      <c r="G60" s="686">
        <f>SUMIF(B3:B54,"*Ankur*",W3:W54)</f>
        <v>0</v>
      </c>
      <c r="H60" s="813"/>
      <c r="I60" s="849"/>
      <c r="J60" s="687">
        <f>SUMIF(B3:B54,"*Ankur*",AF3:AF54)</f>
        <v>0</v>
      </c>
      <c r="K60" s="688">
        <f>SUMIF(B3:B54,"*Ankur*",AG3:AG54)</f>
        <v>0</v>
      </c>
      <c r="L60" s="687">
        <f>SUMIF(B3:B54,"*Ankur*",AK3:AK54)</f>
        <v>0</v>
      </c>
      <c r="M60" s="686">
        <f>SUMIF(B3:B54,"*Ankur*",AL3:AL54)</f>
        <v>0</v>
      </c>
      <c r="N60" s="689">
        <f t="shared" ref="N60:N72" si="41">SUM(B60,D60,F60,J60,L60)</f>
        <v>0</v>
      </c>
      <c r="O60" s="686">
        <f t="shared" ref="O60:O72" si="42">SUM(C60,E60,G60,K60,M60)</f>
        <v>0</v>
      </c>
    </row>
    <row r="61" spans="1:15">
      <c r="A61" s="812" t="s">
        <v>23</v>
      </c>
      <c r="B61" s="685">
        <f>SUMIF($B$3:$B$54,"*Ashwin*",$G$3:$G$54)</f>
        <v>0</v>
      </c>
      <c r="C61" s="686">
        <f>SUMIF(B3:B54,"*Ashwin*",H3:H54)</f>
        <v>0</v>
      </c>
      <c r="D61" s="687">
        <f>SUMIF(B3:B54,"*Ashwin*",Q3:Q54)</f>
        <v>0</v>
      </c>
      <c r="E61" s="686">
        <f>SUMIF(B3:B54,"*Ashwin*",R3:R54)</f>
        <v>0</v>
      </c>
      <c r="F61" s="687">
        <f>SUMIF(B3:B54,"*Ashwin*",V3:V54)</f>
        <v>0</v>
      </c>
      <c r="G61" s="686">
        <f>SUMIF(B3:B54,"*Ashwin*",W3:W54)</f>
        <v>0</v>
      </c>
      <c r="H61" s="813"/>
      <c r="I61" s="849"/>
      <c r="J61" s="687">
        <f>SUMIF(B3:B54,"*Ashwin*",AF3:AF54)</f>
        <v>0</v>
      </c>
      <c r="K61" s="688">
        <f ca="1">SUMIF(B3:B535,"*Ashwin*",AG3:AG54)</f>
        <v>0</v>
      </c>
      <c r="L61" s="687">
        <f>SUMIF(B3:B54,"*Ashwin*",AK3:AK54)</f>
        <v>0</v>
      </c>
      <c r="M61" s="686">
        <f>SUMIF(B3:B54,"*Ashwin*",AL3:AL54)</f>
        <v>0</v>
      </c>
      <c r="N61" s="689">
        <f t="shared" si="41"/>
        <v>0</v>
      </c>
      <c r="O61" s="686">
        <f ca="1" t="shared" si="42"/>
        <v>0</v>
      </c>
    </row>
    <row r="62" spans="1:15">
      <c r="A62" s="812" t="s">
        <v>27</v>
      </c>
      <c r="B62" s="685">
        <f>SUMIF($B$3:$B$54,"*Avish*",$G$3:$G$54)</f>
        <v>0</v>
      </c>
      <c r="C62" s="686">
        <f>SUMIF(B3:B54,"*Avish*",H3:H54)</f>
        <v>6</v>
      </c>
      <c r="D62" s="687">
        <f>SUMIF(B3:B54,"*Avish*",Q3:Q54)</f>
        <v>0</v>
      </c>
      <c r="E62" s="686">
        <f>SUMIF(B3:B54,"*Avish*",R3:R54)</f>
        <v>0</v>
      </c>
      <c r="F62" s="687">
        <f>SUMIF(B3:B54,"*Avish*",V3:V54)</f>
        <v>0</v>
      </c>
      <c r="G62" s="686">
        <f>SUMIF(B3:B54,"*Avish*",W3:W54)</f>
        <v>1</v>
      </c>
      <c r="H62" s="813"/>
      <c r="I62" s="849"/>
      <c r="J62" s="687">
        <f>SUMIF(B3:B54,"*Avish*",AF3:AF54)</f>
        <v>0</v>
      </c>
      <c r="K62" s="688">
        <f>SUMIF(B3:B54,"*Avish*",AG3:AG54)</f>
        <v>0</v>
      </c>
      <c r="L62" s="687">
        <f>SUMIF(B3:B54,"*Avish*",AK3:AK54)</f>
        <v>0</v>
      </c>
      <c r="M62" s="686">
        <f>SUMIF(B3:B54,"*Avish*",AL3:AL54)</f>
        <v>0</v>
      </c>
      <c r="N62" s="689">
        <f t="shared" si="41"/>
        <v>0</v>
      </c>
      <c r="O62" s="686">
        <f t="shared" si="42"/>
        <v>7</v>
      </c>
    </row>
    <row r="63" spans="1:15">
      <c r="A63" s="812" t="s">
        <v>30</v>
      </c>
      <c r="B63" s="685">
        <f>SUMIF($B$3:$B$54,"*Jay*",$G$3:$G$54)</f>
        <v>0</v>
      </c>
      <c r="C63" s="686">
        <f>SUMIF(B3:B54,"*Jay*",H3:H54)</f>
        <v>0</v>
      </c>
      <c r="D63" s="687">
        <f>SUMIF(B3:B54,"*Jay*",Q3:Q54)</f>
        <v>0</v>
      </c>
      <c r="E63" s="686">
        <f>SUMIF(B3:B54,"*Jay*",R3:R54)</f>
        <v>0</v>
      </c>
      <c r="F63" s="687">
        <f>SUMIF(B3:B54,"*Jay*",V3:V54)</f>
        <v>0</v>
      </c>
      <c r="G63" s="686">
        <f>SUMIF(B3:B54,"*Jay*",W3:W54)</f>
        <v>0</v>
      </c>
      <c r="H63" s="813"/>
      <c r="I63" s="849"/>
      <c r="J63" s="687">
        <f>SUMIF(B3:B54,"*Jay*",AF3:AF54)</f>
        <v>0</v>
      </c>
      <c r="K63" s="688">
        <f>SUMIF(B3:B54,"*Jay*",AG3:AG54)</f>
        <v>0</v>
      </c>
      <c r="L63" s="687">
        <f>SUMIF(B3:B54,"*Jay*",AK3:AK54)</f>
        <v>0</v>
      </c>
      <c r="M63" s="686">
        <f>SUMIF(B3:B54,"*Jay*",AL3:AL54)</f>
        <v>0</v>
      </c>
      <c r="N63" s="689">
        <f t="shared" si="41"/>
        <v>0</v>
      </c>
      <c r="O63" s="686">
        <f t="shared" si="42"/>
        <v>0</v>
      </c>
    </row>
    <row r="64" spans="1:15">
      <c r="A64" s="812" t="s">
        <v>24</v>
      </c>
      <c r="B64" s="685">
        <f>SUMIF($B$3:$B$54,"*Venster*",$G$3:$G$54)</f>
        <v>0</v>
      </c>
      <c r="C64" s="686">
        <f>SUMIF(B3:B54,"*Venster*",H3:H54)</f>
        <v>0</v>
      </c>
      <c r="D64" s="685">
        <f>SUMIF(B3:B54,"*Venster*",Q3:Q54)</f>
        <v>0</v>
      </c>
      <c r="E64" s="686">
        <f>SUMIF(B3:B54,"*Venster*",R3:R54)</f>
        <v>0</v>
      </c>
      <c r="F64" s="687">
        <f>SUMIF(B3:B54,"*Venster*",V3:V54)</f>
        <v>0</v>
      </c>
      <c r="G64" s="686">
        <f>SUMIF(B3:B54,"*Venster*",W3:W54)</f>
        <v>0</v>
      </c>
      <c r="H64" s="813"/>
      <c r="I64" s="849"/>
      <c r="J64" s="687">
        <f>SUMIF(B3:B54,"*venster*",AF3:AF54)</f>
        <v>0</v>
      </c>
      <c r="K64" s="688">
        <f>SUMIF(B3:B54,"*Venster*",AG3:AG54)</f>
        <v>0</v>
      </c>
      <c r="L64" s="687">
        <f>SUMIF(B3:B54,"*Venster*",AK3:AK54)</f>
        <v>0</v>
      </c>
      <c r="M64" s="686">
        <f>SUMIF(B3:B54,"*Venster*",AL3:AL54)</f>
        <v>0</v>
      </c>
      <c r="N64" s="689">
        <f t="shared" si="41"/>
        <v>0</v>
      </c>
      <c r="O64" s="686">
        <f t="shared" si="42"/>
        <v>0</v>
      </c>
    </row>
    <row r="65" spans="1:15">
      <c r="A65" s="812" t="s">
        <v>25</v>
      </c>
      <c r="B65" s="685">
        <f>SUMIF($B$3:$B$54,"*Naveen*",$G$3:$G$54)</f>
        <v>0</v>
      </c>
      <c r="C65" s="686">
        <f>SUMIF(B3:B54,"*Naveen*",H3:H54)</f>
        <v>12</v>
      </c>
      <c r="D65" s="687">
        <f>SUMIF(B3:B54,"*Naveen*",Q3:Q54)</f>
        <v>0</v>
      </c>
      <c r="E65" s="686">
        <f>SUMIF(B3:B54,"*Naveen*",R3:R54)</f>
        <v>0</v>
      </c>
      <c r="F65" s="687">
        <f>SUMIF(B3:B54,"*Naveen*",V3:V54)</f>
        <v>0</v>
      </c>
      <c r="G65" s="686">
        <f>SUMIF(B3:B54,"*Naveen*",W3:W54)</f>
        <v>0</v>
      </c>
      <c r="H65" s="813"/>
      <c r="I65" s="849"/>
      <c r="J65" s="687">
        <f>SUMIF(B3:B54,"*Naveen*",AF3:AF54)</f>
        <v>0</v>
      </c>
      <c r="K65" s="688">
        <f>SUMIF(B3:B54,"*Naveen*",AG3:AG54)</f>
        <v>0</v>
      </c>
      <c r="L65" s="687">
        <f>SUMIF(B3:B54,"*Naveen*",AK3:AK54)</f>
        <v>0</v>
      </c>
      <c r="M65" s="686">
        <f>SUMIF(B3:B54,"*Naveen*",AL3:AL54)</f>
        <v>0</v>
      </c>
      <c r="N65" s="689">
        <f t="shared" si="41"/>
        <v>0</v>
      </c>
      <c r="O65" s="686">
        <f t="shared" si="42"/>
        <v>12</v>
      </c>
    </row>
    <row r="66" spans="1:15">
      <c r="A66" s="812" t="s">
        <v>26</v>
      </c>
      <c r="B66" s="685">
        <f>SUMIF($B$3:$B$54,"*Maqsood*",$G$3:$G$54)</f>
        <v>0</v>
      </c>
      <c r="C66" s="686">
        <f>SUMIF(B3:B54,"*Maqsood*",H3:H54)</f>
        <v>0</v>
      </c>
      <c r="D66" s="687">
        <f>SUMIF(B3:B54,"*Maqsood*",Q3:Q54)</f>
        <v>0</v>
      </c>
      <c r="E66" s="686">
        <f>SUMIF(B3:B54,"*Maqsood*",R3:R54)</f>
        <v>0</v>
      </c>
      <c r="F66" s="687">
        <f>SUMIF(B3:B54,"*Maqsood*",V3:V54)</f>
        <v>0</v>
      </c>
      <c r="G66" s="686">
        <f>SUMIF(B3:B54,"*Maqsood*",W3:W54)</f>
        <v>0</v>
      </c>
      <c r="H66" s="813"/>
      <c r="I66" s="849"/>
      <c r="J66" s="687">
        <f>SUMIF(B3:B54,"*Maqsood*",AF3:AF54)</f>
        <v>0</v>
      </c>
      <c r="K66" s="688">
        <f>SUMIF(B3:B54,"*Maqsood*",AG3:AG54)</f>
        <v>0</v>
      </c>
      <c r="L66" s="687">
        <f>SUMIF(B3:B54,"*Maqsood*",AK3:AK54)</f>
        <v>0</v>
      </c>
      <c r="M66" s="686">
        <f>SUMIF(B3:B54,"*Maqsood*",AL3:AL54)</f>
        <v>0</v>
      </c>
      <c r="N66" s="689">
        <f t="shared" si="41"/>
        <v>0</v>
      </c>
      <c r="O66" s="686">
        <f t="shared" si="42"/>
        <v>0</v>
      </c>
    </row>
    <row r="67" spans="1:15">
      <c r="A67" s="952" t="s">
        <v>220</v>
      </c>
      <c r="B67" s="685">
        <f>SUMIF($B$3:$B$54,"*Manpreet*",$G$3:$G$54)</f>
        <v>0</v>
      </c>
      <c r="C67" s="685">
        <f>SUMIF(B3:B54,"*Manpreet*",H3:H54)</f>
        <v>0</v>
      </c>
      <c r="D67" s="687">
        <f>SUMIF(B3:B54,"*Manpreet*",Q3:Q54)</f>
        <v>0</v>
      </c>
      <c r="E67" s="686">
        <f>SUMIF(B3:B54,"*Manpreet*",R3:R54)</f>
        <v>0</v>
      </c>
      <c r="F67" s="687">
        <f>SUMIF(B3:B54,"*Manpreet*",V3:V54)</f>
        <v>0</v>
      </c>
      <c r="G67" s="686">
        <f>SUMIF(B3:B54,"*Manpreet*",W3:W54)</f>
        <v>0</v>
      </c>
      <c r="H67" s="813"/>
      <c r="I67" s="849"/>
      <c r="J67" s="687">
        <f>SUMIF(B3:B54,"*Manpreet*",AF3:AF54)</f>
        <v>0</v>
      </c>
      <c r="K67" s="688">
        <f>SUMIF(B3:B54,"*Manpreet*",AG3:AG54)</f>
        <v>0</v>
      </c>
      <c r="L67" s="687">
        <f>SUMIF(B3:B54,"*Manpreet*",AK3:AK54)</f>
        <v>0</v>
      </c>
      <c r="M67" s="686">
        <f>SUMIF(B3:B54,"*Manpreet*",AL3:AL54)</f>
        <v>0</v>
      </c>
      <c r="N67" s="689">
        <f t="shared" si="41"/>
        <v>0</v>
      </c>
      <c r="O67" s="686">
        <f t="shared" si="42"/>
        <v>0</v>
      </c>
    </row>
    <row r="68" spans="1:15">
      <c r="A68" s="952" t="s">
        <v>31</v>
      </c>
      <c r="B68" s="685">
        <f>SUMIF($B$3:$B$54,"*Siddharth*",$G$3:$G$54)</f>
        <v>1</v>
      </c>
      <c r="C68" s="685">
        <f>SUMIF(B3:B54,"*Siddharth*",H3:H54)</f>
        <v>5</v>
      </c>
      <c r="D68" s="687">
        <f>SUMIF(B3:B54,"*Siddharth*",Q3:Q54)</f>
        <v>0</v>
      </c>
      <c r="E68" s="686">
        <f>SUMIF(B3:B54,"*Siddharth*",R3:R54)</f>
        <v>0</v>
      </c>
      <c r="F68" s="687">
        <f>SUMIF(B3:B54,"*Siddharth*",V3:V54)</f>
        <v>0</v>
      </c>
      <c r="G68" s="686">
        <f>SUMIF(B3:B54,"*Siddharth*",W3:W54)</f>
        <v>0</v>
      </c>
      <c r="H68" s="813"/>
      <c r="I68" s="849"/>
      <c r="J68" s="687">
        <f>SUMIF(B3:B54,"*Siddharth*",AF3:AF54)</f>
        <v>0</v>
      </c>
      <c r="K68" s="688">
        <f>SUMIF(B3:B54,"*Siddharth*",AG3:AG54)</f>
        <v>0</v>
      </c>
      <c r="L68" s="687">
        <f>SUMIF(B3:B54,"*Siddharth*",AK3:AK54)</f>
        <v>0</v>
      </c>
      <c r="M68" s="686">
        <f>SUMIF(B3:B54,"*Siddharth*",AL3:AL54)</f>
        <v>0</v>
      </c>
      <c r="N68" s="689">
        <f t="shared" ref="N68:O71" si="43">SUM(B68,D68,F68,J68,L68)</f>
        <v>1</v>
      </c>
      <c r="O68" s="686">
        <f t="shared" si="43"/>
        <v>5</v>
      </c>
    </row>
    <row r="69" spans="1:15">
      <c r="A69" s="952" t="s">
        <v>32</v>
      </c>
      <c r="B69" s="685">
        <f>SUMIF($B$3:$B$54,"*Kaustabh*",$G$3:$G$54)</f>
        <v>0</v>
      </c>
      <c r="C69" s="685">
        <f>SUMIF(B3:B54,"*Kaustubh*",H3:H54)</f>
        <v>4</v>
      </c>
      <c r="D69" s="687">
        <f>SUMIF(B3:B54,"*Kaustubh*",Q3:Q54)</f>
        <v>0</v>
      </c>
      <c r="E69" s="686">
        <f>SUMIF(B3:B54,"*Kaustubh*",R3:R54)</f>
        <v>0</v>
      </c>
      <c r="F69" s="687">
        <f>SUMIF(B47:B54,"*Kaustubh*",V47:V54)</f>
        <v>0</v>
      </c>
      <c r="G69" s="686">
        <f>SUMIF(B3:B54,"*Kaustubh*",W3:W54)</f>
        <v>5</v>
      </c>
      <c r="H69" s="813"/>
      <c r="I69" s="849"/>
      <c r="J69" s="687">
        <f>SUMIF(B3:B54,"*Kaustubh*",AF3:AF54)</f>
        <v>0</v>
      </c>
      <c r="K69" s="688">
        <f>SUMIF(B3:B54,"*Kaustubh*",AG3:AG54)</f>
        <v>0</v>
      </c>
      <c r="L69" s="687">
        <f>SUMIF(B3:B54,"*Kaustubh*",AK3:AK54)</f>
        <v>0</v>
      </c>
      <c r="M69" s="686">
        <f>SUMIF(B3:B54,"*Kaustubh*",AL3:AL54)</f>
        <v>4</v>
      </c>
      <c r="N69" s="689">
        <f t="shared" si="43"/>
        <v>0</v>
      </c>
      <c r="O69" s="686">
        <f t="shared" si="43"/>
        <v>13</v>
      </c>
    </row>
    <row r="70" spans="1:15">
      <c r="A70" s="952" t="s">
        <v>33</v>
      </c>
      <c r="B70" s="685">
        <f>SUMIF($B$3:$B$54,"*Lalit*",$G$3:$G$54)</f>
        <v>2</v>
      </c>
      <c r="C70" s="685">
        <f>SUMIF(B3:B54,"*Lalit*",H3:H54)</f>
        <v>3</v>
      </c>
      <c r="D70" s="687">
        <f>SUMIF(B3:B54,"*Lalit*",Q3:Q54)</f>
        <v>3</v>
      </c>
      <c r="E70" s="686">
        <f ca="1">SUMIF(B3:B54,"*Lalit*",R54:R57)</f>
        <v>0</v>
      </c>
      <c r="F70" s="687">
        <f>SUMIF(B3:B54,"*Lalit*",V3:V54)</f>
        <v>1</v>
      </c>
      <c r="G70" s="686">
        <f>SUMIF(B3:B54,"*Lalit*",W3:W54)</f>
        <v>3</v>
      </c>
      <c r="H70" s="813"/>
      <c r="I70" s="849"/>
      <c r="J70" s="687">
        <f>SUMIF(B3:B54,"*Lalit*",AF3:AF54)</f>
        <v>0</v>
      </c>
      <c r="K70" s="688">
        <f>SUMIF(B3:B54,"*Lalit*",AG3:AG54)</f>
        <v>0</v>
      </c>
      <c r="L70" s="687">
        <f>SUMIF(B3:B54,"*Lalit*",AK3:AK54)</f>
        <v>2</v>
      </c>
      <c r="M70" s="686">
        <f>SUMIF(B3:B54,"*Lalit*",AL3:AL54)</f>
        <v>4</v>
      </c>
      <c r="N70" s="689">
        <f t="shared" si="43"/>
        <v>8</v>
      </c>
      <c r="O70" s="686">
        <f ca="1" t="shared" si="43"/>
        <v>10</v>
      </c>
    </row>
    <row r="71" spans="1:15">
      <c r="A71" s="952" t="s">
        <v>34</v>
      </c>
      <c r="B71" s="685">
        <f>SUMIF($B$3:$B$54,"*Rajneesh*",$G$3:$G$54)</f>
        <v>0</v>
      </c>
      <c r="C71" s="685">
        <f>SUMIF(B3:B54,"*Rajneesh*",H3:H54)</f>
        <v>4</v>
      </c>
      <c r="D71" s="687">
        <f>SUMIF(B3:B54,"*Rajneesh*",Q3:Q54)</f>
        <v>0</v>
      </c>
      <c r="E71" s="686">
        <f>SUMIF(B3:B54,"*Rajneesh*",R3:R54)</f>
        <v>5</v>
      </c>
      <c r="F71" s="687">
        <f>SUMIF(B3:B54,"*Rajneesh*",V3:V54)</f>
        <v>0</v>
      </c>
      <c r="G71" s="686">
        <f>SUMIF(B3:B54,"*Rajneesh*",W3:W54)</f>
        <v>0</v>
      </c>
      <c r="H71" s="813"/>
      <c r="I71" s="849"/>
      <c r="J71" s="687">
        <f>SUMIF(B3:B54,"*Rajneesh*",AF3:AF54)</f>
        <v>0</v>
      </c>
      <c r="K71" s="688">
        <f>SUMIF(B3:B54,"*Rajneesh*",AG3:AG54)</f>
        <v>0</v>
      </c>
      <c r="L71" s="687">
        <f>SUMIF(B3:B54,"*Rajneesh*",AK3:AK54)</f>
        <v>0</v>
      </c>
      <c r="M71" s="686">
        <f ca="1">SUMIF(B3:B555,"*Rajneesh*",AL3:AL54)</f>
        <v>0</v>
      </c>
      <c r="N71" s="689">
        <f t="shared" si="43"/>
        <v>0</v>
      </c>
      <c r="O71" s="686">
        <f ca="1" t="shared" si="43"/>
        <v>9</v>
      </c>
    </row>
    <row r="72" ht="15.75" spans="1:15">
      <c r="A72" s="953" t="s">
        <v>221</v>
      </c>
      <c r="B72" s="685">
        <f>SUMIF($B$3:$B$54,"*Others*",$G$3:$G$54)</f>
        <v>0</v>
      </c>
      <c r="C72" s="691">
        <f>SUMIF(B3:B54,"*Other*",H3:H54)</f>
        <v>3</v>
      </c>
      <c r="D72" s="692">
        <f>SUMIF(B3:B54,"*Other*",Q3:Q54)</f>
        <v>0</v>
      </c>
      <c r="E72" s="691">
        <f>SUMIF(B3:B54,"*Other*",R3:R54)</f>
        <v>0</v>
      </c>
      <c r="F72" s="692">
        <f>SUMIF(B3:B54,"*Other*",V3:V54)</f>
        <v>0</v>
      </c>
      <c r="G72" s="691">
        <f>SUMIF(B3:B54,"*Other*",W3:W54)</f>
        <v>0</v>
      </c>
      <c r="H72" s="813"/>
      <c r="I72" s="849"/>
      <c r="J72" s="692">
        <f>SUMIF(B3:B54,"*Other*",AF3:AF54)</f>
        <v>0</v>
      </c>
      <c r="K72" s="693">
        <f>SUMIF(B3:B54,"*Other*",AG3:AG54)</f>
        <v>0</v>
      </c>
      <c r="L72" s="692">
        <f>SUMIF(B3:B54,"*Other*",AK3:AK54)</f>
        <v>0</v>
      </c>
      <c r="M72" s="691">
        <f ca="1">SUMIF(B3:D54,"*Other*",AL3:AL54)</f>
        <v>0</v>
      </c>
      <c r="N72" s="689">
        <f t="shared" si="41"/>
        <v>0</v>
      </c>
      <c r="O72" s="686">
        <f ca="1" t="shared" si="42"/>
        <v>3</v>
      </c>
    </row>
    <row r="73" ht="15.75" spans="1:15">
      <c r="A73" s="696"/>
      <c r="B73" s="695"/>
      <c r="C73" s="696"/>
      <c r="K73" s="712"/>
      <c r="L73" s="985"/>
      <c r="M73" s="712" t="s">
        <v>222</v>
      </c>
      <c r="N73" s="713">
        <f>SUM(N59:N72)</f>
        <v>9</v>
      </c>
      <c r="O73" s="986">
        <f ca="1">SUM(O59:O72)</f>
        <v>59</v>
      </c>
    </row>
    <row r="74" ht="15.75" spans="2:2">
      <c r="B74" s="954"/>
    </row>
    <row r="75" ht="15.75" spans="1:3">
      <c r="A75" s="955" t="s">
        <v>223</v>
      </c>
      <c r="B75" s="956"/>
      <c r="C75" s="957"/>
    </row>
    <row r="76" spans="1:3">
      <c r="A76" s="958" t="s">
        <v>164</v>
      </c>
      <c r="B76" s="959" t="s">
        <v>172</v>
      </c>
      <c r="C76" s="960" t="s">
        <v>170</v>
      </c>
    </row>
    <row r="77" spans="1:3">
      <c r="A77" s="812" t="s">
        <v>28</v>
      </c>
      <c r="B77" s="685">
        <f>SUMIF(B3:B54,"*Amandeep*",L3:L54)</f>
        <v>0</v>
      </c>
      <c r="C77" s="686">
        <f>SUMIF(B3:B54,"*Amandeep*",M3:M54)</f>
        <v>0</v>
      </c>
    </row>
    <row r="78" spans="1:3">
      <c r="A78" s="812" t="s">
        <v>29</v>
      </c>
      <c r="B78" s="685">
        <f>SUMIF(B3:B54,"*Ankur*",L3:L54)</f>
        <v>0</v>
      </c>
      <c r="C78" s="686">
        <f>SUMIF(B3:B54,"*Ankur*",M3:M54)</f>
        <v>0</v>
      </c>
    </row>
    <row r="79" spans="1:3">
      <c r="A79" s="812" t="s">
        <v>23</v>
      </c>
      <c r="B79" s="685">
        <f>SUMIF(B4:B55,"*Ashwin*",L3:L54)</f>
        <v>0</v>
      </c>
      <c r="C79" s="686">
        <f>SUMIF(B4:B55,"*Ashwin*",M3:M54)</f>
        <v>0</v>
      </c>
    </row>
    <row r="80" spans="1:3">
      <c r="A80" s="812" t="s">
        <v>27</v>
      </c>
      <c r="B80" s="685">
        <f>SUMIF(B5:B56,"*Avish*",L3:L54)</f>
        <v>0</v>
      </c>
      <c r="C80" s="686">
        <f>SUMIF(B5:B56,"*Ashwin*",M3:M54)</f>
        <v>0</v>
      </c>
    </row>
    <row r="81" spans="1:3">
      <c r="A81" s="812" t="s">
        <v>30</v>
      </c>
      <c r="B81" s="685">
        <f>SUMIF(B3:B54,"*Jay*",L3:L54)</f>
        <v>0</v>
      </c>
      <c r="C81" s="686">
        <f>SUMIF(B4:B55,"*Jay*",M3:M54)</f>
        <v>0</v>
      </c>
    </row>
    <row r="82" spans="1:3">
      <c r="A82" s="812" t="s">
        <v>24</v>
      </c>
      <c r="B82" s="685">
        <f>SUMIF(B3:B54,"*Venster*",L3:L54)</f>
        <v>0</v>
      </c>
      <c r="C82" s="686">
        <f>SUMIF(B3:B54,"*Venster*",M3:M54)</f>
        <v>0</v>
      </c>
    </row>
    <row r="83" spans="1:3">
      <c r="A83" s="812" t="s">
        <v>25</v>
      </c>
      <c r="B83" s="685">
        <f>SUMIF(B3:B54,"*Naveen*",L3:L54)</f>
        <v>0</v>
      </c>
      <c r="C83" s="686">
        <f>SUMIF(B3:B54,"*Naveen*",M3:M54)</f>
        <v>2</v>
      </c>
    </row>
    <row r="84" spans="1:3">
      <c r="A84" s="812" t="s">
        <v>26</v>
      </c>
      <c r="B84" s="685">
        <f>SUMIF(B3:B54,"*Maqsood*",L3:L54)</f>
        <v>0</v>
      </c>
      <c r="C84" s="686">
        <f>SUMIF(B3:B54,"*Maqsood*",M3:M54)</f>
        <v>0</v>
      </c>
    </row>
    <row r="85" spans="1:3">
      <c r="A85" s="812" t="s">
        <v>220</v>
      </c>
      <c r="B85" s="685">
        <f ca="1">SUMIF(B2:B54,"*Manpreet*",L3:L54)</f>
        <v>0</v>
      </c>
      <c r="C85" s="686">
        <f ca="1">SUMIF(B2:B54,"*Manpreet*",M3:M54)</f>
        <v>0</v>
      </c>
    </row>
    <row r="86" spans="1:3">
      <c r="A86" s="812" t="s">
        <v>31</v>
      </c>
      <c r="B86" s="685">
        <f>SUMIF(B3:B54,"*Siddharth*",L3:L54)</f>
        <v>0</v>
      </c>
      <c r="C86" s="686">
        <f>SUMIF(B3:B54,"*Siddharth*",M3:M54)</f>
        <v>7</v>
      </c>
    </row>
    <row r="87" spans="1:3">
      <c r="A87" s="812" t="s">
        <v>32</v>
      </c>
      <c r="B87" s="685">
        <f>SUMIF(B3:B54,"*Kaustubh*",L3:L54)</f>
        <v>0</v>
      </c>
      <c r="C87" s="686">
        <f>SUMIF(B3:B54,"*Kaustubh*",M3:M54)</f>
        <v>6</v>
      </c>
    </row>
    <row r="88" spans="1:3">
      <c r="A88" s="812" t="s">
        <v>33</v>
      </c>
      <c r="B88" s="685">
        <f>SUMIF(B3:B54,"*Lalit*",L3:L54)</f>
        <v>1</v>
      </c>
      <c r="C88" s="686">
        <f>SUMIF(B3:B54,"*Lalit*",M3:M54)</f>
        <v>5</v>
      </c>
    </row>
    <row r="89" spans="1:3">
      <c r="A89" s="812" t="s">
        <v>34</v>
      </c>
      <c r="B89" s="685">
        <f>SUMIF(B3:B54,"*Rajneesh*",L3:L54)</f>
        <v>0</v>
      </c>
      <c r="C89" s="686">
        <f>SUMIF(B6:B57,"*Siddharth*",M6:M57)</f>
        <v>7</v>
      </c>
    </row>
    <row r="90" ht="15.75" spans="1:3">
      <c r="A90" s="953" t="s">
        <v>221</v>
      </c>
      <c r="B90" s="690">
        <f>SUMIF(B3:B54,"*Other*",L3:L54)</f>
        <v>0</v>
      </c>
      <c r="C90" s="691">
        <f>SUMIF(B3:B54,"*Other*",M3:M54)</f>
        <v>5</v>
      </c>
    </row>
    <row r="95" spans="1:8">
      <c r="A95" s="961" t="s">
        <v>214</v>
      </c>
      <c r="B95" s="962"/>
      <c r="C95" s="962"/>
      <c r="D95" s="962"/>
      <c r="E95" s="962"/>
      <c r="F95" s="962"/>
      <c r="G95" s="962"/>
      <c r="H95" s="963"/>
    </row>
    <row r="96" ht="30" spans="1:8">
      <c r="A96" s="964"/>
      <c r="B96" s="965" t="s">
        <v>168</v>
      </c>
      <c r="C96" s="966" t="s">
        <v>224</v>
      </c>
      <c r="D96" s="966" t="s">
        <v>225</v>
      </c>
      <c r="E96" s="967" t="s">
        <v>226</v>
      </c>
      <c r="F96" s="968" t="s">
        <v>227</v>
      </c>
      <c r="G96" s="969" t="s">
        <v>228</v>
      </c>
      <c r="H96" s="970" t="s">
        <v>229</v>
      </c>
    </row>
    <row r="97" spans="1:8">
      <c r="A97" s="971" t="str">
        <f>' IA-SI DRY'!B4</f>
        <v>Cielo di Valparaiso</v>
      </c>
      <c r="B97" s="972">
        <f>SUM(U3:U6)</f>
        <v>0</v>
      </c>
      <c r="C97" s="972">
        <f>SUM(V3:V6)</f>
        <v>0</v>
      </c>
      <c r="D97" s="972">
        <f>SUM(W3:W6)</f>
        <v>0</v>
      </c>
      <c r="E97" s="973">
        <f>COUNTIF(S3:S6,"*")</f>
        <v>0</v>
      </c>
      <c r="F97" s="974" t="e">
        <f>B97/E97</f>
        <v>#DIV/0!</v>
      </c>
      <c r="G97" s="975" t="e">
        <f>C97/E97</f>
        <v>#DIV/0!</v>
      </c>
      <c r="H97" s="976" t="e">
        <f>D97/E97</f>
        <v>#DIV/0!</v>
      </c>
    </row>
    <row r="98" spans="1:8">
      <c r="A98" s="977" t="str">
        <f>' IA-SI DRY'!B5</f>
        <v>Cielo Dei Maronti</v>
      </c>
      <c r="B98" s="706">
        <f>SUM(U7:U10)</f>
        <v>0</v>
      </c>
      <c r="C98" s="706">
        <f>SUM(V7:V10)</f>
        <v>0</v>
      </c>
      <c r="D98" s="706">
        <f>SUM(W7:W10)</f>
        <v>0</v>
      </c>
      <c r="E98" s="978">
        <f>COUNTIF(S7:S10,"*")</f>
        <v>0</v>
      </c>
      <c r="F98" s="979" t="e">
        <f t="shared" ref="F98:F102" si="44">B98/E98</f>
        <v>#DIV/0!</v>
      </c>
      <c r="G98" s="706" t="e">
        <f t="shared" ref="G98:G102" si="45">C98/E98</f>
        <v>#DIV/0!</v>
      </c>
      <c r="H98" s="980" t="e">
        <f t="shared" ref="H98:H102" si="46">D98/E98</f>
        <v>#DIV/0!</v>
      </c>
    </row>
    <row r="99" spans="1:8">
      <c r="A99" s="977" t="str">
        <f>' IA-SI DRY'!B6</f>
        <v>Medi Adriatico</v>
      </c>
      <c r="B99" s="706">
        <f>SUM(U11:U14)</f>
        <v>0</v>
      </c>
      <c r="C99" s="706">
        <f>SUM(V11:V14)</f>
        <v>0</v>
      </c>
      <c r="D99" s="706">
        <f>SUM(W11:W14)</f>
        <v>0</v>
      </c>
      <c r="E99" s="978">
        <f>COUNTIF(S11:S14,"*")</f>
        <v>0</v>
      </c>
      <c r="F99" s="979" t="e">
        <f t="shared" si="44"/>
        <v>#DIV/0!</v>
      </c>
      <c r="G99" s="706" t="e">
        <f t="shared" si="45"/>
        <v>#DIV/0!</v>
      </c>
      <c r="H99" s="980" t="e">
        <f t="shared" si="46"/>
        <v>#DIV/0!</v>
      </c>
    </row>
    <row r="100" spans="1:8">
      <c r="A100" s="977" t="str">
        <f>' IA-SI DRY'!B7</f>
        <v>Medi Atlantico</v>
      </c>
      <c r="B100" s="706">
        <f>SUM(U15:U18)</f>
        <v>0</v>
      </c>
      <c r="C100" s="706">
        <f>SUM(V15:V18)</f>
        <v>0</v>
      </c>
      <c r="D100" s="706">
        <f>SUM(W15:W18)</f>
        <v>0</v>
      </c>
      <c r="E100" s="978">
        <f>COUNTIF(S15:S18,"*")</f>
        <v>0</v>
      </c>
      <c r="F100" s="979" t="e">
        <f t="shared" si="44"/>
        <v>#DIV/0!</v>
      </c>
      <c r="G100" s="706" t="e">
        <f t="shared" si="45"/>
        <v>#DIV/0!</v>
      </c>
      <c r="H100" s="980" t="e">
        <f t="shared" si="46"/>
        <v>#DIV/0!</v>
      </c>
    </row>
    <row r="101" spans="1:8">
      <c r="A101" s="977" t="s">
        <v>123</v>
      </c>
      <c r="B101" s="706">
        <f>SUM(U19:U22)</f>
        <v>0</v>
      </c>
      <c r="C101" s="978">
        <f>SUM(V19:V22)</f>
        <v>0</v>
      </c>
      <c r="D101" s="706">
        <f>SUM(W19:W22)</f>
        <v>0</v>
      </c>
      <c r="E101" s="978">
        <f>COUNTIF(S19:S22,"*")</f>
        <v>0</v>
      </c>
      <c r="F101" s="979" t="e">
        <f t="shared" si="44"/>
        <v>#DIV/0!</v>
      </c>
      <c r="G101" s="706" t="e">
        <f t="shared" si="45"/>
        <v>#DIV/0!</v>
      </c>
      <c r="H101" s="980" t="e">
        <f t="shared" si="46"/>
        <v>#DIV/0!</v>
      </c>
    </row>
    <row r="102" spans="1:8">
      <c r="A102" s="977" t="str">
        <f>' IA-SI DRY'!B8</f>
        <v>Medi Egadi</v>
      </c>
      <c r="B102" s="706">
        <f>SUM(U23:U26)</f>
        <v>1</v>
      </c>
      <c r="C102" s="706">
        <f>SUM(V23:V26)</f>
        <v>0</v>
      </c>
      <c r="D102" s="706">
        <f>SUM(W23:W26)</f>
        <v>1</v>
      </c>
      <c r="E102" s="978">
        <f>COUNTIF(S23:S26,"*")</f>
        <v>1</v>
      </c>
      <c r="F102" s="979">
        <f t="shared" si="44"/>
        <v>1</v>
      </c>
      <c r="G102" s="706">
        <f t="shared" si="45"/>
        <v>0</v>
      </c>
      <c r="H102" s="980">
        <f t="shared" si="46"/>
        <v>1</v>
      </c>
    </row>
    <row r="103" spans="1:8">
      <c r="A103" s="977" t="str">
        <f>' IA-SI DRY'!B9</f>
        <v>Medi Egeo</v>
      </c>
      <c r="B103" s="706">
        <f>SUM(U27:U30)</f>
        <v>0</v>
      </c>
      <c r="C103" s="706">
        <f>SUM(V27:V30)</f>
        <v>0</v>
      </c>
      <c r="D103" s="706">
        <f>SUM(W27:W30)</f>
        <v>0</v>
      </c>
      <c r="E103" s="978">
        <f>COUNTIF(S27:S30,"*")</f>
        <v>0</v>
      </c>
      <c r="F103" s="979" t="e">
        <f t="shared" ref="F103:F104" si="47">B103/E103</f>
        <v>#DIV/0!</v>
      </c>
      <c r="G103" s="706" t="e">
        <f t="shared" ref="G103:G104" si="48">C103/E103</f>
        <v>#DIV/0!</v>
      </c>
      <c r="H103" s="980" t="e">
        <f t="shared" ref="H103:H104" si="49">D103/E103</f>
        <v>#DIV/0!</v>
      </c>
    </row>
    <row r="104" spans="1:8">
      <c r="A104" s="977" t="str">
        <f>' IA-SI DRY'!B10</f>
        <v>Medi Matsuura</v>
      </c>
      <c r="B104" s="706">
        <f>SUM(U31:U34)</f>
        <v>0</v>
      </c>
      <c r="C104" s="706">
        <f>SUM(V31:V34)</f>
        <v>0</v>
      </c>
      <c r="D104" s="706">
        <f>SUM(W31:W34)</f>
        <v>0</v>
      </c>
      <c r="E104" s="706">
        <f>SUM(X31:X34)</f>
        <v>0</v>
      </c>
      <c r="F104" s="979" t="e">
        <f t="shared" si="47"/>
        <v>#DIV/0!</v>
      </c>
      <c r="G104" s="706" t="e">
        <f t="shared" si="48"/>
        <v>#DIV/0!</v>
      </c>
      <c r="H104" s="980" t="e">
        <f t="shared" si="49"/>
        <v>#DIV/0!</v>
      </c>
    </row>
    <row r="105" spans="1:8">
      <c r="A105" s="977" t="str">
        <f>' IA-SI DRY'!B11</f>
        <v>Medi Palmarola</v>
      </c>
      <c r="B105" s="706">
        <f>SUM(U35:U38)</f>
        <v>4</v>
      </c>
      <c r="C105" s="978">
        <f>SUM(V35:V38)</f>
        <v>1</v>
      </c>
      <c r="D105" s="706">
        <f>SUM(W35:W38)</f>
        <v>3</v>
      </c>
      <c r="E105" s="978">
        <f>COUNTIF(S35:S38,"*")</f>
        <v>1</v>
      </c>
      <c r="F105" s="979">
        <f t="shared" ref="F105" si="50">B105/E105</f>
        <v>4</v>
      </c>
      <c r="G105" s="706">
        <f t="shared" ref="G105" si="51">C105/E105</f>
        <v>1</v>
      </c>
      <c r="H105" s="980">
        <f t="shared" ref="H105" si="52">D105/E105</f>
        <v>3</v>
      </c>
    </row>
    <row r="106" spans="1:8">
      <c r="A106" s="977" t="str">
        <f>' IA-SI DRY'!B12</f>
        <v>Medi Sydney</v>
      </c>
      <c r="B106" s="706">
        <f>SUM(U39:U42)</f>
        <v>0</v>
      </c>
      <c r="C106" s="706">
        <f t="shared" ref="C106:E106" si="53">SUM(V39:V42)</f>
        <v>0</v>
      </c>
      <c r="D106" s="706">
        <f t="shared" si="53"/>
        <v>0</v>
      </c>
      <c r="E106" s="706">
        <f t="shared" si="53"/>
        <v>0</v>
      </c>
      <c r="F106" s="979" t="e">
        <f t="shared" ref="F106" si="54">B106/E106</f>
        <v>#DIV/0!</v>
      </c>
      <c r="G106" s="706" t="e">
        <f t="shared" ref="G106" si="55">C106/E106</f>
        <v>#DIV/0!</v>
      </c>
      <c r="H106" s="980" t="e">
        <f t="shared" ref="H106" si="56">D106/E106</f>
        <v>#DIV/0!</v>
      </c>
    </row>
    <row r="107" spans="1:8">
      <c r="A107" s="977" t="str">
        <f>' IA-SI DRY'!B13</f>
        <v>Medi Tirreno</v>
      </c>
      <c r="B107" s="706">
        <f>SUM(U43:U46)</f>
        <v>0</v>
      </c>
      <c r="C107" s="706">
        <f>SUM(V43:V46)</f>
        <v>0</v>
      </c>
      <c r="D107" s="706">
        <f>SUM(W43:W46)</f>
        <v>0</v>
      </c>
      <c r="E107" s="978">
        <f>COUNTIF(S43:S46,"*")</f>
        <v>0</v>
      </c>
      <c r="F107" s="979" t="e">
        <f t="shared" ref="F107" si="57">B107/E107</f>
        <v>#DIV/0!</v>
      </c>
      <c r="G107" s="706" t="e">
        <f t="shared" ref="G107" si="58">C107/E107</f>
        <v>#DIV/0!</v>
      </c>
      <c r="H107" s="980" t="e">
        <f t="shared" ref="H107" si="59">D107/E107</f>
        <v>#DIV/0!</v>
      </c>
    </row>
    <row r="108" spans="1:8">
      <c r="A108" s="977" t="str">
        <f>' IA-SI DRY'!B14</f>
        <v>Medi Zuoz</v>
      </c>
      <c r="B108" s="706">
        <f>SUM(U47:U50)</f>
        <v>5</v>
      </c>
      <c r="C108" s="706">
        <f>SUM(V47:V50)</f>
        <v>0</v>
      </c>
      <c r="D108" s="706">
        <f>SUM(W47:W50)</f>
        <v>5</v>
      </c>
      <c r="E108" s="978">
        <f>COUNTIF(S47:S50,"*")</f>
        <v>1</v>
      </c>
      <c r="F108" s="979">
        <f t="shared" ref="F108:F109" si="60">B108/E108</f>
        <v>5</v>
      </c>
      <c r="G108" s="706">
        <f t="shared" ref="G108" si="61">C108/E108</f>
        <v>0</v>
      </c>
      <c r="H108" s="980">
        <f t="shared" ref="H108" si="62">D108/E108</f>
        <v>5</v>
      </c>
    </row>
    <row r="109" spans="1:6">
      <c r="A109" s="504"/>
      <c r="B109" s="504">
        <f>SUM(B97:B108)</f>
        <v>10</v>
      </c>
      <c r="C109" s="504"/>
      <c r="D109" s="504"/>
      <c r="E109" s="981">
        <f>SUM(E97:E108)</f>
        <v>3</v>
      </c>
      <c r="F109" s="982">
        <f t="shared" si="60"/>
        <v>3.33333333333333</v>
      </c>
    </row>
    <row r="110" spans="1:4">
      <c r="A110" s="504"/>
      <c r="B110" s="504"/>
      <c r="C110" s="504"/>
      <c r="D110" s="504"/>
    </row>
    <row r="111" spans="1:8">
      <c r="A111" s="698" t="s">
        <v>212</v>
      </c>
      <c r="B111" s="698"/>
      <c r="C111" s="698"/>
      <c r="D111" s="698"/>
      <c r="E111" s="698"/>
      <c r="F111" s="698"/>
      <c r="G111" s="698"/>
      <c r="H111" s="698"/>
    </row>
    <row r="112" ht="30" spans="1:8">
      <c r="A112" s="964"/>
      <c r="B112" s="965" t="s">
        <v>168</v>
      </c>
      <c r="C112" s="965" t="s">
        <v>224</v>
      </c>
      <c r="D112" s="965" t="s">
        <v>225</v>
      </c>
      <c r="E112" s="983" t="s">
        <v>226</v>
      </c>
      <c r="F112" s="965" t="s">
        <v>230</v>
      </c>
      <c r="G112" s="965" t="s">
        <v>231</v>
      </c>
      <c r="H112" s="984" t="s">
        <v>229</v>
      </c>
    </row>
    <row r="113" spans="1:8">
      <c r="A113" s="977" t="str">
        <f>' IA-SI DRY'!B4</f>
        <v>Cielo di Valparaiso</v>
      </c>
      <c r="B113" s="705">
        <f>SUM(F3:F6)</f>
        <v>0</v>
      </c>
      <c r="C113" s="705">
        <f>SUM(G3:G6)</f>
        <v>0</v>
      </c>
      <c r="D113" s="705">
        <f>SUM(H3:H6)</f>
        <v>0</v>
      </c>
      <c r="E113" s="978">
        <f>COUNTIF(D3:D6,"*")</f>
        <v>0</v>
      </c>
      <c r="F113" s="979" t="e">
        <f t="shared" ref="F113:F118" si="63">B113/E113</f>
        <v>#DIV/0!</v>
      </c>
      <c r="G113" s="706" t="e">
        <f>C113/E113</f>
        <v>#DIV/0!</v>
      </c>
      <c r="H113" s="980" t="e">
        <f>D113/E113</f>
        <v>#DIV/0!</v>
      </c>
    </row>
    <row r="114" spans="1:8">
      <c r="A114" s="977" t="str">
        <f>' IA-SI DRY'!B5</f>
        <v>Cielo Dei Maronti</v>
      </c>
      <c r="B114" s="706">
        <f>SUM(F7:F10)</f>
        <v>4</v>
      </c>
      <c r="C114" s="706">
        <f>SUM(G7:G10)</f>
        <v>0</v>
      </c>
      <c r="D114" s="706">
        <f>SUM(H7:H10)</f>
        <v>4</v>
      </c>
      <c r="E114" s="978">
        <f>COUNTIF(D7:D10,"*")</f>
        <v>1</v>
      </c>
      <c r="F114" s="979">
        <f t="shared" si="63"/>
        <v>4</v>
      </c>
      <c r="G114" s="706">
        <f t="shared" ref="G114:G118" si="64">C114/E114</f>
        <v>0</v>
      </c>
      <c r="H114" s="980">
        <f t="shared" ref="H114:H118" si="65">D114/E114</f>
        <v>4</v>
      </c>
    </row>
    <row r="115" spans="1:8">
      <c r="A115" s="977" t="str">
        <f>' IA-SI DRY'!B6</f>
        <v>Medi Adriatico</v>
      </c>
      <c r="B115" s="706">
        <f>SUM(F11:F14)</f>
        <v>3</v>
      </c>
      <c r="C115" s="706">
        <f>SUM(G11:G14)</f>
        <v>0</v>
      </c>
      <c r="D115" s="706">
        <f>SUM(H11:H14)</f>
        <v>3</v>
      </c>
      <c r="E115" s="978">
        <f>COUNTIF(D11:D14,"*")</f>
        <v>1</v>
      </c>
      <c r="F115" s="979">
        <f t="shared" si="63"/>
        <v>3</v>
      </c>
      <c r="G115" s="706">
        <f t="shared" si="64"/>
        <v>0</v>
      </c>
      <c r="H115" s="980">
        <f t="shared" si="65"/>
        <v>3</v>
      </c>
    </row>
    <row r="116" spans="1:8">
      <c r="A116" s="977" t="str">
        <f>' IA-SI DRY'!B7</f>
        <v>Medi Atlantico</v>
      </c>
      <c r="B116" s="706">
        <f>SUM(F15:F18)</f>
        <v>5</v>
      </c>
      <c r="C116" s="706">
        <f>SUM(G15:G18)</f>
        <v>0</v>
      </c>
      <c r="D116" s="706">
        <f>SUM(H15:H18)</f>
        <v>5</v>
      </c>
      <c r="E116" s="978">
        <f>COUNTIF(D15:D18,"*")</f>
        <v>1</v>
      </c>
      <c r="F116" s="979">
        <f t="shared" si="63"/>
        <v>5</v>
      </c>
      <c r="G116" s="706">
        <f t="shared" si="64"/>
        <v>0</v>
      </c>
      <c r="H116" s="980">
        <f t="shared" si="65"/>
        <v>5</v>
      </c>
    </row>
    <row r="117" spans="1:8">
      <c r="A117" s="977" t="s">
        <v>123</v>
      </c>
      <c r="B117" s="706">
        <f>SUM(F19:F22)</f>
        <v>0</v>
      </c>
      <c r="C117" s="978">
        <f>SUM(G19:G22)</f>
        <v>0</v>
      </c>
      <c r="D117" s="706">
        <f>SUM(H19:H22)</f>
        <v>0</v>
      </c>
      <c r="E117" s="978">
        <f>COUNTIF(D19:D22,"*")</f>
        <v>0</v>
      </c>
      <c r="F117" s="979" t="e">
        <f t="shared" ref="F117" si="66">B117/E117</f>
        <v>#DIV/0!</v>
      </c>
      <c r="G117" s="706" t="e">
        <f t="shared" ref="G117" si="67">C117/E117</f>
        <v>#DIV/0!</v>
      </c>
      <c r="H117" s="980" t="e">
        <f t="shared" ref="H117" si="68">D117/E117</f>
        <v>#DIV/0!</v>
      </c>
    </row>
    <row r="118" spans="1:8">
      <c r="A118" s="977" t="str">
        <f>' IA-SI DRY'!B8</f>
        <v>Medi Egadi</v>
      </c>
      <c r="B118" s="706">
        <f>SUM(F23:F26)</f>
        <v>3</v>
      </c>
      <c r="C118" s="706">
        <f>SUM(G23:G26)</f>
        <v>0</v>
      </c>
      <c r="D118" s="706">
        <f>SUM(H23:H26)</f>
        <v>3</v>
      </c>
      <c r="E118" s="978">
        <f>COUNTIF(D23:D26,"*")</f>
        <v>1</v>
      </c>
      <c r="F118" s="979">
        <f t="shared" si="63"/>
        <v>3</v>
      </c>
      <c r="G118" s="706">
        <f t="shared" si="64"/>
        <v>0</v>
      </c>
      <c r="H118" s="980">
        <f t="shared" si="65"/>
        <v>3</v>
      </c>
    </row>
    <row r="119" spans="1:8">
      <c r="A119" s="977" t="str">
        <f>' IA-SI DRY'!B9</f>
        <v>Medi Egeo</v>
      </c>
      <c r="B119" s="706">
        <f>SUM(F27:F30)</f>
        <v>3</v>
      </c>
      <c r="C119" s="706">
        <f>SUM(G27:G30)</f>
        <v>0</v>
      </c>
      <c r="D119" s="706">
        <f>SUM(H27:H30)</f>
        <v>3</v>
      </c>
      <c r="E119" s="978">
        <f>COUNTIF(D27:D30,"*")</f>
        <v>1</v>
      </c>
      <c r="F119" s="979">
        <f t="shared" ref="F119:F123" si="69">B119/E119</f>
        <v>3</v>
      </c>
      <c r="G119" s="706">
        <f t="shared" ref="G119:G123" si="70">C119/E119</f>
        <v>0</v>
      </c>
      <c r="H119" s="980">
        <f t="shared" ref="H119:H123" si="71">D119/E119</f>
        <v>3</v>
      </c>
    </row>
    <row r="120" spans="1:8">
      <c r="A120" s="977" t="str">
        <f>' IA-SI DRY'!B10</f>
        <v>Medi Matsuura</v>
      </c>
      <c r="B120" s="706">
        <f>SUM(F31:F34)</f>
        <v>4</v>
      </c>
      <c r="C120" s="706">
        <f>SUM(G31:G34)</f>
        <v>0</v>
      </c>
      <c r="D120" s="706">
        <f>SUM(H31:H34)</f>
        <v>4</v>
      </c>
      <c r="E120" s="978">
        <f>COUNTIF(D31:D34,"*")</f>
        <v>1</v>
      </c>
      <c r="F120" s="979">
        <f t="shared" ref="F120" si="72">B120/E120</f>
        <v>4</v>
      </c>
      <c r="G120" s="706">
        <f t="shared" ref="G120" si="73">C120/E120</f>
        <v>0</v>
      </c>
      <c r="H120" s="980">
        <f t="shared" ref="H120" si="74">D120/E120</f>
        <v>4</v>
      </c>
    </row>
    <row r="121" spans="1:8">
      <c r="A121" s="977" t="str">
        <f>' IA-SI DRY'!B11</f>
        <v>Medi Palmarola</v>
      </c>
      <c r="B121" s="706">
        <f>SUM(F35:F38)</f>
        <v>5</v>
      </c>
      <c r="C121" s="706">
        <f>SUM(G35:G38)</f>
        <v>2</v>
      </c>
      <c r="D121" s="706">
        <f>SUM(H35:H38)</f>
        <v>3</v>
      </c>
      <c r="E121" s="978">
        <f>COUNTIF(D35:D38,"*")</f>
        <v>1</v>
      </c>
      <c r="F121" s="979">
        <f t="shared" si="69"/>
        <v>5</v>
      </c>
      <c r="G121" s="706">
        <f t="shared" si="70"/>
        <v>2</v>
      </c>
      <c r="H121" s="980">
        <f t="shared" si="71"/>
        <v>3</v>
      </c>
    </row>
    <row r="122" spans="1:8">
      <c r="A122" s="977" t="str">
        <f>' IA-SI DRY'!B12</f>
        <v>Medi Sydney</v>
      </c>
      <c r="B122" s="706">
        <f>SUM(F39:F42)</f>
        <v>6</v>
      </c>
      <c r="C122" s="706">
        <f>SUM(G39:G42)</f>
        <v>1</v>
      </c>
      <c r="D122" s="706">
        <f>SUM(H39:H42)</f>
        <v>5</v>
      </c>
      <c r="E122" s="978">
        <f>COUNTIF(D39:D42,"*")</f>
        <v>1</v>
      </c>
      <c r="F122" s="979">
        <f t="shared" ref="F122" si="75">B122/E122</f>
        <v>6</v>
      </c>
      <c r="G122" s="706">
        <f t="shared" ref="G122" si="76">C122/E122</f>
        <v>1</v>
      </c>
      <c r="H122" s="980">
        <f t="shared" ref="H122" si="77">D122/E122</f>
        <v>5</v>
      </c>
    </row>
    <row r="123" spans="1:8">
      <c r="A123" s="977" t="str">
        <f>' IA-SI DRY'!B13</f>
        <v>Medi Tirreno</v>
      </c>
      <c r="B123" s="706">
        <f>SUM(F43:F46)</f>
        <v>3</v>
      </c>
      <c r="C123" s="706">
        <f>SUM(G43:G46)</f>
        <v>0</v>
      </c>
      <c r="D123" s="706">
        <f>SUM(H43:H46)</f>
        <v>3</v>
      </c>
      <c r="E123" s="978">
        <f>COUNTIF(D43:D46,"*")</f>
        <v>1</v>
      </c>
      <c r="F123" s="979">
        <f t="shared" si="69"/>
        <v>3</v>
      </c>
      <c r="G123" s="706">
        <f t="shared" si="70"/>
        <v>0</v>
      </c>
      <c r="H123" s="980">
        <f t="shared" si="71"/>
        <v>3</v>
      </c>
    </row>
    <row r="124" spans="1:8">
      <c r="A124" s="977" t="str">
        <f>' IA-SI DRY'!B14</f>
        <v>Medi Zuoz</v>
      </c>
      <c r="B124" s="706">
        <f>SUM(F47:F50)</f>
        <v>4</v>
      </c>
      <c r="C124" s="706">
        <f>SUM(G47:G50)</f>
        <v>0</v>
      </c>
      <c r="D124" s="706">
        <f>SUM(H47:H50)</f>
        <v>4</v>
      </c>
      <c r="E124" s="978">
        <f>COUNTIF(D47:D50,"*")</f>
        <v>1</v>
      </c>
      <c r="F124" s="979">
        <f t="shared" ref="F124" si="78">B124/E124</f>
        <v>4</v>
      </c>
      <c r="G124" s="706">
        <f t="shared" ref="G124" si="79">C124/E124</f>
        <v>0</v>
      </c>
      <c r="H124" s="980">
        <f t="shared" ref="H124" si="80">D124/E124</f>
        <v>4</v>
      </c>
    </row>
    <row r="125" spans="1:4">
      <c r="A125" s="504"/>
      <c r="B125" s="504"/>
      <c r="C125" s="504"/>
      <c r="D125" s="504"/>
    </row>
    <row r="126" spans="1:4">
      <c r="A126" s="504"/>
      <c r="B126" s="504"/>
      <c r="C126" s="504"/>
      <c r="D126" s="504"/>
    </row>
    <row r="127" spans="1:8">
      <c r="A127" s="698" t="s">
        <v>232</v>
      </c>
      <c r="B127" s="698"/>
      <c r="C127" s="698"/>
      <c r="D127" s="698"/>
      <c r="E127" s="698"/>
      <c r="F127" s="698"/>
      <c r="G127" s="698"/>
      <c r="H127" s="698"/>
    </row>
    <row r="128" ht="30" spans="1:8">
      <c r="A128" s="964"/>
      <c r="B128" s="965" t="s">
        <v>168</v>
      </c>
      <c r="C128" s="965" t="s">
        <v>224</v>
      </c>
      <c r="D128" s="965" t="s">
        <v>225</v>
      </c>
      <c r="E128" s="983" t="s">
        <v>226</v>
      </c>
      <c r="F128" s="965" t="s">
        <v>230</v>
      </c>
      <c r="G128" s="965" t="s">
        <v>231</v>
      </c>
      <c r="H128" s="984" t="s">
        <v>229</v>
      </c>
    </row>
    <row r="129" spans="1:8">
      <c r="A129" s="977" t="str">
        <f>' IA-SI DRY'!B4</f>
        <v>Cielo di Valparaiso</v>
      </c>
      <c r="B129" s="705">
        <f>SUM(P3:P6)</f>
        <v>0</v>
      </c>
      <c r="C129" s="705">
        <f>SUM(Q3:Q6)</f>
        <v>0</v>
      </c>
      <c r="D129" s="705">
        <f>SUM(R3:R6)</f>
        <v>0</v>
      </c>
      <c r="E129" s="978">
        <f>COUNTIF(N3:N6,"*")</f>
        <v>0</v>
      </c>
      <c r="F129" s="979" t="e">
        <f t="shared" ref="F129:F134" si="81">B129/E129</f>
        <v>#DIV/0!</v>
      </c>
      <c r="G129" s="706" t="e">
        <f>C129/E129</f>
        <v>#DIV/0!</v>
      </c>
      <c r="H129" s="980" t="e">
        <f>D129/E129</f>
        <v>#DIV/0!</v>
      </c>
    </row>
    <row r="130" spans="1:8">
      <c r="A130" s="977" t="str">
        <f>' IA-SI DRY'!B5</f>
        <v>Cielo Dei Maronti</v>
      </c>
      <c r="B130" s="706">
        <f>SUM(P7:P10)</f>
        <v>5</v>
      </c>
      <c r="C130" s="706">
        <f>SUM(Q7:Q10)</f>
        <v>0</v>
      </c>
      <c r="D130" s="706">
        <f>SUM(R7:R10)</f>
        <v>5</v>
      </c>
      <c r="E130" s="978">
        <f>COUNTIF(N7:N10,"*")</f>
        <v>1</v>
      </c>
      <c r="F130" s="979">
        <f t="shared" si="81"/>
        <v>5</v>
      </c>
      <c r="G130" s="706">
        <f t="shared" ref="G130:G134" si="82">C130/E130</f>
        <v>0</v>
      </c>
      <c r="H130" s="980">
        <f t="shared" ref="H130:H134" si="83">D130/E130</f>
        <v>5</v>
      </c>
    </row>
    <row r="131" spans="1:8">
      <c r="A131" s="977" t="str">
        <f>' IA-SI DRY'!B6</f>
        <v>Medi Adriatico</v>
      </c>
      <c r="B131" s="706">
        <f>SUM(P11:P14)</f>
        <v>0</v>
      </c>
      <c r="C131" s="706">
        <f>SUM(Q11:Q14)</f>
        <v>0</v>
      </c>
      <c r="D131" s="706">
        <f>SUM(R11:R14)</f>
        <v>0</v>
      </c>
      <c r="E131" s="978">
        <f>COUNTIF(N11:N14,"*")</f>
        <v>0</v>
      </c>
      <c r="F131" s="979" t="e">
        <f t="shared" si="81"/>
        <v>#DIV/0!</v>
      </c>
      <c r="G131" s="706" t="e">
        <f t="shared" si="82"/>
        <v>#DIV/0!</v>
      </c>
      <c r="H131" s="980" t="e">
        <f t="shared" si="83"/>
        <v>#DIV/0!</v>
      </c>
    </row>
    <row r="132" spans="1:8">
      <c r="A132" s="977" t="str">
        <f>' IA-SI DRY'!B7</f>
        <v>Medi Atlantico</v>
      </c>
      <c r="B132" s="706">
        <f>SUM(P15:P18)</f>
        <v>0</v>
      </c>
      <c r="C132" s="706">
        <f>SUM(Q15:Q18)</f>
        <v>0</v>
      </c>
      <c r="D132" s="706">
        <f>SUM(R15:R18)</f>
        <v>0</v>
      </c>
      <c r="E132" s="978">
        <f>COUNTIF(N15:N18,"*")</f>
        <v>0</v>
      </c>
      <c r="F132" s="979" t="e">
        <f t="shared" si="81"/>
        <v>#DIV/0!</v>
      </c>
      <c r="G132" s="706" t="e">
        <f t="shared" si="82"/>
        <v>#DIV/0!</v>
      </c>
      <c r="H132" s="980" t="e">
        <f t="shared" si="83"/>
        <v>#DIV/0!</v>
      </c>
    </row>
    <row r="133" spans="1:8">
      <c r="A133" s="977" t="s">
        <v>123</v>
      </c>
      <c r="B133" s="706">
        <f>SUM(P19:P22)</f>
        <v>0</v>
      </c>
      <c r="C133" s="978">
        <f>SUM(Q19:Q22)</f>
        <v>0</v>
      </c>
      <c r="D133" s="706">
        <f>SUM(R19:R22)</f>
        <v>0</v>
      </c>
      <c r="E133" s="978">
        <f>COUNTIF(N19:N22,"*")</f>
        <v>0</v>
      </c>
      <c r="F133" s="979" t="e">
        <f t="shared" ref="F133" si="84">B133/E133</f>
        <v>#DIV/0!</v>
      </c>
      <c r="G133" s="706" t="e">
        <f t="shared" ref="G133" si="85">C133/E133</f>
        <v>#DIV/0!</v>
      </c>
      <c r="H133" s="980" t="e">
        <f t="shared" ref="H133" si="86">D133/E133</f>
        <v>#DIV/0!</v>
      </c>
    </row>
    <row r="134" spans="1:8">
      <c r="A134" s="977" t="str">
        <f>' IA-SI DRY'!B8</f>
        <v>Medi Egadi</v>
      </c>
      <c r="B134" s="706">
        <f>SUM(P23:P26)</f>
        <v>0</v>
      </c>
      <c r="C134" s="706">
        <f>SUM(Q23:Q26)</f>
        <v>0</v>
      </c>
      <c r="D134" s="706">
        <f>SUM(R23:R26)</f>
        <v>0</v>
      </c>
      <c r="E134" s="978">
        <f>COUNTIF(N23:N26,"*")</f>
        <v>0</v>
      </c>
      <c r="F134" s="979" t="e">
        <f t="shared" si="81"/>
        <v>#DIV/0!</v>
      </c>
      <c r="G134" s="706" t="e">
        <f t="shared" si="82"/>
        <v>#DIV/0!</v>
      </c>
      <c r="H134" s="980" t="e">
        <f t="shared" si="83"/>
        <v>#DIV/0!</v>
      </c>
    </row>
    <row r="135" spans="1:8">
      <c r="A135" s="977" t="str">
        <f>' IA-SI DRY'!B9</f>
        <v>Medi Egeo</v>
      </c>
      <c r="B135" s="706">
        <f>SUM(P27:P30)</f>
        <v>0</v>
      </c>
      <c r="C135" s="706">
        <f>SUM(Q27:Q30)</f>
        <v>0</v>
      </c>
      <c r="D135" s="706">
        <f>SUM(R27:R30)</f>
        <v>0</v>
      </c>
      <c r="E135" s="978">
        <f>COUNTIF(N27:N30,"*")</f>
        <v>0</v>
      </c>
      <c r="F135" s="979" t="e">
        <f t="shared" ref="F135:F139" si="87">B135/E135</f>
        <v>#DIV/0!</v>
      </c>
      <c r="G135" s="706" t="e">
        <f t="shared" ref="G135:G139" si="88">C135/E135</f>
        <v>#DIV/0!</v>
      </c>
      <c r="H135" s="980" t="e">
        <f t="shared" ref="H135:H139" si="89">D135/E135</f>
        <v>#DIV/0!</v>
      </c>
    </row>
    <row r="136" spans="1:8">
      <c r="A136" s="977" t="str">
        <f>' IA-SI DRY'!B10</f>
        <v>Medi Matsuura</v>
      </c>
      <c r="B136" s="706">
        <f>SUM(P31:P34)</f>
        <v>0</v>
      </c>
      <c r="C136" s="978">
        <f>SUM(Q31:Q34)</f>
        <v>0</v>
      </c>
      <c r="D136" s="706">
        <f>SUM(R31:R34)</f>
        <v>0</v>
      </c>
      <c r="E136" s="978">
        <f>COUNTIF(N31:N34,"*")</f>
        <v>0</v>
      </c>
      <c r="F136" s="979" t="e">
        <f t="shared" ref="F136" si="90">B136/E136</f>
        <v>#DIV/0!</v>
      </c>
      <c r="G136" s="706" t="e">
        <f t="shared" ref="G136" si="91">C136/E136</f>
        <v>#DIV/0!</v>
      </c>
      <c r="H136" s="980" t="e">
        <f t="shared" ref="H136" si="92">D136/E136</f>
        <v>#DIV/0!</v>
      </c>
    </row>
    <row r="137" spans="1:8">
      <c r="A137" s="977" t="str">
        <f>' IA-SI DRY'!B11</f>
        <v>Medi Palmarola</v>
      </c>
      <c r="B137" s="706">
        <f>SUM(P35:P38)</f>
        <v>5</v>
      </c>
      <c r="C137" s="706">
        <f>SUM(Q35:Q38)</f>
        <v>3</v>
      </c>
      <c r="D137" s="706">
        <f>SUM(R35:R38)</f>
        <v>2</v>
      </c>
      <c r="E137" s="978">
        <f>COUNTIF(N35:N38,"*")</f>
        <v>1</v>
      </c>
      <c r="F137" s="979">
        <f t="shared" si="87"/>
        <v>5</v>
      </c>
      <c r="G137" s="706">
        <f t="shared" si="88"/>
        <v>3</v>
      </c>
      <c r="H137" s="980">
        <f t="shared" si="89"/>
        <v>2</v>
      </c>
    </row>
    <row r="138" spans="1:8">
      <c r="A138" s="977" t="str">
        <f>' IA-SI DRY'!B12</f>
        <v>Medi Sydney</v>
      </c>
      <c r="B138" s="706">
        <f>SUM(P39:P42)</f>
        <v>0</v>
      </c>
      <c r="C138" s="978">
        <f>SUM(Q39:Q42)</f>
        <v>0</v>
      </c>
      <c r="D138" s="706">
        <f>SUM(R39:R42)</f>
        <v>0</v>
      </c>
      <c r="E138" s="978">
        <f>COUNTIF(N39:N42,"*")</f>
        <v>0</v>
      </c>
      <c r="F138" s="979" t="e">
        <f t="shared" ref="F138" si="93">B138/E138</f>
        <v>#DIV/0!</v>
      </c>
      <c r="G138" s="706" t="e">
        <f t="shared" ref="G138" si="94">C138/E138</f>
        <v>#DIV/0!</v>
      </c>
      <c r="H138" s="980" t="e">
        <f t="shared" ref="H138" si="95">D138/E138</f>
        <v>#DIV/0!</v>
      </c>
    </row>
    <row r="139" spans="1:8">
      <c r="A139" s="977" t="str">
        <f>' IA-SI DRY'!B13</f>
        <v>Medi Tirreno</v>
      </c>
      <c r="B139" s="706">
        <f>SUM(P43:P46)</f>
        <v>0</v>
      </c>
      <c r="C139" s="706">
        <f>SUM(Q43:Q46)</f>
        <v>0</v>
      </c>
      <c r="D139" s="706">
        <f>SUM(R43:R46)</f>
        <v>0</v>
      </c>
      <c r="E139" s="978">
        <f>COUNTIF(N43:N46,"*")</f>
        <v>0</v>
      </c>
      <c r="F139" s="979" t="e">
        <f t="shared" si="87"/>
        <v>#DIV/0!</v>
      </c>
      <c r="G139" s="706" t="e">
        <f t="shared" si="88"/>
        <v>#DIV/0!</v>
      </c>
      <c r="H139" s="980" t="e">
        <f t="shared" si="89"/>
        <v>#DIV/0!</v>
      </c>
    </row>
    <row r="140" spans="1:8">
      <c r="A140" s="977" t="str">
        <f>' IA-SI DRY'!B14</f>
        <v>Medi Zuoz</v>
      </c>
      <c r="B140" s="706">
        <f>SUM(P47:P50)</f>
        <v>0</v>
      </c>
      <c r="C140" s="706">
        <f>SUM(Q47:Q50)</f>
        <v>0</v>
      </c>
      <c r="D140" s="706">
        <f>SUM(R47:R50)</f>
        <v>0</v>
      </c>
      <c r="E140" s="978">
        <f>COUNTIF(N47:N50,"*")</f>
        <v>0</v>
      </c>
      <c r="F140" s="979" t="e">
        <f t="shared" ref="F140" si="96">B140/E140</f>
        <v>#DIV/0!</v>
      </c>
      <c r="G140" s="706" t="e">
        <f t="shared" ref="G140" si="97">C140/E140</f>
        <v>#DIV/0!</v>
      </c>
      <c r="H140" s="980" t="e">
        <f t="shared" ref="H140" si="98">D140/E140</f>
        <v>#DIV/0!</v>
      </c>
    </row>
    <row r="141" spans="1:4">
      <c r="A141" s="504"/>
      <c r="B141" s="504"/>
      <c r="C141" s="504"/>
      <c r="D141" s="504"/>
    </row>
    <row r="142" spans="1:4">
      <c r="A142" s="504"/>
      <c r="B142" s="504"/>
      <c r="C142" s="504"/>
      <c r="D142" s="504"/>
    </row>
    <row r="143" spans="1:8">
      <c r="A143" s="698" t="s">
        <v>216</v>
      </c>
      <c r="B143" s="698"/>
      <c r="C143" s="698"/>
      <c r="D143" s="698"/>
      <c r="E143" s="698"/>
      <c r="F143" s="698"/>
      <c r="G143" s="698"/>
      <c r="H143" s="698"/>
    </row>
    <row r="144" ht="30" spans="1:8">
      <c r="A144" s="964"/>
      <c r="B144" s="965" t="s">
        <v>168</v>
      </c>
      <c r="C144" s="966" t="s">
        <v>224</v>
      </c>
      <c r="D144" s="966" t="s">
        <v>225</v>
      </c>
      <c r="E144" s="967" t="s">
        <v>226</v>
      </c>
      <c r="F144" s="966" t="s">
        <v>230</v>
      </c>
      <c r="G144" s="966" t="s">
        <v>228</v>
      </c>
      <c r="H144" s="968" t="s">
        <v>229</v>
      </c>
    </row>
    <row r="145" spans="1:8">
      <c r="A145" s="977" t="str">
        <f>' IA-SI DRY'!B4</f>
        <v>Cielo di Valparaiso</v>
      </c>
      <c r="B145" s="705">
        <f>SUM(AE3:AE6)</f>
        <v>0</v>
      </c>
      <c r="C145" s="987">
        <f>SUM(AF3:AF6)</f>
        <v>0</v>
      </c>
      <c r="D145" s="705">
        <f>SUM(AG3:AG6)</f>
        <v>0</v>
      </c>
      <c r="E145" s="978">
        <f>COUNTIF(AC3:AC6,"*")</f>
        <v>0</v>
      </c>
      <c r="F145" s="979" t="e">
        <f t="shared" ref="F145:F150" si="99">B145/E145</f>
        <v>#DIV/0!</v>
      </c>
      <c r="G145" s="706" t="e">
        <f>C145/E145</f>
        <v>#DIV/0!</v>
      </c>
      <c r="H145" s="980" t="e">
        <f>D145/E145</f>
        <v>#DIV/0!</v>
      </c>
    </row>
    <row r="146" spans="1:8">
      <c r="A146" s="977" t="str">
        <f>' IA-SI DRY'!B5</f>
        <v>Cielo Dei Maronti</v>
      </c>
      <c r="B146" s="705">
        <f>SUM(AE7:AE10)</f>
        <v>0</v>
      </c>
      <c r="C146" s="705">
        <f>SUM(AF7:AF10)</f>
        <v>0</v>
      </c>
      <c r="D146" s="705">
        <f>SUM(AG7:AG10)</f>
        <v>0</v>
      </c>
      <c r="E146" s="978">
        <f>COUNTIF(AC7:AC10,"*")</f>
        <v>1</v>
      </c>
      <c r="F146" s="979">
        <f t="shared" si="99"/>
        <v>0</v>
      </c>
      <c r="G146" s="706">
        <f t="shared" ref="G146:G152" si="100">C146/E146</f>
        <v>0</v>
      </c>
      <c r="H146" s="980">
        <f t="shared" ref="H146:H152" si="101">D146/E146</f>
        <v>0</v>
      </c>
    </row>
    <row r="147" spans="1:8">
      <c r="A147" s="977" t="str">
        <f>' IA-SI DRY'!B6</f>
        <v>Medi Adriatico</v>
      </c>
      <c r="B147" s="705">
        <f>SUM(AE11:AE14)</f>
        <v>0</v>
      </c>
      <c r="C147" s="705">
        <f>SUM(AF11:AF14)</f>
        <v>0</v>
      </c>
      <c r="D147" s="705">
        <f>SUM(AG11:AG14)</f>
        <v>0</v>
      </c>
      <c r="E147" s="978">
        <f>COUNTIF(AC11:AC14,"*")</f>
        <v>1</v>
      </c>
      <c r="F147" s="979">
        <f t="shared" si="99"/>
        <v>0</v>
      </c>
      <c r="G147" s="706">
        <f t="shared" si="100"/>
        <v>0</v>
      </c>
      <c r="H147" s="980">
        <f t="shared" si="101"/>
        <v>0</v>
      </c>
    </row>
    <row r="148" spans="1:8">
      <c r="A148" s="977" t="str">
        <f>' IA-SI DRY'!B7</f>
        <v>Medi Atlantico</v>
      </c>
      <c r="B148" s="705">
        <f>SUM(AE15:AE18)</f>
        <v>0</v>
      </c>
      <c r="C148" s="705">
        <f>SUM(AF15:AF18)</f>
        <v>0</v>
      </c>
      <c r="D148" s="705">
        <f>SUM(AG15:AG18)</f>
        <v>0</v>
      </c>
      <c r="E148" s="978">
        <f>COUNTIF(AC15:AC18,"*")</f>
        <v>1</v>
      </c>
      <c r="F148" s="979">
        <f t="shared" si="99"/>
        <v>0</v>
      </c>
      <c r="G148" s="706">
        <f t="shared" si="100"/>
        <v>0</v>
      </c>
      <c r="H148" s="980">
        <f t="shared" si="101"/>
        <v>0</v>
      </c>
    </row>
    <row r="149" spans="1:8">
      <c r="A149" s="977" t="s">
        <v>123</v>
      </c>
      <c r="B149" s="705">
        <f>SUM(AE19:AE22)</f>
        <v>0</v>
      </c>
      <c r="C149" s="987">
        <f>SUM(AF19:AF22)</f>
        <v>0</v>
      </c>
      <c r="D149" s="705">
        <f>SUM(AG19:AG22)</f>
        <v>0</v>
      </c>
      <c r="E149" s="978">
        <f>COUNTIF(AC19:AC22,"*")</f>
        <v>0</v>
      </c>
      <c r="F149" s="979" t="e">
        <f t="shared" ref="F149" si="102">B149/E149</f>
        <v>#DIV/0!</v>
      </c>
      <c r="G149" s="706" t="e">
        <f t="shared" ref="G149" si="103">C149/E149</f>
        <v>#DIV/0!</v>
      </c>
      <c r="H149" s="980" t="e">
        <f t="shared" ref="H149" si="104">D149/E149</f>
        <v>#DIV/0!</v>
      </c>
    </row>
    <row r="150" spans="1:8">
      <c r="A150" s="977" t="str">
        <f>' IA-SI DRY'!B8</f>
        <v>Medi Egadi</v>
      </c>
      <c r="B150" s="705">
        <f>SUM(AE23:AE26)</f>
        <v>0</v>
      </c>
      <c r="C150" s="705">
        <f>SUM(AF23:AF26)</f>
        <v>0</v>
      </c>
      <c r="D150" s="705">
        <f>SUM(AG23:AG26)</f>
        <v>0</v>
      </c>
      <c r="E150" s="978">
        <f>COUNTIF(AC23:AC26,"*")</f>
        <v>1</v>
      </c>
      <c r="F150" s="979">
        <f t="shared" si="99"/>
        <v>0</v>
      </c>
      <c r="G150" s="706">
        <f t="shared" si="100"/>
        <v>0</v>
      </c>
      <c r="H150" s="980">
        <f t="shared" si="101"/>
        <v>0</v>
      </c>
    </row>
    <row r="151" spans="1:8">
      <c r="A151" s="977" t="str">
        <f>' IA-SI DRY'!B9</f>
        <v>Medi Egeo</v>
      </c>
      <c r="B151" s="705">
        <f>SUM(AE27:AE30)</f>
        <v>0</v>
      </c>
      <c r="C151" s="705">
        <f>SUM(AF27:AF30)</f>
        <v>0</v>
      </c>
      <c r="D151" s="705">
        <f>SUM(AG27:AG30)</f>
        <v>0</v>
      </c>
      <c r="E151" s="978">
        <f>COUNTIF(AC27:AC30,"*")</f>
        <v>1</v>
      </c>
      <c r="F151" s="979">
        <f t="shared" ref="F151:F156" si="105">B151/E151</f>
        <v>0</v>
      </c>
      <c r="G151" s="706">
        <f t="shared" si="100"/>
        <v>0</v>
      </c>
      <c r="H151" s="980">
        <f t="shared" si="101"/>
        <v>0</v>
      </c>
    </row>
    <row r="152" spans="1:8">
      <c r="A152" s="977" t="str">
        <f>' IA-SI DRY'!B10</f>
        <v>Medi Matsuura</v>
      </c>
      <c r="B152" s="705">
        <f>SUM(AE31:AE34)</f>
        <v>0</v>
      </c>
      <c r="C152" s="987">
        <f>SUM(AF31:AF240)</f>
        <v>0</v>
      </c>
      <c r="D152" s="705">
        <f>SUM(AG31:AG34)</f>
        <v>0</v>
      </c>
      <c r="E152" s="978">
        <f>COUNTIF(AC31:AC34,"*")</f>
        <v>1</v>
      </c>
      <c r="F152" s="979">
        <f t="shared" ref="F152" si="106">B152/E152</f>
        <v>0</v>
      </c>
      <c r="G152" s="706">
        <f t="shared" si="100"/>
        <v>0</v>
      </c>
      <c r="H152" s="980">
        <f t="shared" si="101"/>
        <v>0</v>
      </c>
    </row>
    <row r="153" spans="1:8">
      <c r="A153" s="977" t="str">
        <f>' IA-SI DRY'!B11</f>
        <v>Medi Palmarola</v>
      </c>
      <c r="B153" s="705">
        <f>SUM(AE35:AE38)</f>
        <v>0</v>
      </c>
      <c r="C153" s="705">
        <f>SUM(AF35:AF38)</f>
        <v>0</v>
      </c>
      <c r="D153" s="705">
        <f>SUM(AG35:AG38)</f>
        <v>0</v>
      </c>
      <c r="E153" s="978">
        <f>COUNTIF(AC35:AC38,"*")</f>
        <v>1</v>
      </c>
      <c r="F153" s="979">
        <f t="shared" si="105"/>
        <v>0</v>
      </c>
      <c r="G153" s="706">
        <f t="shared" ref="G153:G156" si="107">C153/E153</f>
        <v>0</v>
      </c>
      <c r="H153" s="980">
        <f t="shared" ref="H153:H156" si="108">D153/E153</f>
        <v>0</v>
      </c>
    </row>
    <row r="154" spans="1:8">
      <c r="A154" s="977" t="str">
        <f>' IA-SI DRY'!B12</f>
        <v>Medi Sydney</v>
      </c>
      <c r="B154" s="705">
        <f>SUM(AE39:AE42)</f>
        <v>0</v>
      </c>
      <c r="C154" s="987">
        <f>SUM(AF39:AF42)</f>
        <v>0</v>
      </c>
      <c r="D154" s="705">
        <f>SUM(AG39:AG42)</f>
        <v>0</v>
      </c>
      <c r="E154" s="978">
        <f>COUNTIF(AC39:AC42,"*")</f>
        <v>1</v>
      </c>
      <c r="F154" s="979">
        <f t="shared" ref="F154" si="109">B154/E154</f>
        <v>0</v>
      </c>
      <c r="G154" s="706">
        <f t="shared" si="107"/>
        <v>0</v>
      </c>
      <c r="H154" s="980">
        <f t="shared" si="108"/>
        <v>0</v>
      </c>
    </row>
    <row r="155" spans="1:8">
      <c r="A155" s="977" t="str">
        <f>' IA-SI DRY'!B13</f>
        <v>Medi Tirreno</v>
      </c>
      <c r="B155" s="705">
        <f>SUM(AE43:AE46)</f>
        <v>0</v>
      </c>
      <c r="C155" s="987">
        <f>SUM(AF43:AF46)</f>
        <v>0</v>
      </c>
      <c r="D155" s="705">
        <f>SUM(AG43:AG46)</f>
        <v>0</v>
      </c>
      <c r="E155" s="978">
        <f>COUNTIF(AC43:AC46,"*")</f>
        <v>1</v>
      </c>
      <c r="F155" s="979">
        <f t="shared" si="105"/>
        <v>0</v>
      </c>
      <c r="G155" s="706">
        <f t="shared" si="107"/>
        <v>0</v>
      </c>
      <c r="H155" s="980">
        <f t="shared" si="108"/>
        <v>0</v>
      </c>
    </row>
    <row r="156" spans="1:8">
      <c r="A156" s="977" t="str">
        <f>' IA-SI DRY'!B14</f>
        <v>Medi Zuoz</v>
      </c>
      <c r="B156" s="705">
        <f>SUM(AE47:AE50)</f>
        <v>0</v>
      </c>
      <c r="C156" s="705">
        <f>SUM(AF47:AF50)</f>
        <v>0</v>
      </c>
      <c r="D156" s="705">
        <f>SUM(AG47:AG50)</f>
        <v>0</v>
      </c>
      <c r="E156" s="978">
        <f>COUNTIF(AC47:AC50,"*")</f>
        <v>1</v>
      </c>
      <c r="F156" s="979">
        <f t="shared" si="105"/>
        <v>0</v>
      </c>
      <c r="G156" s="706">
        <f t="shared" si="107"/>
        <v>0</v>
      </c>
      <c r="H156" s="980">
        <f t="shared" si="108"/>
        <v>0</v>
      </c>
    </row>
    <row r="157" spans="1:4">
      <c r="A157" s="504"/>
      <c r="B157" s="504"/>
      <c r="C157" s="504"/>
      <c r="D157" s="504"/>
    </row>
    <row r="158" spans="1:4">
      <c r="A158" s="504"/>
      <c r="B158" s="504"/>
      <c r="C158" s="504"/>
      <c r="D158" s="504"/>
    </row>
    <row r="159" spans="1:8">
      <c r="A159" s="698" t="s">
        <v>223</v>
      </c>
      <c r="B159" s="698"/>
      <c r="C159" s="698"/>
      <c r="D159" s="698"/>
      <c r="E159" s="698"/>
      <c r="F159" s="698"/>
      <c r="G159" s="698"/>
      <c r="H159" s="698"/>
    </row>
    <row r="160" ht="30" spans="1:8">
      <c r="A160" s="964"/>
      <c r="B160" s="965" t="s">
        <v>168</v>
      </c>
      <c r="C160" s="965" t="s">
        <v>224</v>
      </c>
      <c r="D160" s="965" t="s">
        <v>225</v>
      </c>
      <c r="E160" s="983" t="s">
        <v>226</v>
      </c>
      <c r="F160" s="965" t="s">
        <v>230</v>
      </c>
      <c r="G160" s="965" t="s">
        <v>231</v>
      </c>
      <c r="H160" s="984" t="s">
        <v>229</v>
      </c>
    </row>
    <row r="161" spans="1:8">
      <c r="A161" s="977" t="str">
        <f>' IA-SI DRY'!B4</f>
        <v>Cielo di Valparaiso</v>
      </c>
      <c r="B161" s="705">
        <f>SUM(K3:K6)</f>
        <v>0</v>
      </c>
      <c r="C161" s="705">
        <f>SUM(L3:L6)</f>
        <v>0</v>
      </c>
      <c r="D161" s="705">
        <f>SUM(M3:M6)</f>
        <v>0</v>
      </c>
      <c r="E161" s="987">
        <f>COUNTIF(I3:I6,"*")</f>
        <v>0</v>
      </c>
      <c r="F161" s="980" t="e">
        <f t="shared" ref="F161:F171" si="110">B161/E161</f>
        <v>#DIV/0!</v>
      </c>
      <c r="G161" s="980" t="e">
        <f>C161/E161</f>
        <v>#DIV/0!</v>
      </c>
      <c r="H161" s="980" t="e">
        <f>D161/E161</f>
        <v>#DIV/0!</v>
      </c>
    </row>
    <row r="162" spans="1:8">
      <c r="A162" s="977" t="str">
        <f>' IA-SI DRY'!B5</f>
        <v>Cielo Dei Maronti</v>
      </c>
      <c r="B162" s="706">
        <f>SUM(K7:K10)</f>
        <v>0</v>
      </c>
      <c r="C162" s="706">
        <f>SUM(L7:L10)</f>
        <v>0</v>
      </c>
      <c r="D162" s="706">
        <f>SUM(M7:M10)</f>
        <v>0</v>
      </c>
      <c r="E162" s="987">
        <f>COUNTIF(I7:I10,"*")</f>
        <v>0</v>
      </c>
      <c r="F162" s="980" t="e">
        <f t="shared" si="110"/>
        <v>#DIV/0!</v>
      </c>
      <c r="G162" s="980" t="e">
        <f t="shared" ref="G162:G171" si="111">C162/E162</f>
        <v>#DIV/0!</v>
      </c>
      <c r="H162" s="980" t="e">
        <f t="shared" ref="H162:H171" si="112">D162/E162</f>
        <v>#DIV/0!</v>
      </c>
    </row>
    <row r="163" spans="1:8">
      <c r="A163" s="977" t="str">
        <f>' IA-SI DRY'!B6</f>
        <v>Medi Adriatico</v>
      </c>
      <c r="B163" s="706">
        <f>SUM(K11:K14)</f>
        <v>5</v>
      </c>
      <c r="C163" s="706">
        <f>SUM(L11:L14)</f>
        <v>0</v>
      </c>
      <c r="D163" s="706">
        <f>SUM(M11:M14)</f>
        <v>5</v>
      </c>
      <c r="E163" s="987">
        <f>COUNTIF(I11:I14,"*")</f>
        <v>1</v>
      </c>
      <c r="F163" s="980">
        <f t="shared" si="110"/>
        <v>5</v>
      </c>
      <c r="G163" s="980">
        <f t="shared" si="111"/>
        <v>0</v>
      </c>
      <c r="H163" s="980">
        <f t="shared" si="112"/>
        <v>5</v>
      </c>
    </row>
    <row r="164" spans="1:8">
      <c r="A164" s="977" t="str">
        <f>' IA-SI DRY'!B7</f>
        <v>Medi Atlantico</v>
      </c>
      <c r="B164" s="706">
        <f>SUM(K15:K18)</f>
        <v>0</v>
      </c>
      <c r="C164" s="706">
        <f>SUM(L15:L18)</f>
        <v>0</v>
      </c>
      <c r="D164" s="706">
        <f>SUM(M15:M18)</f>
        <v>0</v>
      </c>
      <c r="E164" s="987">
        <f>COUNTIF(I15:I18,"*")</f>
        <v>0</v>
      </c>
      <c r="F164" s="980" t="e">
        <f t="shared" si="110"/>
        <v>#DIV/0!</v>
      </c>
      <c r="G164" s="980" t="e">
        <f t="shared" si="111"/>
        <v>#DIV/0!</v>
      </c>
      <c r="H164" s="980" t="e">
        <f t="shared" si="112"/>
        <v>#DIV/0!</v>
      </c>
    </row>
    <row r="165" spans="1:8">
      <c r="A165" s="977" t="str">
        <f>' IA-SI DRY'!B15</f>
        <v>Medi Caboto</v>
      </c>
      <c r="B165" s="706">
        <f>SUM(K19:K22)</f>
        <v>0</v>
      </c>
      <c r="C165" s="978">
        <f>SUM(L19:L22)</f>
        <v>0</v>
      </c>
      <c r="D165" s="706">
        <f>SUM(M19:M22)</f>
        <v>0</v>
      </c>
      <c r="E165" s="987">
        <f>COUNTIF(I19:I22,"*")</f>
        <v>0</v>
      </c>
      <c r="F165" s="980" t="e">
        <f t="shared" ref="F165" si="113">B165/E165</f>
        <v>#DIV/0!</v>
      </c>
      <c r="G165" s="980" t="e">
        <f t="shared" ref="G165" si="114">C165/E165</f>
        <v>#DIV/0!</v>
      </c>
      <c r="H165" s="980" t="e">
        <f t="shared" ref="H165" si="115">D165/E165</f>
        <v>#DIV/0!</v>
      </c>
    </row>
    <row r="166" spans="1:8">
      <c r="A166" s="977" t="str">
        <f>' IA-SI DRY'!B8</f>
        <v>Medi Egadi</v>
      </c>
      <c r="B166" s="706">
        <f>SUM(K23:K26)</f>
        <v>0</v>
      </c>
      <c r="C166" s="706">
        <f>SUM(L23:L26)</f>
        <v>0</v>
      </c>
      <c r="D166" s="706">
        <f>SUM(M23:M26)</f>
        <v>0</v>
      </c>
      <c r="E166" s="987">
        <f>COUNTIF(I23:I26,"*")</f>
        <v>0</v>
      </c>
      <c r="F166" s="980" t="e">
        <f t="shared" ref="F166:F169" si="116">B166/E166</f>
        <v>#DIV/0!</v>
      </c>
      <c r="G166" s="980" t="e">
        <f t="shared" ref="G166:G169" si="117">C166/E166</f>
        <v>#DIV/0!</v>
      </c>
      <c r="H166" s="980" t="e">
        <f t="shared" ref="H166:H169" si="118">D166/E166</f>
        <v>#DIV/0!</v>
      </c>
    </row>
    <row r="167" spans="1:8">
      <c r="A167" s="977" t="str">
        <f>' IA-SI DRY'!B9</f>
        <v>Medi Egeo</v>
      </c>
      <c r="B167" s="706">
        <f>SUM(K27:K30)</f>
        <v>0</v>
      </c>
      <c r="C167" s="706">
        <f>SUM(L27:L30)</f>
        <v>0</v>
      </c>
      <c r="D167" s="706">
        <f>SUM(M27:M30)</f>
        <v>0</v>
      </c>
      <c r="E167" s="987">
        <f>COUNTIF(I27:I30,"*")</f>
        <v>0</v>
      </c>
      <c r="F167" s="980" t="e">
        <f t="shared" si="116"/>
        <v>#DIV/0!</v>
      </c>
      <c r="G167" s="980" t="e">
        <f t="shared" si="117"/>
        <v>#DIV/0!</v>
      </c>
      <c r="H167" s="980" t="e">
        <f t="shared" si="118"/>
        <v>#DIV/0!</v>
      </c>
    </row>
    <row r="168" spans="1:8">
      <c r="A168" s="977" t="str">
        <f>' IA-SI DRY'!B10</f>
        <v>Medi Matsuura</v>
      </c>
      <c r="B168" s="706">
        <f>SUM(K31:K34)</f>
        <v>2</v>
      </c>
      <c r="C168" s="706">
        <f>SUM(L31:L34)</f>
        <v>0</v>
      </c>
      <c r="D168" s="706">
        <f>SUM(M31:M34)</f>
        <v>2</v>
      </c>
      <c r="E168" s="987">
        <f>COUNTIF(I31:I34,"*")</f>
        <v>1</v>
      </c>
      <c r="F168" s="980">
        <f t="shared" ref="F168" si="119">B168/E168</f>
        <v>2</v>
      </c>
      <c r="G168" s="980">
        <f t="shared" ref="G168" si="120">C168/E168</f>
        <v>0</v>
      </c>
      <c r="H168" s="980">
        <f t="shared" ref="H168" si="121">D168/E168</f>
        <v>2</v>
      </c>
    </row>
    <row r="169" spans="1:8">
      <c r="A169" s="977" t="str">
        <f>' IA-SI DRY'!B11</f>
        <v>Medi Palmarola</v>
      </c>
      <c r="B169" s="706">
        <f>SUM(K35:K38)</f>
        <v>6</v>
      </c>
      <c r="C169" s="706">
        <f>SUM(L35:L38)</f>
        <v>1</v>
      </c>
      <c r="D169" s="706">
        <f>SUM(M35:M38)</f>
        <v>5</v>
      </c>
      <c r="E169" s="987">
        <f>COUNTIF(I35:I38,"*")</f>
        <v>1</v>
      </c>
      <c r="F169" s="980">
        <f t="shared" si="116"/>
        <v>6</v>
      </c>
      <c r="G169" s="980">
        <f t="shared" si="117"/>
        <v>1</v>
      </c>
      <c r="H169" s="980">
        <f t="shared" si="118"/>
        <v>5</v>
      </c>
    </row>
    <row r="170" spans="1:8">
      <c r="A170" s="977" t="str">
        <f>' IA-SI DRY'!B12</f>
        <v>Medi Sydney</v>
      </c>
      <c r="B170" s="706">
        <f>SUM(K39:K42)</f>
        <v>7</v>
      </c>
      <c r="C170" s="706">
        <f>SUM(L39:L42)</f>
        <v>0</v>
      </c>
      <c r="D170" s="706">
        <f>SUM(M39:M42)</f>
        <v>7</v>
      </c>
      <c r="E170" s="987">
        <f>COUNTIF(I39:I42,"*")</f>
        <v>1</v>
      </c>
      <c r="F170" s="980">
        <f t="shared" ref="F170" si="122">B170/E170</f>
        <v>7</v>
      </c>
      <c r="G170" s="980">
        <f t="shared" ref="G170" si="123">C170/E170</f>
        <v>0</v>
      </c>
      <c r="H170" s="980">
        <f t="shared" ref="H170" si="124">D170/E170</f>
        <v>7</v>
      </c>
    </row>
    <row r="171" spans="1:8">
      <c r="A171" s="977" t="str">
        <f>' IA-SI DRY'!B13</f>
        <v>Medi Tirreno</v>
      </c>
      <c r="B171" s="706">
        <f>SUM(K43:K46)</f>
        <v>0</v>
      </c>
      <c r="C171" s="706">
        <f>SUM(L43:L46)</f>
        <v>0</v>
      </c>
      <c r="D171" s="706">
        <f>SUM(M43:M46)</f>
        <v>0</v>
      </c>
      <c r="E171" s="987">
        <f>COUNTIF(I43:I46,"*")</f>
        <v>0</v>
      </c>
      <c r="F171" s="980" t="e">
        <f t="shared" si="110"/>
        <v>#DIV/0!</v>
      </c>
      <c r="G171" s="980" t="e">
        <f t="shared" si="111"/>
        <v>#DIV/0!</v>
      </c>
      <c r="H171" s="980" t="e">
        <f t="shared" si="112"/>
        <v>#DIV/0!</v>
      </c>
    </row>
    <row r="172" spans="1:8">
      <c r="A172" s="977" t="str">
        <f>' IA-SI DRY'!B14</f>
        <v>Medi Zuoz</v>
      </c>
      <c r="B172" s="706">
        <f>SUM(K47:K50)</f>
        <v>6</v>
      </c>
      <c r="C172" s="706">
        <f>SUM(L47:L50)</f>
        <v>0</v>
      </c>
      <c r="D172" s="706">
        <f>SUM(M47:M50)</f>
        <v>6</v>
      </c>
      <c r="E172" s="987">
        <f>COUNTIF(I47:I50,"*")</f>
        <v>1</v>
      </c>
      <c r="F172" s="980">
        <f t="shared" ref="F172" si="125">B172/E172</f>
        <v>6</v>
      </c>
      <c r="G172" s="980">
        <f t="shared" ref="G172" si="126">C172/E172</f>
        <v>0</v>
      </c>
      <c r="H172" s="980">
        <f t="shared" ref="H172" si="127">D172/E172</f>
        <v>6</v>
      </c>
    </row>
    <row r="175" spans="1:8">
      <c r="A175" s="698" t="s">
        <v>217</v>
      </c>
      <c r="B175" s="698"/>
      <c r="C175" s="698"/>
      <c r="D175" s="698"/>
      <c r="E175" s="698"/>
      <c r="F175" s="698"/>
      <c r="G175" s="698"/>
      <c r="H175" s="698"/>
    </row>
    <row r="176" ht="30" spans="1:8">
      <c r="A176" s="964"/>
      <c r="B176" s="965" t="s">
        <v>168</v>
      </c>
      <c r="C176" s="965" t="s">
        <v>224</v>
      </c>
      <c r="D176" s="965" t="s">
        <v>225</v>
      </c>
      <c r="E176" s="983" t="s">
        <v>226</v>
      </c>
      <c r="F176" s="965" t="s">
        <v>230</v>
      </c>
      <c r="G176" s="965" t="s">
        <v>231</v>
      </c>
      <c r="H176" s="984" t="s">
        <v>229</v>
      </c>
    </row>
    <row r="177" spans="1:8">
      <c r="A177" s="977" t="str">
        <f>' IA-SI DRY'!B4</f>
        <v>Cielo di Valparaiso</v>
      </c>
      <c r="B177" s="705">
        <f>SUM(AJ3:AJ6)</f>
        <v>0</v>
      </c>
      <c r="C177" s="987">
        <f>SUM(AK3:AK6)</f>
        <v>0</v>
      </c>
      <c r="D177" s="705">
        <f>SUM(AL3:AL6)</f>
        <v>0</v>
      </c>
      <c r="E177" s="987">
        <f>COUNTIF(AH3:AH6,"*")</f>
        <v>0</v>
      </c>
      <c r="F177" s="980" t="e">
        <f>B177/E177</f>
        <v>#DIV/0!</v>
      </c>
      <c r="G177" s="980" t="e">
        <f>C177/E177</f>
        <v>#DIV/0!</v>
      </c>
      <c r="H177" s="980" t="e">
        <f>D177/E177</f>
        <v>#DIV/0!</v>
      </c>
    </row>
    <row r="178" spans="1:8">
      <c r="A178" s="977" t="str">
        <f>' IA-SI DRY'!B5</f>
        <v>Cielo Dei Maronti</v>
      </c>
      <c r="B178" s="706">
        <f>SUM(AJ7:AJ10)</f>
        <v>0</v>
      </c>
      <c r="C178" s="706">
        <f>SUM(AK7:AK10)</f>
        <v>0</v>
      </c>
      <c r="D178" s="706">
        <f>SUM(AL7:AL10)</f>
        <v>0</v>
      </c>
      <c r="E178" s="987">
        <f>COUNTIF(AH7:AH10,"*")</f>
        <v>0</v>
      </c>
      <c r="F178" s="980" t="e">
        <f t="shared" ref="F178:F187" si="128">B178/E178</f>
        <v>#DIV/0!</v>
      </c>
      <c r="G178" s="980" t="e">
        <f t="shared" ref="G178:G187" si="129">C178/E178</f>
        <v>#DIV/0!</v>
      </c>
      <c r="H178" s="980" t="e">
        <f t="shared" ref="H178:H187" si="130">D178/E178</f>
        <v>#DIV/0!</v>
      </c>
    </row>
    <row r="179" spans="1:8">
      <c r="A179" s="977" t="str">
        <f>' IA-SI DRY'!B6</f>
        <v>Medi Adriatico</v>
      </c>
      <c r="B179" s="706">
        <f>SUM(AJ11:AJ14)</f>
        <v>0</v>
      </c>
      <c r="C179" s="706">
        <f>SUM(AK11:AK14)</f>
        <v>0</v>
      </c>
      <c r="D179" s="706">
        <f>SUM(AL11:AL14)</f>
        <v>0</v>
      </c>
      <c r="E179" s="987">
        <f>COUNTIF(AH11:AH14,"*")</f>
        <v>0</v>
      </c>
      <c r="F179" s="980" t="e">
        <f t="shared" si="128"/>
        <v>#DIV/0!</v>
      </c>
      <c r="G179" s="980" t="e">
        <f t="shared" si="129"/>
        <v>#DIV/0!</v>
      </c>
      <c r="H179" s="980" t="e">
        <f t="shared" si="130"/>
        <v>#DIV/0!</v>
      </c>
    </row>
    <row r="180" spans="1:8">
      <c r="A180" s="977" t="str">
        <f>' IA-SI DRY'!B7</f>
        <v>Medi Atlantico</v>
      </c>
      <c r="B180" s="706">
        <f>SUM(AJ15:AJ18)</f>
        <v>0</v>
      </c>
      <c r="C180" s="706">
        <f>SUM(AK15:AK18)</f>
        <v>0</v>
      </c>
      <c r="D180" s="706">
        <f>SUM(AL15:AL18)</f>
        <v>0</v>
      </c>
      <c r="E180" s="987">
        <f>COUNTIF(AH15:AH18,"*")</f>
        <v>0</v>
      </c>
      <c r="F180" s="980" t="e">
        <f t="shared" si="128"/>
        <v>#DIV/0!</v>
      </c>
      <c r="G180" s="980" t="e">
        <f t="shared" si="129"/>
        <v>#DIV/0!</v>
      </c>
      <c r="H180" s="980" t="e">
        <f t="shared" si="130"/>
        <v>#DIV/0!</v>
      </c>
    </row>
    <row r="181" spans="1:8">
      <c r="A181" s="977" t="str">
        <f>' IA-SI DRY'!B15</f>
        <v>Medi Caboto</v>
      </c>
      <c r="B181" s="706">
        <f>SUM(AJ19:AJ22)</f>
        <v>0</v>
      </c>
      <c r="C181" s="978">
        <f>SUM(AK19:AK22)</f>
        <v>0</v>
      </c>
      <c r="D181" s="706">
        <f>SUM(AL19:AL22)</f>
        <v>0</v>
      </c>
      <c r="E181" s="987">
        <f>COUNTIF(AH19:AH22,"*")</f>
        <v>0</v>
      </c>
      <c r="F181" s="980" t="e">
        <f t="shared" ref="F181" si="131">B181/E181</f>
        <v>#DIV/0!</v>
      </c>
      <c r="G181" s="980" t="e">
        <f t="shared" ref="G181" si="132">C181/E181</f>
        <v>#DIV/0!</v>
      </c>
      <c r="H181" s="980" t="e">
        <f t="shared" ref="H181" si="133">D181/E181</f>
        <v>#DIV/0!</v>
      </c>
    </row>
    <row r="182" spans="1:8">
      <c r="A182" s="977" t="str">
        <f>' IA-SI DRY'!B8</f>
        <v>Medi Egadi</v>
      </c>
      <c r="B182" s="706">
        <f>SUM(AJ23:AJ26)</f>
        <v>0</v>
      </c>
      <c r="C182" s="706">
        <f>SUM(AK23:AK26)</f>
        <v>0</v>
      </c>
      <c r="D182" s="706">
        <f>SUM(AL23:AL26)</f>
        <v>0</v>
      </c>
      <c r="E182" s="987">
        <f>COUNTIF(AH23:AH26,"*")</f>
        <v>0</v>
      </c>
      <c r="F182" s="980" t="e">
        <f t="shared" ref="F182:F185" si="134">B182/E182</f>
        <v>#DIV/0!</v>
      </c>
      <c r="G182" s="980" t="e">
        <f t="shared" ref="G182:G185" si="135">C182/E182</f>
        <v>#DIV/0!</v>
      </c>
      <c r="H182" s="980" t="e">
        <f t="shared" ref="H182:H185" si="136">D182/E182</f>
        <v>#DIV/0!</v>
      </c>
    </row>
    <row r="183" spans="1:8">
      <c r="A183" s="977" t="str">
        <f>' IA-SI DRY'!B9</f>
        <v>Medi Egeo</v>
      </c>
      <c r="B183" s="706">
        <f>SUM(AJ27:AJ30)</f>
        <v>0</v>
      </c>
      <c r="C183" s="706">
        <f>SUM(AK27:AK30)</f>
        <v>0</v>
      </c>
      <c r="D183" s="706">
        <f>SUM(AL27:AL30)</f>
        <v>0</v>
      </c>
      <c r="E183" s="987">
        <f>COUNTIF(AH27:AH30,"*")</f>
        <v>0</v>
      </c>
      <c r="F183" s="980" t="e">
        <f t="shared" si="134"/>
        <v>#DIV/0!</v>
      </c>
      <c r="G183" s="980" t="e">
        <f t="shared" si="135"/>
        <v>#DIV/0!</v>
      </c>
      <c r="H183" s="980" t="e">
        <f t="shared" si="136"/>
        <v>#DIV/0!</v>
      </c>
    </row>
    <row r="184" spans="1:8">
      <c r="A184" s="977" t="str">
        <f>' IA-SI DRY'!B10</f>
        <v>Medi Matsuura</v>
      </c>
      <c r="B184" s="706">
        <f>SUM(AJ31:AJ34)</f>
        <v>0</v>
      </c>
      <c r="C184" s="978">
        <f>SUM(AK31:AK34)</f>
        <v>0</v>
      </c>
      <c r="D184" s="706">
        <f>SUM(AL31:AL34)</f>
        <v>0</v>
      </c>
      <c r="E184" s="987">
        <f>COUNTIF(AH31:AH34,"*")</f>
        <v>0</v>
      </c>
      <c r="F184" s="980" t="e">
        <f t="shared" ref="F184" si="137">B184/E184</f>
        <v>#DIV/0!</v>
      </c>
      <c r="G184" s="980" t="e">
        <f t="shared" ref="G184" si="138">C184/E184</f>
        <v>#DIV/0!</v>
      </c>
      <c r="H184" s="980" t="e">
        <f t="shared" ref="H184" si="139">D184/E184</f>
        <v>#DIV/0!</v>
      </c>
    </row>
    <row r="185" spans="1:8">
      <c r="A185" s="977" t="str">
        <f>' IA-SI DRY'!B11</f>
        <v>Medi Palmarola</v>
      </c>
      <c r="B185" s="706">
        <f>SUM(AJ35:AJ38)</f>
        <v>6</v>
      </c>
      <c r="C185" s="706">
        <f>SUM(AK35:AK38)</f>
        <v>2</v>
      </c>
      <c r="D185" s="706">
        <f>SUM(AL35:AL38)</f>
        <v>4</v>
      </c>
      <c r="E185" s="987">
        <f>COUNTIF(AH35:AH38,"*")</f>
        <v>1</v>
      </c>
      <c r="F185" s="980">
        <f t="shared" si="134"/>
        <v>6</v>
      </c>
      <c r="G185" s="980">
        <f t="shared" si="135"/>
        <v>2</v>
      </c>
      <c r="H185" s="980">
        <f t="shared" si="136"/>
        <v>4</v>
      </c>
    </row>
    <row r="186" spans="1:8">
      <c r="A186" s="977" t="str">
        <f>' IA-SI DRY'!B12</f>
        <v>Medi Sydney</v>
      </c>
      <c r="B186" s="706">
        <f>SUM(AJ39:AJ42)</f>
        <v>0</v>
      </c>
      <c r="C186" s="978">
        <f>SUM(AK39:AK42)</f>
        <v>0</v>
      </c>
      <c r="D186" s="706">
        <f>SUM(AL39:AL42)</f>
        <v>0</v>
      </c>
      <c r="E186" s="987">
        <f>COUNTIF(AH39:AH42,"*")</f>
        <v>0</v>
      </c>
      <c r="F186" s="980" t="e">
        <f t="shared" ref="F186" si="140">B186/E186</f>
        <v>#DIV/0!</v>
      </c>
      <c r="G186" s="980" t="e">
        <f t="shared" ref="G186" si="141">C186/E186</f>
        <v>#DIV/0!</v>
      </c>
      <c r="H186" s="980" t="e">
        <f t="shared" ref="H186" si="142">D186/E186</f>
        <v>#DIV/0!</v>
      </c>
    </row>
    <row r="187" spans="1:8">
      <c r="A187" s="977" t="str">
        <f>' IA-SI DRY'!B13</f>
        <v>Medi Tirreno</v>
      </c>
      <c r="B187" s="706">
        <f>SUM(AJ43:AJ46)</f>
        <v>0</v>
      </c>
      <c r="C187" s="706">
        <f>SUM(AK43:AK46)</f>
        <v>0</v>
      </c>
      <c r="D187" s="706">
        <f>SUM(AL43:AL46)</f>
        <v>0</v>
      </c>
      <c r="E187" s="987">
        <f>COUNTIF(AH43:AH46,"*")</f>
        <v>0</v>
      </c>
      <c r="F187" s="980" t="e">
        <f t="shared" si="128"/>
        <v>#DIV/0!</v>
      </c>
      <c r="G187" s="980" t="e">
        <f t="shared" si="129"/>
        <v>#DIV/0!</v>
      </c>
      <c r="H187" s="980" t="e">
        <f t="shared" si="130"/>
        <v>#DIV/0!</v>
      </c>
    </row>
    <row r="188" spans="1:8">
      <c r="A188" s="977" t="str">
        <f>' IA-SI DRY'!B14</f>
        <v>Medi Zuoz</v>
      </c>
      <c r="B188" s="706">
        <f>SUM(AJ47:AJ50)</f>
        <v>4</v>
      </c>
      <c r="C188" s="706">
        <f>SUM(AK47:AK50)</f>
        <v>0</v>
      </c>
      <c r="D188" s="706">
        <f>SUM(AL47:AL50)</f>
        <v>4</v>
      </c>
      <c r="E188" s="987">
        <f>COUNTIF(AH47:AH50,"*")</f>
        <v>1</v>
      </c>
      <c r="F188" s="980">
        <f t="shared" ref="F188" si="143">B188/E188</f>
        <v>4</v>
      </c>
      <c r="G188" s="980">
        <f t="shared" ref="G188" si="144">C188/E188</f>
        <v>0</v>
      </c>
      <c r="H188" s="980">
        <f t="shared" ref="H188" si="145">D188/E188</f>
        <v>4</v>
      </c>
    </row>
  </sheetData>
  <mergeCells count="22">
    <mergeCell ref="D1:H1"/>
    <mergeCell ref="I1:M1"/>
    <mergeCell ref="N1:R1"/>
    <mergeCell ref="S1:W1"/>
    <mergeCell ref="X1:AB1"/>
    <mergeCell ref="AC1:AG1"/>
    <mergeCell ref="AH1:AL1"/>
    <mergeCell ref="AN2:AO2"/>
    <mergeCell ref="A57:C57"/>
    <mergeCell ref="D57:E57"/>
    <mergeCell ref="F57:G57"/>
    <mergeCell ref="H57:I57"/>
    <mergeCell ref="J57:K57"/>
    <mergeCell ref="L57:M57"/>
    <mergeCell ref="N57:O57"/>
    <mergeCell ref="A75:C75"/>
    <mergeCell ref="A95:H95"/>
    <mergeCell ref="A111:H111"/>
    <mergeCell ref="A127:H127"/>
    <mergeCell ref="A143:H143"/>
    <mergeCell ref="A159:H159"/>
    <mergeCell ref="A175:H175"/>
  </mergeCells>
  <conditionalFormatting sqref="AH35:AI35">
    <cfRule type="containsText" dxfId="3" priority="5" operator="between" text="Valid">
      <formula>NOT(ISERROR(SEARCH("Valid",AH35)))</formula>
    </cfRule>
    <cfRule type="containsText" dxfId="2" priority="6" operator="between" text="Valid">
      <formula>NOT(ISERROR(SEARCH("Valid",AH35)))</formula>
    </cfRule>
    <cfRule type="containsText" dxfId="1" priority="7" operator="between" text="Valid">
      <formula>NOT(ISERROR(SEARCH("Valid",AH35)))</formula>
    </cfRule>
    <cfRule type="containsText" dxfId="0" priority="8" operator="between" text="Expired">
      <formula>NOT(ISERROR(SEARCH("Expired",AH35)))</formula>
    </cfRule>
  </conditionalFormatting>
  <conditionalFormatting sqref="AT35:AU35">
    <cfRule type="containsText" dxfId="3" priority="1" operator="between" text="Valid">
      <formula>NOT(ISERROR(SEARCH("Valid",AT35)))</formula>
    </cfRule>
    <cfRule type="containsText" dxfId="2" priority="2" operator="between" text="Valid">
      <formula>NOT(ISERROR(SEARCH("Valid",AT35)))</formula>
    </cfRule>
    <cfRule type="containsText" dxfId="1" priority="3" operator="between" text="Valid">
      <formula>NOT(ISERROR(SEARCH("Valid",AT35)))</formula>
    </cfRule>
    <cfRule type="containsText" dxfId="0" priority="4" operator="between" text="Expired">
      <formula>NOT(ISERROR(SEARCH("Expired",AT35)))</formula>
    </cfRule>
  </conditionalFormatting>
  <conditionalFormatting sqref="A3:A54 A177:A188">
    <cfRule type="containsText" dxfId="2" priority="28" operator="between" text="Valid">
      <formula>NOT(ISERROR(SEARCH("Valid",A3)))</formula>
    </cfRule>
    <cfRule type="containsText" dxfId="1" priority="29" operator="between" text="Valid">
      <formula>NOT(ISERROR(SEARCH("Valid",A3)))</formula>
    </cfRule>
    <cfRule type="containsText" dxfId="0" priority="30" operator="between" text="Expired">
      <formula>NOT(ISERROR(SEARCH("Expired",A3)))</formula>
    </cfRule>
  </conditionalFormatting>
  <conditionalFormatting sqref="A97:A108 A113:A124 A129:A140 A145:A156 A161:A172">
    <cfRule type="containsText" dxfId="2" priority="457" operator="between" text="Valid">
      <formula>NOT(ISERROR(SEARCH("Valid",A97)))</formula>
    </cfRule>
    <cfRule type="containsText" dxfId="1" priority="458" operator="between" text="Valid">
      <formula>NOT(ISERROR(SEARCH("Valid",A97)))</formula>
    </cfRule>
    <cfRule type="containsText" dxfId="0" priority="459" operator="between" text="Expired">
      <formula>NOT(ISERROR(SEARCH("Expired",A97)))</formula>
    </cfRule>
  </conditionalFormatting>
  <dataValidations count="3">
    <dataValidation type="list" allowBlank="1" showInputMessage="1" showErrorMessage="1" sqref="B3:B54">
      <formula1>MarineSuperintendent</formula1>
    </dataValidation>
    <dataValidation type="list" allowBlank="1" showInputMessage="1" showErrorMessage="1" sqref="B55:B56">
      <formula1>MS</formula1>
    </dataValidation>
    <dataValidation type="list" allowBlank="1" showInputMessage="1" showErrorMessage="1" sqref="C3:C54">
      <formula1>Guide!$A$52:$A$54</formula1>
    </dataValidation>
  </dataValidations>
  <printOptions horizontalCentered="1" verticalCentered="1"/>
  <pageMargins left="0.196850393700787" right="0.196850393700787" top="0.196850393700787" bottom="0.196850393700787" header="0.31496062992126" footer="0.31496062992126"/>
  <pageSetup paperSize="8" scale="34"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A1:AW404"/>
  <sheetViews>
    <sheetView tabSelected="1" zoomScale="85" zoomScaleNormal="85" workbookViewId="0">
      <pane xSplit="3" ySplit="2" topLeftCell="AD3" activePane="bottomRight" state="frozen"/>
      <selection/>
      <selection pane="topRight"/>
      <selection pane="bottomLeft"/>
      <selection pane="bottomRight" activeCell="AG87" sqref="AG87"/>
    </sheetView>
  </sheetViews>
  <sheetFormatPr defaultColWidth="9.42857142857143" defaultRowHeight="15"/>
  <cols>
    <col min="1" max="1" width="25.8571428571429" style="503" customWidth="1"/>
    <col min="2" max="2" width="14.4285714285714" style="504" customWidth="1"/>
    <col min="3" max="3" width="17.7142857142857" style="504" customWidth="1"/>
    <col min="4" max="4" width="13.5714285714286" style="504" customWidth="1"/>
    <col min="5" max="5" width="15.4285714285714" style="504" customWidth="1"/>
    <col min="6" max="6" width="11.5714285714286" style="504" customWidth="1"/>
    <col min="7" max="7" width="9.57142857142857" style="504" customWidth="1"/>
    <col min="8" max="8" width="9.42857142857143" style="504" customWidth="1"/>
    <col min="9" max="9" width="15.4285714285714" style="504" customWidth="1"/>
    <col min="10" max="10" width="12.5714285714286" style="504" customWidth="1"/>
    <col min="11" max="11" width="13.5714285714286" style="504" customWidth="1"/>
    <col min="12" max="12" width="10.5714285714286" style="504" customWidth="1"/>
    <col min="13" max="13" width="8.42857142857143" style="504" customWidth="1"/>
    <col min="14" max="14" width="13.5714285714286" style="504" customWidth="1"/>
    <col min="15" max="15" width="16.4285714285714" style="504" customWidth="1"/>
    <col min="16" max="16" width="16.5714285714286" style="504" customWidth="1"/>
    <col min="17" max="17" width="9" style="504" customWidth="1"/>
    <col min="18" max="18" width="9.57142857142857" style="504" customWidth="1"/>
    <col min="19" max="19" width="15.4285714285714" style="504" customWidth="1"/>
    <col min="20" max="20" width="15.5714285714286" style="504" customWidth="1"/>
    <col min="21" max="21" width="13" style="504" customWidth="1"/>
    <col min="22" max="22" width="7.42857142857143" style="504" customWidth="1"/>
    <col min="23" max="23" width="7.57142857142857" style="504" customWidth="1"/>
    <col min="24" max="24" width="15.4285714285714" style="504" customWidth="1"/>
    <col min="25" max="25" width="15.5714285714286" style="504" customWidth="1"/>
    <col min="26" max="26" width="12.4285714285714" style="504" customWidth="1"/>
    <col min="27" max="27" width="6.57142857142857" style="504" customWidth="1"/>
    <col min="28" max="28" width="7.42857142857143" style="504" customWidth="1"/>
    <col min="29" max="29" width="12.5714285714286" style="504" customWidth="1"/>
    <col min="30" max="30" width="13" style="504" customWidth="1"/>
    <col min="31" max="31" width="9.42857142857143" style="504" customWidth="1"/>
    <col min="32" max="32" width="7.57142857142857" style="504" customWidth="1"/>
    <col min="33" max="33" width="8.42857142857143" style="504" customWidth="1"/>
    <col min="34" max="34" width="12.8571428571429" style="504" customWidth="1"/>
    <col min="35" max="35" width="13.4285714285714" style="504" customWidth="1"/>
    <col min="36" max="36" width="11.4285714285714" style="504" customWidth="1"/>
    <col min="37" max="37" width="5.57142857142857" style="504" customWidth="1"/>
    <col min="38" max="38" width="8.57142857142857" style="504" customWidth="1"/>
    <col min="39" max="39" width="16.5714285714286" style="504" customWidth="1"/>
    <col min="40" max="40" width="11.5714285714286" style="504" customWidth="1"/>
    <col min="41" max="42" width="13.5714285714286" style="504" customWidth="1"/>
    <col min="43" max="43" width="15.5714285714286" style="504" customWidth="1"/>
    <col min="44" max="44" width="13.4285714285714" style="505" customWidth="1"/>
    <col min="45" max="45" width="13.5714285714286" style="505" customWidth="1"/>
    <col min="46" max="46" width="14.8571428571429" style="505" customWidth="1"/>
    <col min="47" max="47" width="12.4285714285714" style="505" customWidth="1"/>
    <col min="48" max="48" width="14" style="504" customWidth="1"/>
    <col min="49" max="49" width="19.5714285714286" style="504" customWidth="1"/>
    <col min="50" max="16384" width="9.42857142857143" style="504"/>
  </cols>
  <sheetData>
    <row r="1" ht="16.5" spans="1:49">
      <c r="A1" s="506"/>
      <c r="B1" s="507"/>
      <c r="C1" s="508"/>
      <c r="D1" s="509" t="s">
        <v>156</v>
      </c>
      <c r="E1" s="509"/>
      <c r="F1" s="509"/>
      <c r="G1" s="509"/>
      <c r="H1" s="510"/>
      <c r="I1" s="556" t="s">
        <v>157</v>
      </c>
      <c r="J1" s="556"/>
      <c r="K1" s="556"/>
      <c r="L1" s="556"/>
      <c r="M1" s="557"/>
      <c r="N1" s="558" t="s">
        <v>158</v>
      </c>
      <c r="O1" s="558"/>
      <c r="P1" s="558"/>
      <c r="Q1" s="558"/>
      <c r="R1" s="576"/>
      <c r="S1" s="577" t="s">
        <v>159</v>
      </c>
      <c r="T1" s="578"/>
      <c r="U1" s="578"/>
      <c r="V1" s="578"/>
      <c r="W1" s="579"/>
      <c r="X1" s="580" t="s">
        <v>160</v>
      </c>
      <c r="Y1" s="580"/>
      <c r="Z1" s="580"/>
      <c r="AA1" s="580"/>
      <c r="AB1" s="596"/>
      <c r="AC1" s="597" t="s">
        <v>161</v>
      </c>
      <c r="AD1" s="597"/>
      <c r="AE1" s="597"/>
      <c r="AF1" s="597"/>
      <c r="AG1" s="613"/>
      <c r="AH1" s="614" t="s">
        <v>233</v>
      </c>
      <c r="AI1" s="614"/>
      <c r="AJ1" s="614"/>
      <c r="AK1" s="614"/>
      <c r="AL1" s="615"/>
      <c r="AM1" s="616"/>
      <c r="AN1" s="616"/>
      <c r="AO1" s="616"/>
      <c r="AP1" s="616"/>
      <c r="AQ1" s="616"/>
      <c r="AR1" s="633" t="s">
        <v>234</v>
      </c>
      <c r="AS1" s="633"/>
      <c r="AT1" s="633"/>
      <c r="AU1" s="633"/>
      <c r="AV1" s="616"/>
      <c r="AW1" s="616"/>
    </row>
    <row r="2" ht="30.75" customHeight="1" spans="1:49">
      <c r="A2" s="511" t="s">
        <v>163</v>
      </c>
      <c r="B2" s="511" t="s">
        <v>164</v>
      </c>
      <c r="C2" s="512" t="s">
        <v>235</v>
      </c>
      <c r="D2" s="513" t="s">
        <v>166</v>
      </c>
      <c r="E2" s="514" t="s">
        <v>167</v>
      </c>
      <c r="F2" s="514" t="s">
        <v>168</v>
      </c>
      <c r="G2" s="515" t="s">
        <v>169</v>
      </c>
      <c r="H2" s="516" t="s">
        <v>170</v>
      </c>
      <c r="I2" s="559" t="s">
        <v>171</v>
      </c>
      <c r="J2" s="560" t="s">
        <v>167</v>
      </c>
      <c r="K2" s="561" t="s">
        <v>168</v>
      </c>
      <c r="L2" s="560" t="s">
        <v>169</v>
      </c>
      <c r="M2" s="562" t="s">
        <v>170</v>
      </c>
      <c r="N2" s="563" t="s">
        <v>173</v>
      </c>
      <c r="O2" s="564" t="s">
        <v>167</v>
      </c>
      <c r="P2" s="565" t="s">
        <v>168</v>
      </c>
      <c r="Q2" s="564" t="s">
        <v>169</v>
      </c>
      <c r="R2" s="581" t="s">
        <v>170</v>
      </c>
      <c r="S2" s="582" t="s">
        <v>174</v>
      </c>
      <c r="T2" s="583" t="s">
        <v>167</v>
      </c>
      <c r="U2" s="584" t="s">
        <v>168</v>
      </c>
      <c r="V2" s="583" t="s">
        <v>169</v>
      </c>
      <c r="W2" s="585" t="s">
        <v>170</v>
      </c>
      <c r="X2" s="586" t="s">
        <v>175</v>
      </c>
      <c r="Y2" s="598" t="s">
        <v>167</v>
      </c>
      <c r="Z2" s="598" t="s">
        <v>168</v>
      </c>
      <c r="AA2" s="598" t="s">
        <v>169</v>
      </c>
      <c r="AB2" s="599" t="s">
        <v>170</v>
      </c>
      <c r="AC2" s="600" t="s">
        <v>176</v>
      </c>
      <c r="AD2" s="601" t="s">
        <v>167</v>
      </c>
      <c r="AE2" s="602" t="s">
        <v>168</v>
      </c>
      <c r="AF2" s="601" t="s">
        <v>169</v>
      </c>
      <c r="AG2" s="617" t="s">
        <v>170</v>
      </c>
      <c r="AH2" s="618" t="s">
        <v>236</v>
      </c>
      <c r="AI2" s="619" t="s">
        <v>167</v>
      </c>
      <c r="AJ2" s="620" t="s">
        <v>168</v>
      </c>
      <c r="AK2" s="619" t="s">
        <v>169</v>
      </c>
      <c r="AL2" s="621" t="s">
        <v>170</v>
      </c>
      <c r="AM2" s="622" t="s">
        <v>178</v>
      </c>
      <c r="AN2" s="623" t="s">
        <v>237</v>
      </c>
      <c r="AO2" s="634"/>
      <c r="AP2" s="635" t="s">
        <v>238</v>
      </c>
      <c r="AQ2" s="635" t="s">
        <v>181</v>
      </c>
      <c r="AR2" s="636" t="s">
        <v>182</v>
      </c>
      <c r="AS2" s="637" t="s">
        <v>183</v>
      </c>
      <c r="AT2" s="637" t="s">
        <v>184</v>
      </c>
      <c r="AU2" s="637" t="s">
        <v>185</v>
      </c>
      <c r="AV2" s="638" t="s">
        <v>186</v>
      </c>
      <c r="AW2" s="656" t="s">
        <v>239</v>
      </c>
    </row>
    <row r="3" ht="15.75" spans="1:49">
      <c r="A3" s="517" t="str">
        <f>'IA-SI  TANKER'!B4</f>
        <v>Alpine Pembroke (Sold)</v>
      </c>
      <c r="B3" s="518"/>
      <c r="C3" s="519"/>
      <c r="D3" s="520"/>
      <c r="E3" s="521"/>
      <c r="F3" s="522">
        <f>G3+H3</f>
        <v>0</v>
      </c>
      <c r="G3" s="523"/>
      <c r="H3" s="524"/>
      <c r="I3" s="520"/>
      <c r="J3" s="521"/>
      <c r="K3" s="566">
        <f t="shared" ref="K3:K46" si="0">L3+M3</f>
        <v>0</v>
      </c>
      <c r="L3" s="523"/>
      <c r="M3" s="567"/>
      <c r="N3" s="520"/>
      <c r="O3" s="521"/>
      <c r="P3" s="568">
        <f t="shared" ref="P3:P46" si="1">Q3+R3</f>
        <v>0</v>
      </c>
      <c r="Q3" s="587"/>
      <c r="R3" s="588"/>
      <c r="S3" s="520"/>
      <c r="T3" s="521"/>
      <c r="U3" s="589">
        <f t="shared" ref="U3:U55" si="2">V3+W3</f>
        <v>0</v>
      </c>
      <c r="V3" s="523"/>
      <c r="W3" s="524"/>
      <c r="X3" s="590"/>
      <c r="Y3" s="603"/>
      <c r="Z3" s="604">
        <f t="shared" ref="Z3:Z46" si="3">AA3+AB3</f>
        <v>0</v>
      </c>
      <c r="AA3" s="605"/>
      <c r="AB3" s="606"/>
      <c r="AC3" s="593"/>
      <c r="AD3" s="521"/>
      <c r="AE3" s="607">
        <f t="shared" ref="AE3:AE46" si="4">AF3+AG3</f>
        <v>0</v>
      </c>
      <c r="AF3" s="523"/>
      <c r="AG3" s="524"/>
      <c r="AH3" s="593"/>
      <c r="AI3" s="521"/>
      <c r="AJ3" s="624">
        <f t="shared" ref="AJ3:AJ46" si="5">AK3+AL3</f>
        <v>0</v>
      </c>
      <c r="AK3" s="523"/>
      <c r="AL3" s="567"/>
      <c r="AM3" s="625"/>
      <c r="AN3" s="626"/>
      <c r="AO3" s="639"/>
      <c r="AP3" s="626"/>
      <c r="AQ3" s="626"/>
      <c r="AR3" s="640"/>
      <c r="AS3" s="641"/>
      <c r="AT3" s="641"/>
      <c r="AU3" s="641"/>
      <c r="AV3" s="642">
        <f t="shared" ref="AV3:AV34" si="6">AU3-AR3</f>
        <v>0</v>
      </c>
      <c r="AW3" s="652">
        <f>AT3-AS3</f>
        <v>0</v>
      </c>
    </row>
    <row r="4" spans="1:49">
      <c r="A4" s="525"/>
      <c r="B4" s="526"/>
      <c r="C4" s="527"/>
      <c r="D4" s="528"/>
      <c r="E4" s="529"/>
      <c r="F4" s="530">
        <f t="shared" ref="F4:F46" si="7">G4+H4</f>
        <v>0</v>
      </c>
      <c r="G4" s="531"/>
      <c r="H4" s="532"/>
      <c r="I4" s="528"/>
      <c r="J4" s="529"/>
      <c r="K4" s="569">
        <f t="shared" si="0"/>
        <v>0</v>
      </c>
      <c r="L4" s="531"/>
      <c r="M4" s="570"/>
      <c r="N4" s="528"/>
      <c r="O4" s="529"/>
      <c r="P4" s="571">
        <f t="shared" si="1"/>
        <v>0</v>
      </c>
      <c r="Q4" s="531"/>
      <c r="R4" s="570"/>
      <c r="S4" s="528"/>
      <c r="T4" s="529"/>
      <c r="U4" s="591">
        <f t="shared" si="2"/>
        <v>0</v>
      </c>
      <c r="V4" s="531"/>
      <c r="W4" s="532"/>
      <c r="X4" s="528"/>
      <c r="Y4" s="529"/>
      <c r="Z4" s="608">
        <f t="shared" si="3"/>
        <v>0</v>
      </c>
      <c r="AA4" s="531"/>
      <c r="AB4" s="570"/>
      <c r="AC4" s="528"/>
      <c r="AD4" s="529"/>
      <c r="AE4" s="609">
        <f t="shared" si="4"/>
        <v>0</v>
      </c>
      <c r="AF4" s="531"/>
      <c r="AG4" s="532"/>
      <c r="AH4" s="528"/>
      <c r="AI4" s="529"/>
      <c r="AJ4" s="627">
        <f t="shared" si="5"/>
        <v>0</v>
      </c>
      <c r="AK4" s="531"/>
      <c r="AL4" s="570"/>
      <c r="AM4" s="628"/>
      <c r="AN4" s="629"/>
      <c r="AO4" s="643"/>
      <c r="AP4" s="629"/>
      <c r="AQ4" s="629"/>
      <c r="AR4" s="644"/>
      <c r="AS4" s="644"/>
      <c r="AT4" s="644"/>
      <c r="AU4" s="644"/>
      <c r="AV4" s="645">
        <f t="shared" si="6"/>
        <v>0</v>
      </c>
      <c r="AW4" s="645">
        <f t="shared" ref="AW4:AW46" si="8">AT4-AS4</f>
        <v>0</v>
      </c>
    </row>
    <row r="5" spans="1:49">
      <c r="A5" s="525"/>
      <c r="B5" s="526"/>
      <c r="C5" s="527"/>
      <c r="D5" s="528"/>
      <c r="E5" s="529"/>
      <c r="F5" s="530">
        <f t="shared" si="7"/>
        <v>0</v>
      </c>
      <c r="G5" s="531"/>
      <c r="H5" s="532"/>
      <c r="I5" s="528"/>
      <c r="J5" s="529"/>
      <c r="K5" s="572">
        <f t="shared" si="0"/>
        <v>0</v>
      </c>
      <c r="L5" s="531"/>
      <c r="M5" s="570"/>
      <c r="N5" s="528"/>
      <c r="O5" s="529"/>
      <c r="P5" s="571">
        <f t="shared" si="1"/>
        <v>0</v>
      </c>
      <c r="Q5" s="531"/>
      <c r="R5" s="570"/>
      <c r="S5" s="528"/>
      <c r="T5" s="529"/>
      <c r="U5" s="591">
        <f t="shared" si="2"/>
        <v>0</v>
      </c>
      <c r="V5" s="531"/>
      <c r="W5" s="532"/>
      <c r="X5" s="528"/>
      <c r="Y5" s="529"/>
      <c r="Z5" s="608">
        <f t="shared" si="3"/>
        <v>0</v>
      </c>
      <c r="AA5" s="531"/>
      <c r="AB5" s="570"/>
      <c r="AC5" s="528"/>
      <c r="AD5" s="529"/>
      <c r="AE5" s="609">
        <f t="shared" si="4"/>
        <v>0</v>
      </c>
      <c r="AF5" s="531"/>
      <c r="AG5" s="532"/>
      <c r="AH5" s="528"/>
      <c r="AI5" s="529"/>
      <c r="AJ5" s="627">
        <f t="shared" si="5"/>
        <v>0</v>
      </c>
      <c r="AK5" s="531"/>
      <c r="AL5" s="570"/>
      <c r="AM5" s="628"/>
      <c r="AN5" s="629"/>
      <c r="AO5" s="643"/>
      <c r="AP5" s="629"/>
      <c r="AQ5" s="629"/>
      <c r="AR5" s="646"/>
      <c r="AS5" s="647"/>
      <c r="AT5" s="647"/>
      <c r="AU5" s="647"/>
      <c r="AV5" s="645">
        <f t="shared" si="6"/>
        <v>0</v>
      </c>
      <c r="AW5" s="645">
        <f t="shared" si="8"/>
        <v>0</v>
      </c>
    </row>
    <row r="6" ht="15.75" spans="1:49">
      <c r="A6" s="533"/>
      <c r="B6" s="534"/>
      <c r="C6" s="535"/>
      <c r="D6" s="528"/>
      <c r="E6" s="529"/>
      <c r="F6" s="536">
        <f t="shared" si="7"/>
        <v>0</v>
      </c>
      <c r="G6" s="537"/>
      <c r="H6" s="538"/>
      <c r="I6" s="528"/>
      <c r="J6" s="529"/>
      <c r="K6" s="573">
        <f t="shared" si="0"/>
        <v>0</v>
      </c>
      <c r="L6" s="537"/>
      <c r="M6" s="574"/>
      <c r="N6" s="528"/>
      <c r="O6" s="529"/>
      <c r="P6" s="575">
        <f t="shared" si="1"/>
        <v>0</v>
      </c>
      <c r="Q6" s="537"/>
      <c r="R6" s="574"/>
      <c r="S6" s="528"/>
      <c r="T6" s="529"/>
      <c r="U6" s="592">
        <f t="shared" si="2"/>
        <v>0</v>
      </c>
      <c r="V6" s="537"/>
      <c r="W6" s="538"/>
      <c r="X6" s="528"/>
      <c r="Y6" s="529"/>
      <c r="Z6" s="610">
        <f t="shared" si="3"/>
        <v>0</v>
      </c>
      <c r="AA6" s="537"/>
      <c r="AB6" s="574"/>
      <c r="AC6" s="528"/>
      <c r="AD6" s="529"/>
      <c r="AE6" s="611">
        <f t="shared" si="4"/>
        <v>0</v>
      </c>
      <c r="AF6" s="537"/>
      <c r="AG6" s="538"/>
      <c r="AH6" s="528"/>
      <c r="AI6" s="529"/>
      <c r="AJ6" s="630">
        <f t="shared" si="5"/>
        <v>0</v>
      </c>
      <c r="AK6" s="537"/>
      <c r="AL6" s="574"/>
      <c r="AM6" s="631"/>
      <c r="AN6" s="632"/>
      <c r="AO6" s="648"/>
      <c r="AP6" s="632"/>
      <c r="AQ6" s="632"/>
      <c r="AR6" s="649"/>
      <c r="AS6" s="650"/>
      <c r="AT6" s="650"/>
      <c r="AU6" s="650"/>
      <c r="AV6" s="651">
        <f t="shared" si="6"/>
        <v>0</v>
      </c>
      <c r="AW6" s="651">
        <f t="shared" si="8"/>
        <v>0</v>
      </c>
    </row>
    <row r="7" ht="18" customHeight="1" spans="1:49">
      <c r="A7" s="539" t="str">
        <f>'IA-SI  TANKER'!B5</f>
        <v>Alpine Pioneer (Sold)</v>
      </c>
      <c r="B7" s="540"/>
      <c r="C7" s="519"/>
      <c r="D7" s="520"/>
      <c r="E7" s="521"/>
      <c r="F7" s="522">
        <f t="shared" si="7"/>
        <v>0</v>
      </c>
      <c r="G7" s="523"/>
      <c r="H7" s="524"/>
      <c r="I7" s="520"/>
      <c r="J7" s="521"/>
      <c r="K7" s="566">
        <f t="shared" si="0"/>
        <v>0</v>
      </c>
      <c r="L7" s="523"/>
      <c r="M7" s="567"/>
      <c r="N7" s="520"/>
      <c r="O7" s="521"/>
      <c r="P7" s="568">
        <f t="shared" si="1"/>
        <v>0</v>
      </c>
      <c r="Q7" s="587"/>
      <c r="R7" s="588"/>
      <c r="S7" s="520"/>
      <c r="T7" s="521"/>
      <c r="U7" s="589">
        <f t="shared" si="2"/>
        <v>0</v>
      </c>
      <c r="V7" s="523"/>
      <c r="W7" s="524"/>
      <c r="X7" s="593"/>
      <c r="Y7" s="521"/>
      <c r="Z7" s="612">
        <f t="shared" si="3"/>
        <v>0</v>
      </c>
      <c r="AA7" s="523"/>
      <c r="AB7" s="567"/>
      <c r="AC7" s="593"/>
      <c r="AD7" s="521"/>
      <c r="AE7" s="607">
        <f t="shared" si="4"/>
        <v>0</v>
      </c>
      <c r="AF7" s="523"/>
      <c r="AG7" s="524"/>
      <c r="AH7" s="593"/>
      <c r="AI7" s="521"/>
      <c r="AJ7" s="624">
        <f t="shared" si="5"/>
        <v>0</v>
      </c>
      <c r="AK7" s="523"/>
      <c r="AL7" s="567"/>
      <c r="AM7" s="625"/>
      <c r="AN7" s="626"/>
      <c r="AO7" s="639"/>
      <c r="AP7" s="626"/>
      <c r="AQ7" s="626"/>
      <c r="AR7" s="640"/>
      <c r="AS7" s="641"/>
      <c r="AT7" s="641"/>
      <c r="AU7" s="641"/>
      <c r="AV7" s="642">
        <f t="shared" si="6"/>
        <v>0</v>
      </c>
      <c r="AW7" s="652">
        <f t="shared" si="8"/>
        <v>0</v>
      </c>
    </row>
    <row r="8" ht="16.5" customHeight="1" spans="1:49">
      <c r="A8" s="525"/>
      <c r="B8" s="518"/>
      <c r="C8" s="541"/>
      <c r="D8" s="528"/>
      <c r="E8" s="529"/>
      <c r="F8" s="530">
        <f t="shared" si="7"/>
        <v>0</v>
      </c>
      <c r="G8" s="531"/>
      <c r="H8" s="532"/>
      <c r="I8" s="528"/>
      <c r="J8" s="529"/>
      <c r="K8" s="569">
        <f t="shared" si="0"/>
        <v>0</v>
      </c>
      <c r="L8" s="531"/>
      <c r="M8" s="570"/>
      <c r="N8" s="528"/>
      <c r="O8" s="529"/>
      <c r="P8" s="571">
        <f t="shared" si="1"/>
        <v>0</v>
      </c>
      <c r="Q8" s="531"/>
      <c r="R8" s="570"/>
      <c r="S8" s="528"/>
      <c r="T8" s="529"/>
      <c r="U8" s="591">
        <f t="shared" si="2"/>
        <v>0</v>
      </c>
      <c r="V8" s="531"/>
      <c r="W8" s="532"/>
      <c r="X8" s="528"/>
      <c r="Y8" s="529"/>
      <c r="Z8" s="608">
        <f t="shared" si="3"/>
        <v>0</v>
      </c>
      <c r="AA8" s="531"/>
      <c r="AB8" s="570"/>
      <c r="AC8" s="528"/>
      <c r="AD8" s="529"/>
      <c r="AE8" s="609">
        <f t="shared" si="4"/>
        <v>0</v>
      </c>
      <c r="AF8" s="531"/>
      <c r="AG8" s="532"/>
      <c r="AH8" s="528"/>
      <c r="AI8" s="529"/>
      <c r="AJ8" s="627">
        <f t="shared" si="5"/>
        <v>0</v>
      </c>
      <c r="AK8" s="531"/>
      <c r="AL8" s="570"/>
      <c r="AM8" s="628"/>
      <c r="AN8" s="629"/>
      <c r="AO8" s="643"/>
      <c r="AP8" s="629"/>
      <c r="AQ8" s="629"/>
      <c r="AR8" s="644"/>
      <c r="AS8" s="644"/>
      <c r="AT8" s="644"/>
      <c r="AU8" s="644"/>
      <c r="AV8" s="645">
        <f t="shared" si="6"/>
        <v>0</v>
      </c>
      <c r="AW8" s="645">
        <f t="shared" si="8"/>
        <v>0</v>
      </c>
    </row>
    <row r="9" spans="1:49">
      <c r="A9" s="525"/>
      <c r="B9" s="526"/>
      <c r="C9" s="527"/>
      <c r="D9" s="528"/>
      <c r="E9" s="529"/>
      <c r="F9" s="530">
        <f t="shared" si="7"/>
        <v>0</v>
      </c>
      <c r="G9" s="531"/>
      <c r="H9" s="532"/>
      <c r="I9" s="528"/>
      <c r="J9" s="529"/>
      <c r="K9" s="572">
        <f t="shared" si="0"/>
        <v>0</v>
      </c>
      <c r="L9" s="531"/>
      <c r="M9" s="570"/>
      <c r="N9" s="528"/>
      <c r="O9" s="529"/>
      <c r="P9" s="571">
        <f t="shared" si="1"/>
        <v>0</v>
      </c>
      <c r="Q9" s="531"/>
      <c r="R9" s="570"/>
      <c r="S9" s="528"/>
      <c r="T9" s="529"/>
      <c r="U9" s="591">
        <f t="shared" si="2"/>
        <v>0</v>
      </c>
      <c r="V9" s="531"/>
      <c r="W9" s="532"/>
      <c r="X9" s="528"/>
      <c r="Y9" s="529"/>
      <c r="Z9" s="608">
        <f t="shared" si="3"/>
        <v>0</v>
      </c>
      <c r="AA9" s="531"/>
      <c r="AB9" s="570"/>
      <c r="AC9" s="528"/>
      <c r="AD9" s="529"/>
      <c r="AE9" s="609">
        <f t="shared" si="4"/>
        <v>0</v>
      </c>
      <c r="AF9" s="531"/>
      <c r="AG9" s="532"/>
      <c r="AH9" s="528"/>
      <c r="AI9" s="529"/>
      <c r="AJ9" s="627">
        <f t="shared" si="5"/>
        <v>0</v>
      </c>
      <c r="AK9" s="531"/>
      <c r="AL9" s="570"/>
      <c r="AM9" s="628"/>
      <c r="AN9" s="629"/>
      <c r="AO9" s="643"/>
      <c r="AP9" s="629"/>
      <c r="AQ9" s="629"/>
      <c r="AR9" s="646"/>
      <c r="AS9" s="647"/>
      <c r="AT9" s="647"/>
      <c r="AU9" s="647"/>
      <c r="AV9" s="645">
        <f t="shared" si="6"/>
        <v>0</v>
      </c>
      <c r="AW9" s="645">
        <f t="shared" si="8"/>
        <v>0</v>
      </c>
    </row>
    <row r="10" ht="15.75" spans="1:49">
      <c r="A10" s="533"/>
      <c r="B10" s="534"/>
      <c r="C10" s="542"/>
      <c r="D10" s="528"/>
      <c r="E10" s="529"/>
      <c r="F10" s="536">
        <f t="shared" si="7"/>
        <v>0</v>
      </c>
      <c r="G10" s="537"/>
      <c r="H10" s="538"/>
      <c r="I10" s="528"/>
      <c r="J10" s="529"/>
      <c r="K10" s="573">
        <f t="shared" si="0"/>
        <v>0</v>
      </c>
      <c r="L10" s="537"/>
      <c r="M10" s="574"/>
      <c r="N10" s="528"/>
      <c r="O10" s="529"/>
      <c r="P10" s="575">
        <f t="shared" si="1"/>
        <v>0</v>
      </c>
      <c r="Q10" s="537"/>
      <c r="R10" s="574"/>
      <c r="S10" s="528"/>
      <c r="T10" s="529"/>
      <c r="U10" s="592">
        <f t="shared" si="2"/>
        <v>0</v>
      </c>
      <c r="V10" s="537"/>
      <c r="W10" s="538"/>
      <c r="X10" s="528"/>
      <c r="Y10" s="529"/>
      <c r="Z10" s="610">
        <f t="shared" si="3"/>
        <v>0</v>
      </c>
      <c r="AA10" s="537"/>
      <c r="AB10" s="574"/>
      <c r="AC10" s="528"/>
      <c r="AD10" s="529"/>
      <c r="AE10" s="611">
        <f t="shared" si="4"/>
        <v>0</v>
      </c>
      <c r="AF10" s="537"/>
      <c r="AG10" s="538"/>
      <c r="AH10" s="528"/>
      <c r="AI10" s="529"/>
      <c r="AJ10" s="630">
        <f t="shared" si="5"/>
        <v>0</v>
      </c>
      <c r="AK10" s="537"/>
      <c r="AL10" s="574"/>
      <c r="AM10" s="631"/>
      <c r="AN10" s="632"/>
      <c r="AO10" s="648"/>
      <c r="AP10" s="632"/>
      <c r="AQ10" s="632"/>
      <c r="AR10" s="649"/>
      <c r="AS10" s="650"/>
      <c r="AT10" s="650"/>
      <c r="AU10" s="650"/>
      <c r="AV10" s="651">
        <f t="shared" si="6"/>
        <v>0</v>
      </c>
      <c r="AW10" s="651">
        <f t="shared" si="8"/>
        <v>0</v>
      </c>
    </row>
    <row r="11" ht="15.75" spans="1:49">
      <c r="A11" s="543" t="str">
        <f>'IA-SI  TANKER'!B6</f>
        <v>Bagheera</v>
      </c>
      <c r="B11" s="544" t="s">
        <v>25</v>
      </c>
      <c r="C11" s="519" t="s">
        <v>36</v>
      </c>
      <c r="D11" s="520" t="s">
        <v>240</v>
      </c>
      <c r="E11" s="521" t="s">
        <v>240</v>
      </c>
      <c r="F11" s="522">
        <f t="shared" ref="F11:F16" si="9">G11+H11</f>
        <v>5</v>
      </c>
      <c r="G11" s="523">
        <v>0</v>
      </c>
      <c r="H11" s="524">
        <v>5</v>
      </c>
      <c r="I11" s="520" t="s">
        <v>240</v>
      </c>
      <c r="J11" s="521" t="s">
        <v>240</v>
      </c>
      <c r="K11" s="566">
        <f t="shared" ref="K11:K12" si="10">L11+M11</f>
        <v>5</v>
      </c>
      <c r="L11" s="523">
        <v>0</v>
      </c>
      <c r="M11" s="567">
        <v>5</v>
      </c>
      <c r="N11" s="520" t="s">
        <v>240</v>
      </c>
      <c r="O11" s="521">
        <v>45413</v>
      </c>
      <c r="P11" s="568">
        <f t="shared" ref="P11:P18" si="11">Q11+R11</f>
        <v>3</v>
      </c>
      <c r="Q11" s="587">
        <v>0</v>
      </c>
      <c r="R11" s="588">
        <v>3</v>
      </c>
      <c r="S11" s="520" t="s">
        <v>240</v>
      </c>
      <c r="T11" s="521" t="s">
        <v>240</v>
      </c>
      <c r="U11" s="589">
        <f t="shared" ref="U11:U18" si="12">V11+W11</f>
        <v>2</v>
      </c>
      <c r="V11" s="523">
        <v>0</v>
      </c>
      <c r="W11" s="524">
        <v>2</v>
      </c>
      <c r="X11" s="520" t="s">
        <v>240</v>
      </c>
      <c r="Y11" s="521" t="s">
        <v>240</v>
      </c>
      <c r="Z11" s="612">
        <f t="shared" si="3"/>
        <v>4</v>
      </c>
      <c r="AA11" s="523">
        <v>0</v>
      </c>
      <c r="AB11" s="567">
        <v>4</v>
      </c>
      <c r="AC11" s="520" t="s">
        <v>240</v>
      </c>
      <c r="AD11" s="521" t="s">
        <v>240</v>
      </c>
      <c r="AE11" s="607">
        <f t="shared" ref="AE11:AE18" si="13">AF11+AG11</f>
        <v>0</v>
      </c>
      <c r="AF11" s="523">
        <v>0</v>
      </c>
      <c r="AG11" s="524">
        <v>0</v>
      </c>
      <c r="AH11" s="520" t="s">
        <v>240</v>
      </c>
      <c r="AI11" s="521" t="s">
        <v>240</v>
      </c>
      <c r="AJ11" s="624">
        <f t="shared" ref="AJ11:AJ18" si="14">AK11+AL11</f>
        <v>2</v>
      </c>
      <c r="AK11" s="523">
        <v>0</v>
      </c>
      <c r="AL11" s="567">
        <v>2</v>
      </c>
      <c r="AM11" s="625" t="s">
        <v>240</v>
      </c>
      <c r="AN11" s="626"/>
      <c r="AO11" s="639"/>
      <c r="AP11" s="626" t="s">
        <v>241</v>
      </c>
      <c r="AQ11" s="626" t="s">
        <v>242</v>
      </c>
      <c r="AR11" s="640">
        <v>45399</v>
      </c>
      <c r="AS11" s="640">
        <v>45399</v>
      </c>
      <c r="AT11" s="641">
        <v>45413</v>
      </c>
      <c r="AU11" s="641">
        <v>45415</v>
      </c>
      <c r="AV11" s="642">
        <f t="shared" ref="AV11:AV18" si="15">AU11-AR11</f>
        <v>16</v>
      </c>
      <c r="AW11" s="642">
        <f t="shared" ref="AW11:AW18" si="16">AT11-AS11</f>
        <v>14</v>
      </c>
    </row>
    <row r="12" spans="1:49">
      <c r="A12" s="545"/>
      <c r="B12" s="526"/>
      <c r="C12" s="527"/>
      <c r="D12" s="528"/>
      <c r="E12" s="529"/>
      <c r="F12" s="530">
        <f t="shared" si="9"/>
        <v>0</v>
      </c>
      <c r="G12" s="531"/>
      <c r="H12" s="532"/>
      <c r="I12" s="528"/>
      <c r="J12" s="529"/>
      <c r="K12" s="569">
        <f t="shared" si="10"/>
        <v>0</v>
      </c>
      <c r="L12" s="531"/>
      <c r="M12" s="570"/>
      <c r="N12" s="528"/>
      <c r="O12" s="529"/>
      <c r="P12" s="571">
        <f t="shared" si="11"/>
        <v>0</v>
      </c>
      <c r="Q12" s="531"/>
      <c r="R12" s="570"/>
      <c r="S12" s="528"/>
      <c r="T12" s="529"/>
      <c r="U12" s="591">
        <f t="shared" si="12"/>
        <v>0</v>
      </c>
      <c r="V12" s="531"/>
      <c r="W12" s="532"/>
      <c r="X12" s="528"/>
      <c r="Y12" s="529"/>
      <c r="Z12" s="608">
        <f t="shared" ref="Z12:Z19" si="17">AA12+AB12</f>
        <v>0</v>
      </c>
      <c r="AA12" s="531"/>
      <c r="AB12" s="570"/>
      <c r="AC12" s="528"/>
      <c r="AD12" s="529"/>
      <c r="AE12" s="609">
        <f t="shared" si="13"/>
        <v>0</v>
      </c>
      <c r="AF12" s="531"/>
      <c r="AG12" s="532"/>
      <c r="AH12" s="528"/>
      <c r="AI12" s="529"/>
      <c r="AJ12" s="627">
        <f t="shared" si="14"/>
        <v>0</v>
      </c>
      <c r="AK12" s="531"/>
      <c r="AL12" s="570"/>
      <c r="AM12" s="628"/>
      <c r="AN12" s="629"/>
      <c r="AO12" s="643"/>
      <c r="AP12" s="629"/>
      <c r="AQ12" s="629"/>
      <c r="AR12" s="644"/>
      <c r="AS12" s="644"/>
      <c r="AT12" s="644"/>
      <c r="AU12" s="644"/>
      <c r="AV12" s="645">
        <f t="shared" si="15"/>
        <v>0</v>
      </c>
      <c r="AW12" s="645">
        <f t="shared" si="16"/>
        <v>0</v>
      </c>
    </row>
    <row r="13" spans="1:49">
      <c r="A13" s="545"/>
      <c r="B13" s="526"/>
      <c r="C13" s="527"/>
      <c r="D13" s="528"/>
      <c r="E13" s="529"/>
      <c r="F13" s="530">
        <f t="shared" si="9"/>
        <v>0</v>
      </c>
      <c r="G13" s="531"/>
      <c r="H13" s="532"/>
      <c r="I13" s="528"/>
      <c r="J13" s="529"/>
      <c r="K13" s="572">
        <f t="shared" ref="K13:K18" si="18">L13+M13</f>
        <v>0</v>
      </c>
      <c r="L13" s="531"/>
      <c r="M13" s="570"/>
      <c r="N13" s="528"/>
      <c r="O13" s="529"/>
      <c r="P13" s="571">
        <f t="shared" si="11"/>
        <v>0</v>
      </c>
      <c r="Q13" s="531"/>
      <c r="R13" s="570"/>
      <c r="S13" s="528"/>
      <c r="T13" s="529"/>
      <c r="U13" s="591">
        <f t="shared" si="12"/>
        <v>0</v>
      </c>
      <c r="V13" s="531"/>
      <c r="W13" s="532"/>
      <c r="X13" s="528"/>
      <c r="Y13" s="529"/>
      <c r="Z13" s="608">
        <f t="shared" si="17"/>
        <v>0</v>
      </c>
      <c r="AA13" s="531"/>
      <c r="AB13" s="570"/>
      <c r="AC13" s="528"/>
      <c r="AD13" s="529"/>
      <c r="AE13" s="609">
        <f t="shared" si="13"/>
        <v>0</v>
      </c>
      <c r="AF13" s="531"/>
      <c r="AG13" s="532"/>
      <c r="AH13" s="528"/>
      <c r="AI13" s="529"/>
      <c r="AJ13" s="627">
        <f t="shared" si="14"/>
        <v>0</v>
      </c>
      <c r="AK13" s="531"/>
      <c r="AL13" s="570"/>
      <c r="AM13" s="628"/>
      <c r="AN13" s="629"/>
      <c r="AO13" s="643"/>
      <c r="AP13" s="629"/>
      <c r="AQ13" s="629"/>
      <c r="AR13" s="646"/>
      <c r="AS13" s="647"/>
      <c r="AT13" s="647"/>
      <c r="AU13" s="647"/>
      <c r="AV13" s="645">
        <f t="shared" si="15"/>
        <v>0</v>
      </c>
      <c r="AW13" s="645">
        <f t="shared" si="16"/>
        <v>0</v>
      </c>
    </row>
    <row r="14" ht="15.75" spans="1:49">
      <c r="A14" s="546"/>
      <c r="B14" s="534"/>
      <c r="C14" s="542"/>
      <c r="D14" s="528"/>
      <c r="E14" s="529"/>
      <c r="F14" s="536">
        <f t="shared" si="9"/>
        <v>0</v>
      </c>
      <c r="G14" s="537"/>
      <c r="H14" s="538"/>
      <c r="I14" s="528"/>
      <c r="J14" s="529"/>
      <c r="K14" s="573">
        <f t="shared" si="18"/>
        <v>0</v>
      </c>
      <c r="L14" s="537"/>
      <c r="M14" s="574"/>
      <c r="N14" s="528"/>
      <c r="O14" s="529"/>
      <c r="P14" s="575">
        <f t="shared" si="11"/>
        <v>0</v>
      </c>
      <c r="Q14" s="537"/>
      <c r="R14" s="574"/>
      <c r="S14" s="528"/>
      <c r="T14" s="529"/>
      <c r="U14" s="592">
        <f t="shared" si="12"/>
        <v>0</v>
      </c>
      <c r="V14" s="537"/>
      <c r="W14" s="538"/>
      <c r="X14" s="528"/>
      <c r="Y14" s="529"/>
      <c r="Z14" s="610">
        <f t="shared" si="17"/>
        <v>0</v>
      </c>
      <c r="AA14" s="537"/>
      <c r="AB14" s="574"/>
      <c r="AC14" s="528"/>
      <c r="AD14" s="529"/>
      <c r="AE14" s="611">
        <f t="shared" si="13"/>
        <v>0</v>
      </c>
      <c r="AF14" s="537"/>
      <c r="AG14" s="538"/>
      <c r="AH14" s="528"/>
      <c r="AI14" s="529"/>
      <c r="AJ14" s="630">
        <f t="shared" si="14"/>
        <v>0</v>
      </c>
      <c r="AK14" s="537"/>
      <c r="AL14" s="574"/>
      <c r="AM14" s="631"/>
      <c r="AN14" s="632"/>
      <c r="AO14" s="648"/>
      <c r="AP14" s="632"/>
      <c r="AQ14" s="632"/>
      <c r="AR14" s="649"/>
      <c r="AS14" s="650"/>
      <c r="AT14" s="650"/>
      <c r="AU14" s="650"/>
      <c r="AV14" s="651">
        <f t="shared" si="15"/>
        <v>0</v>
      </c>
      <c r="AW14" s="651">
        <f t="shared" si="16"/>
        <v>0</v>
      </c>
    </row>
    <row r="15" ht="15.75" spans="1:49">
      <c r="A15" s="547" t="s">
        <v>129</v>
      </c>
      <c r="B15" s="544" t="s">
        <v>34</v>
      </c>
      <c r="C15" s="519" t="s">
        <v>36</v>
      </c>
      <c r="D15" s="520" t="s">
        <v>194</v>
      </c>
      <c r="E15" s="520" t="s">
        <v>194</v>
      </c>
      <c r="F15" s="522">
        <f t="shared" si="9"/>
        <v>6</v>
      </c>
      <c r="G15" s="523">
        <v>0</v>
      </c>
      <c r="H15" s="524">
        <v>6</v>
      </c>
      <c r="I15" s="520" t="s">
        <v>194</v>
      </c>
      <c r="J15" s="520" t="s">
        <v>194</v>
      </c>
      <c r="K15" s="566">
        <f t="shared" si="18"/>
        <v>6</v>
      </c>
      <c r="L15" s="523">
        <v>0</v>
      </c>
      <c r="M15" s="567">
        <v>6</v>
      </c>
      <c r="N15" s="520" t="s">
        <v>194</v>
      </c>
      <c r="O15" s="520" t="s">
        <v>194</v>
      </c>
      <c r="P15" s="568">
        <f t="shared" si="11"/>
        <v>3</v>
      </c>
      <c r="Q15" s="587">
        <v>0</v>
      </c>
      <c r="R15" s="588">
        <v>3</v>
      </c>
      <c r="S15" s="520" t="s">
        <v>194</v>
      </c>
      <c r="T15" s="520" t="s">
        <v>194</v>
      </c>
      <c r="U15" s="589">
        <f t="shared" si="12"/>
        <v>6</v>
      </c>
      <c r="V15" s="523">
        <v>0</v>
      </c>
      <c r="W15" s="524">
        <v>6</v>
      </c>
      <c r="X15" s="520" t="s">
        <v>194</v>
      </c>
      <c r="Y15" s="520" t="s">
        <v>194</v>
      </c>
      <c r="Z15" s="612">
        <f t="shared" si="17"/>
        <v>6</v>
      </c>
      <c r="AA15" s="523">
        <v>0</v>
      </c>
      <c r="AB15" s="567">
        <v>6</v>
      </c>
      <c r="AC15" s="593" t="s">
        <v>194</v>
      </c>
      <c r="AD15" s="521" t="s">
        <v>194</v>
      </c>
      <c r="AE15" s="607">
        <f t="shared" si="13"/>
        <v>0</v>
      </c>
      <c r="AF15" s="523">
        <v>0</v>
      </c>
      <c r="AG15" s="524">
        <v>0</v>
      </c>
      <c r="AH15" s="593" t="s">
        <v>194</v>
      </c>
      <c r="AI15" s="521" t="s">
        <v>194</v>
      </c>
      <c r="AJ15" s="624">
        <f t="shared" si="14"/>
        <v>3</v>
      </c>
      <c r="AK15" s="523">
        <v>0</v>
      </c>
      <c r="AL15" s="567">
        <v>3</v>
      </c>
      <c r="AM15" s="625" t="s">
        <v>194</v>
      </c>
      <c r="AN15" s="626"/>
      <c r="AO15" s="639"/>
      <c r="AP15" s="626" t="s">
        <v>243</v>
      </c>
      <c r="AQ15" s="626" t="s">
        <v>190</v>
      </c>
      <c r="AR15" s="640">
        <v>45515</v>
      </c>
      <c r="AS15" s="641">
        <v>45517</v>
      </c>
      <c r="AT15" s="641">
        <v>45526</v>
      </c>
      <c r="AU15" s="641">
        <v>45529</v>
      </c>
      <c r="AV15" s="642">
        <f t="shared" si="15"/>
        <v>14</v>
      </c>
      <c r="AW15" s="642">
        <f t="shared" si="16"/>
        <v>9</v>
      </c>
    </row>
    <row r="16" spans="1:49">
      <c r="A16" s="545"/>
      <c r="B16" s="526"/>
      <c r="C16" s="527"/>
      <c r="D16" s="528"/>
      <c r="E16" s="529"/>
      <c r="F16" s="530">
        <f t="shared" si="9"/>
        <v>0</v>
      </c>
      <c r="G16" s="531"/>
      <c r="H16" s="532"/>
      <c r="I16" s="528"/>
      <c r="J16" s="529"/>
      <c r="K16" s="569">
        <f t="shared" si="18"/>
        <v>0</v>
      </c>
      <c r="L16" s="531"/>
      <c r="M16" s="570"/>
      <c r="N16" s="528"/>
      <c r="O16" s="529"/>
      <c r="P16" s="571">
        <f t="shared" si="11"/>
        <v>0</v>
      </c>
      <c r="Q16" s="531"/>
      <c r="R16" s="570"/>
      <c r="S16" s="528"/>
      <c r="T16" s="529"/>
      <c r="U16" s="591">
        <f t="shared" si="12"/>
        <v>0</v>
      </c>
      <c r="V16" s="531"/>
      <c r="W16" s="532"/>
      <c r="X16" s="528"/>
      <c r="Y16" s="529"/>
      <c r="Z16" s="608">
        <f t="shared" si="17"/>
        <v>0</v>
      </c>
      <c r="AA16" s="531"/>
      <c r="AB16" s="570"/>
      <c r="AC16" s="528"/>
      <c r="AD16" s="529"/>
      <c r="AE16" s="609">
        <f t="shared" si="13"/>
        <v>0</v>
      </c>
      <c r="AF16" s="531"/>
      <c r="AG16" s="532"/>
      <c r="AH16" s="528"/>
      <c r="AI16" s="529"/>
      <c r="AJ16" s="627">
        <f t="shared" si="14"/>
        <v>0</v>
      </c>
      <c r="AK16" s="531"/>
      <c r="AL16" s="570"/>
      <c r="AM16" s="628"/>
      <c r="AN16" s="629"/>
      <c r="AO16" s="643"/>
      <c r="AP16" s="629"/>
      <c r="AQ16" s="629"/>
      <c r="AR16" s="644"/>
      <c r="AS16" s="644"/>
      <c r="AT16" s="644"/>
      <c r="AU16" s="644"/>
      <c r="AV16" s="645">
        <f t="shared" si="15"/>
        <v>0</v>
      </c>
      <c r="AW16" s="645">
        <f t="shared" si="16"/>
        <v>0</v>
      </c>
    </row>
    <row r="17" spans="1:49">
      <c r="A17" s="545"/>
      <c r="B17" s="526"/>
      <c r="C17" s="527"/>
      <c r="D17" s="528"/>
      <c r="E17" s="529"/>
      <c r="F17" s="530">
        <f t="shared" ref="F17:F18" si="19">G17+H17</f>
        <v>0</v>
      </c>
      <c r="G17" s="531"/>
      <c r="H17" s="532"/>
      <c r="I17" s="528"/>
      <c r="J17" s="529"/>
      <c r="K17" s="572">
        <f t="shared" si="18"/>
        <v>0</v>
      </c>
      <c r="L17" s="531"/>
      <c r="M17" s="570"/>
      <c r="N17" s="528"/>
      <c r="O17" s="529"/>
      <c r="P17" s="571">
        <f t="shared" si="11"/>
        <v>0</v>
      </c>
      <c r="Q17" s="531"/>
      <c r="R17" s="570"/>
      <c r="S17" s="528"/>
      <c r="T17" s="529"/>
      <c r="U17" s="591">
        <f t="shared" si="12"/>
        <v>0</v>
      </c>
      <c r="V17" s="531"/>
      <c r="W17" s="532"/>
      <c r="X17" s="528"/>
      <c r="Y17" s="529"/>
      <c r="Z17" s="608">
        <f t="shared" si="17"/>
        <v>0</v>
      </c>
      <c r="AA17" s="531"/>
      <c r="AB17" s="570"/>
      <c r="AC17" s="528"/>
      <c r="AD17" s="529"/>
      <c r="AE17" s="609">
        <f t="shared" si="13"/>
        <v>0</v>
      </c>
      <c r="AF17" s="531"/>
      <c r="AG17" s="532"/>
      <c r="AH17" s="528"/>
      <c r="AI17" s="529"/>
      <c r="AJ17" s="627">
        <f t="shared" si="14"/>
        <v>0</v>
      </c>
      <c r="AK17" s="531"/>
      <c r="AL17" s="570"/>
      <c r="AM17" s="628"/>
      <c r="AN17" s="629"/>
      <c r="AO17" s="643"/>
      <c r="AP17" s="629"/>
      <c r="AQ17" s="629"/>
      <c r="AR17" s="646"/>
      <c r="AS17" s="647"/>
      <c r="AT17" s="647"/>
      <c r="AU17" s="647"/>
      <c r="AV17" s="645">
        <f t="shared" si="15"/>
        <v>0</v>
      </c>
      <c r="AW17" s="645">
        <f t="shared" si="16"/>
        <v>0</v>
      </c>
    </row>
    <row r="18" ht="15.75" spans="1:49">
      <c r="A18" s="546"/>
      <c r="B18" s="534"/>
      <c r="C18" s="542"/>
      <c r="D18" s="528"/>
      <c r="E18" s="529"/>
      <c r="F18" s="536">
        <f t="shared" si="19"/>
        <v>0</v>
      </c>
      <c r="G18" s="537"/>
      <c r="H18" s="538"/>
      <c r="I18" s="528"/>
      <c r="J18" s="529"/>
      <c r="K18" s="573">
        <f t="shared" si="18"/>
        <v>0</v>
      </c>
      <c r="L18" s="537"/>
      <c r="M18" s="574"/>
      <c r="N18" s="528"/>
      <c r="O18" s="529"/>
      <c r="P18" s="575">
        <f t="shared" si="11"/>
        <v>0</v>
      </c>
      <c r="Q18" s="537"/>
      <c r="R18" s="574"/>
      <c r="S18" s="528"/>
      <c r="T18" s="529"/>
      <c r="U18" s="592">
        <f t="shared" si="12"/>
        <v>0</v>
      </c>
      <c r="V18" s="537"/>
      <c r="W18" s="538"/>
      <c r="X18" s="528"/>
      <c r="Y18" s="529"/>
      <c r="Z18" s="610">
        <f t="shared" si="17"/>
        <v>0</v>
      </c>
      <c r="AA18" s="537"/>
      <c r="AB18" s="574"/>
      <c r="AC18" s="528"/>
      <c r="AD18" s="529"/>
      <c r="AE18" s="611">
        <f t="shared" si="13"/>
        <v>0</v>
      </c>
      <c r="AF18" s="537"/>
      <c r="AG18" s="538"/>
      <c r="AH18" s="528"/>
      <c r="AI18" s="529"/>
      <c r="AJ18" s="630">
        <f t="shared" si="14"/>
        <v>0</v>
      </c>
      <c r="AK18" s="537"/>
      <c r="AL18" s="574"/>
      <c r="AM18" s="631"/>
      <c r="AN18" s="632"/>
      <c r="AO18" s="648"/>
      <c r="AP18" s="632"/>
      <c r="AQ18" s="632"/>
      <c r="AR18" s="649"/>
      <c r="AS18" s="650"/>
      <c r="AT18" s="650"/>
      <c r="AU18" s="650"/>
      <c r="AV18" s="651">
        <f t="shared" si="15"/>
        <v>0</v>
      </c>
      <c r="AW18" s="651">
        <f t="shared" si="16"/>
        <v>0</v>
      </c>
    </row>
    <row r="19" ht="18.75" customHeight="1" spans="1:49">
      <c r="A19" s="547" t="str">
        <f>'IA-SI  TANKER'!B8</f>
        <v>Bright Future</v>
      </c>
      <c r="B19" s="518" t="s">
        <v>23</v>
      </c>
      <c r="C19" s="541" t="s">
        <v>37</v>
      </c>
      <c r="D19" s="520">
        <v>45466</v>
      </c>
      <c r="E19" s="521">
        <v>45466</v>
      </c>
      <c r="F19" s="522">
        <f t="shared" si="7"/>
        <v>5</v>
      </c>
      <c r="G19" s="523">
        <v>1</v>
      </c>
      <c r="H19" s="524">
        <v>4</v>
      </c>
      <c r="I19" s="520">
        <v>45466</v>
      </c>
      <c r="J19" s="521">
        <v>45466</v>
      </c>
      <c r="K19" s="566">
        <f t="shared" si="0"/>
        <v>5</v>
      </c>
      <c r="L19" s="523">
        <v>0</v>
      </c>
      <c r="M19" s="567">
        <v>5</v>
      </c>
      <c r="N19" s="520">
        <v>45466</v>
      </c>
      <c r="O19" s="521">
        <v>45466</v>
      </c>
      <c r="P19" s="568">
        <f t="shared" si="1"/>
        <v>4</v>
      </c>
      <c r="Q19" s="587">
        <v>0</v>
      </c>
      <c r="R19" s="588">
        <v>4</v>
      </c>
      <c r="S19" s="520"/>
      <c r="T19" s="521"/>
      <c r="U19" s="589">
        <f t="shared" si="2"/>
        <v>0</v>
      </c>
      <c r="V19" s="523"/>
      <c r="W19" s="524"/>
      <c r="X19" s="593"/>
      <c r="Y19" s="521"/>
      <c r="Z19" s="612">
        <f t="shared" si="17"/>
        <v>0</v>
      </c>
      <c r="AA19" s="523"/>
      <c r="AB19" s="567"/>
      <c r="AC19" s="520">
        <v>45466</v>
      </c>
      <c r="AD19" s="521">
        <v>45466</v>
      </c>
      <c r="AE19" s="607">
        <f t="shared" si="4"/>
        <v>0</v>
      </c>
      <c r="AF19" s="523">
        <v>0</v>
      </c>
      <c r="AG19" s="524">
        <v>0</v>
      </c>
      <c r="AH19" s="593"/>
      <c r="AI19" s="521"/>
      <c r="AJ19" s="624">
        <f t="shared" si="5"/>
        <v>0</v>
      </c>
      <c r="AK19" s="523"/>
      <c r="AL19" s="567"/>
      <c r="AM19" s="625"/>
      <c r="AN19" s="626"/>
      <c r="AO19" s="639"/>
      <c r="AP19" s="626" t="s">
        <v>244</v>
      </c>
      <c r="AQ19" s="626" t="s">
        <v>245</v>
      </c>
      <c r="AR19" s="640">
        <v>45463</v>
      </c>
      <c r="AS19" s="641">
        <v>45463</v>
      </c>
      <c r="AT19" s="641">
        <v>45466</v>
      </c>
      <c r="AU19" s="641">
        <v>45466</v>
      </c>
      <c r="AV19" s="652">
        <f t="shared" si="6"/>
        <v>3</v>
      </c>
      <c r="AW19" s="652">
        <f t="shared" si="8"/>
        <v>3</v>
      </c>
    </row>
    <row r="20" spans="1:49">
      <c r="A20" s="525"/>
      <c r="B20" s="526"/>
      <c r="C20" s="527"/>
      <c r="D20" s="528"/>
      <c r="E20" s="529"/>
      <c r="F20" s="530">
        <f t="shared" si="7"/>
        <v>0</v>
      </c>
      <c r="G20" s="531"/>
      <c r="H20" s="532"/>
      <c r="I20" s="528"/>
      <c r="J20" s="529"/>
      <c r="K20" s="569">
        <f t="shared" si="0"/>
        <v>0</v>
      </c>
      <c r="L20" s="531"/>
      <c r="M20" s="570"/>
      <c r="N20" s="528"/>
      <c r="O20" s="529"/>
      <c r="P20" s="571">
        <f t="shared" si="1"/>
        <v>0</v>
      </c>
      <c r="Q20" s="531"/>
      <c r="R20" s="570"/>
      <c r="S20" s="528"/>
      <c r="T20" s="529"/>
      <c r="U20" s="591">
        <f t="shared" si="2"/>
        <v>0</v>
      </c>
      <c r="V20" s="531"/>
      <c r="W20" s="532"/>
      <c r="X20" s="528"/>
      <c r="Y20" s="529"/>
      <c r="Z20" s="608">
        <f t="shared" si="3"/>
        <v>0</v>
      </c>
      <c r="AA20" s="531"/>
      <c r="AB20" s="570"/>
      <c r="AC20" s="528"/>
      <c r="AD20" s="529"/>
      <c r="AE20" s="609">
        <f t="shared" si="4"/>
        <v>0</v>
      </c>
      <c r="AF20" s="531"/>
      <c r="AG20" s="532"/>
      <c r="AH20" s="528"/>
      <c r="AI20" s="529"/>
      <c r="AJ20" s="627">
        <f t="shared" si="5"/>
        <v>0</v>
      </c>
      <c r="AK20" s="531"/>
      <c r="AL20" s="570"/>
      <c r="AM20" s="628"/>
      <c r="AN20" s="629"/>
      <c r="AO20" s="643"/>
      <c r="AP20" s="629"/>
      <c r="AQ20" s="629"/>
      <c r="AR20" s="644"/>
      <c r="AS20" s="644"/>
      <c r="AT20" s="644"/>
      <c r="AU20" s="644"/>
      <c r="AV20" s="645">
        <f t="shared" si="6"/>
        <v>0</v>
      </c>
      <c r="AW20" s="645">
        <f t="shared" si="8"/>
        <v>0</v>
      </c>
    </row>
    <row r="21" spans="1:49">
      <c r="A21" s="525"/>
      <c r="B21" s="526"/>
      <c r="C21" s="527"/>
      <c r="D21" s="528"/>
      <c r="E21" s="529"/>
      <c r="F21" s="530">
        <f t="shared" si="7"/>
        <v>0</v>
      </c>
      <c r="G21" s="531"/>
      <c r="H21" s="532"/>
      <c r="I21" s="528"/>
      <c r="J21" s="529"/>
      <c r="K21" s="572">
        <f t="shared" si="0"/>
        <v>0</v>
      </c>
      <c r="L21" s="531"/>
      <c r="M21" s="570"/>
      <c r="N21" s="528"/>
      <c r="O21" s="529"/>
      <c r="P21" s="571">
        <f t="shared" si="1"/>
        <v>0</v>
      </c>
      <c r="Q21" s="531"/>
      <c r="R21" s="570"/>
      <c r="S21" s="528"/>
      <c r="T21" s="529"/>
      <c r="U21" s="591">
        <f t="shared" si="2"/>
        <v>0</v>
      </c>
      <c r="V21" s="531"/>
      <c r="W21" s="532"/>
      <c r="X21" s="528"/>
      <c r="Y21" s="529"/>
      <c r="Z21" s="608">
        <f t="shared" si="3"/>
        <v>0</v>
      </c>
      <c r="AA21" s="531"/>
      <c r="AB21" s="570"/>
      <c r="AC21" s="528"/>
      <c r="AD21" s="529"/>
      <c r="AE21" s="609">
        <f t="shared" si="4"/>
        <v>0</v>
      </c>
      <c r="AF21" s="531"/>
      <c r="AG21" s="532"/>
      <c r="AH21" s="528"/>
      <c r="AI21" s="529"/>
      <c r="AJ21" s="627">
        <f t="shared" si="5"/>
        <v>0</v>
      </c>
      <c r="AK21" s="531"/>
      <c r="AL21" s="570"/>
      <c r="AM21" s="628"/>
      <c r="AN21" s="629"/>
      <c r="AO21" s="643"/>
      <c r="AP21" s="629"/>
      <c r="AQ21" s="629"/>
      <c r="AR21" s="646"/>
      <c r="AS21" s="647"/>
      <c r="AT21" s="647"/>
      <c r="AU21" s="647"/>
      <c r="AV21" s="645">
        <f t="shared" si="6"/>
        <v>0</v>
      </c>
      <c r="AW21" s="645">
        <f t="shared" si="8"/>
        <v>0</v>
      </c>
    </row>
    <row r="22" ht="15.75" spans="1:49">
      <c r="A22" s="533"/>
      <c r="B22" s="534"/>
      <c r="C22" s="542"/>
      <c r="D22" s="548"/>
      <c r="E22" s="549"/>
      <c r="F22" s="536">
        <f t="shared" si="7"/>
        <v>0</v>
      </c>
      <c r="G22" s="537"/>
      <c r="H22" s="538"/>
      <c r="I22" s="528"/>
      <c r="J22" s="529"/>
      <c r="K22" s="573">
        <f t="shared" si="0"/>
        <v>0</v>
      </c>
      <c r="L22" s="537"/>
      <c r="M22" s="574"/>
      <c r="N22" s="528"/>
      <c r="O22" s="529"/>
      <c r="P22" s="575">
        <f t="shared" si="1"/>
        <v>0</v>
      </c>
      <c r="Q22" s="537"/>
      <c r="R22" s="574"/>
      <c r="S22" s="528"/>
      <c r="T22" s="529"/>
      <c r="U22" s="592">
        <f t="shared" si="2"/>
        <v>0</v>
      </c>
      <c r="V22" s="537"/>
      <c r="W22" s="538"/>
      <c r="X22" s="528"/>
      <c r="Y22" s="529"/>
      <c r="Z22" s="610">
        <f t="shared" si="3"/>
        <v>0</v>
      </c>
      <c r="AA22" s="537"/>
      <c r="AB22" s="574"/>
      <c r="AC22" s="528"/>
      <c r="AD22" s="529"/>
      <c r="AE22" s="611">
        <f t="shared" si="4"/>
        <v>0</v>
      </c>
      <c r="AF22" s="537"/>
      <c r="AG22" s="538"/>
      <c r="AH22" s="528"/>
      <c r="AI22" s="529"/>
      <c r="AJ22" s="630">
        <f t="shared" si="5"/>
        <v>0</v>
      </c>
      <c r="AK22" s="537"/>
      <c r="AL22" s="574"/>
      <c r="AM22" s="631"/>
      <c r="AN22" s="632"/>
      <c r="AO22" s="648"/>
      <c r="AP22" s="632"/>
      <c r="AQ22" s="632"/>
      <c r="AR22" s="649"/>
      <c r="AS22" s="650"/>
      <c r="AT22" s="650"/>
      <c r="AU22" s="650"/>
      <c r="AV22" s="651">
        <f t="shared" si="6"/>
        <v>0</v>
      </c>
      <c r="AW22" s="657">
        <f t="shared" si="8"/>
        <v>0</v>
      </c>
    </row>
    <row r="23" ht="15.75" spans="1:49">
      <c r="A23" s="547" t="str">
        <f>'IA-SI  TANKER'!B9</f>
        <v>Cielo di Houston</v>
      </c>
      <c r="B23" s="544" t="s">
        <v>25</v>
      </c>
      <c r="C23" s="519" t="s">
        <v>36</v>
      </c>
      <c r="D23" s="520" t="s">
        <v>246</v>
      </c>
      <c r="E23" s="521" t="s">
        <v>246</v>
      </c>
      <c r="F23" s="522">
        <f t="shared" si="7"/>
        <v>4</v>
      </c>
      <c r="G23" s="523">
        <v>0</v>
      </c>
      <c r="H23" s="524">
        <v>4</v>
      </c>
      <c r="I23" s="520" t="s">
        <v>246</v>
      </c>
      <c r="J23" s="520" t="s">
        <v>246</v>
      </c>
      <c r="K23" s="566">
        <f t="shared" si="0"/>
        <v>4</v>
      </c>
      <c r="L23" s="523">
        <v>0</v>
      </c>
      <c r="M23" s="567">
        <v>4</v>
      </c>
      <c r="N23" s="520" t="s">
        <v>246</v>
      </c>
      <c r="O23" s="520" t="s">
        <v>246</v>
      </c>
      <c r="P23" s="568">
        <f t="shared" si="1"/>
        <v>2</v>
      </c>
      <c r="Q23" s="587">
        <v>0</v>
      </c>
      <c r="R23" s="588">
        <v>2</v>
      </c>
      <c r="S23" s="520" t="s">
        <v>246</v>
      </c>
      <c r="T23" s="520" t="s">
        <v>246</v>
      </c>
      <c r="U23" s="589">
        <f t="shared" si="2"/>
        <v>1</v>
      </c>
      <c r="V23" s="523">
        <v>0</v>
      </c>
      <c r="W23" s="524">
        <v>1</v>
      </c>
      <c r="X23" s="520" t="s">
        <v>246</v>
      </c>
      <c r="Y23" s="520" t="s">
        <v>246</v>
      </c>
      <c r="Z23" s="612">
        <f t="shared" si="3"/>
        <v>2</v>
      </c>
      <c r="AA23" s="523">
        <v>0</v>
      </c>
      <c r="AB23" s="524">
        <v>2</v>
      </c>
      <c r="AC23" s="552" t="s">
        <v>246</v>
      </c>
      <c r="AD23" s="593" t="s">
        <v>246</v>
      </c>
      <c r="AE23" s="607">
        <f t="shared" si="4"/>
        <v>0</v>
      </c>
      <c r="AF23" s="523">
        <v>0</v>
      </c>
      <c r="AG23" s="524">
        <v>0</v>
      </c>
      <c r="AH23" s="552" t="s">
        <v>246</v>
      </c>
      <c r="AI23" s="593" t="s">
        <v>246</v>
      </c>
      <c r="AJ23" s="624">
        <f t="shared" si="5"/>
        <v>0</v>
      </c>
      <c r="AK23" s="523">
        <v>0</v>
      </c>
      <c r="AL23" s="567">
        <v>0</v>
      </c>
      <c r="AM23" s="625" t="s">
        <v>246</v>
      </c>
      <c r="AN23" s="626" t="s">
        <v>247</v>
      </c>
      <c r="AO23" s="639" t="s">
        <v>248</v>
      </c>
      <c r="AP23" s="626" t="s">
        <v>199</v>
      </c>
      <c r="AQ23" s="626" t="s">
        <v>199</v>
      </c>
      <c r="AR23" s="640">
        <v>45566</v>
      </c>
      <c r="AS23" s="640">
        <v>45566</v>
      </c>
      <c r="AT23" s="641">
        <v>45575</v>
      </c>
      <c r="AU23" s="641">
        <v>45575</v>
      </c>
      <c r="AV23" s="652">
        <f t="shared" si="6"/>
        <v>9</v>
      </c>
      <c r="AW23" s="642">
        <f t="shared" si="8"/>
        <v>9</v>
      </c>
    </row>
    <row r="24" spans="1:49">
      <c r="A24" s="525"/>
      <c r="B24" s="526" t="s">
        <v>30</v>
      </c>
      <c r="C24" s="527" t="s">
        <v>37</v>
      </c>
      <c r="D24" s="528">
        <v>45302</v>
      </c>
      <c r="E24" s="529">
        <v>45302</v>
      </c>
      <c r="F24" s="530">
        <f t="shared" si="7"/>
        <v>2</v>
      </c>
      <c r="G24" s="531">
        <v>0</v>
      </c>
      <c r="H24" s="532">
        <v>2</v>
      </c>
      <c r="I24" s="528">
        <v>45302</v>
      </c>
      <c r="J24" s="529">
        <v>45302</v>
      </c>
      <c r="K24" s="569">
        <f t="shared" si="0"/>
        <v>2</v>
      </c>
      <c r="L24" s="531">
        <v>0</v>
      </c>
      <c r="M24" s="570">
        <v>2</v>
      </c>
      <c r="N24" s="528"/>
      <c r="O24" s="529"/>
      <c r="P24" s="571">
        <f t="shared" si="1"/>
        <v>0</v>
      </c>
      <c r="Q24" s="531"/>
      <c r="R24" s="570"/>
      <c r="S24" s="528"/>
      <c r="T24" s="529"/>
      <c r="U24" s="591">
        <f t="shared" si="2"/>
        <v>0</v>
      </c>
      <c r="V24" s="531"/>
      <c r="W24" s="532"/>
      <c r="X24" s="528"/>
      <c r="Y24" s="529"/>
      <c r="Z24" s="608">
        <f t="shared" si="3"/>
        <v>0</v>
      </c>
      <c r="AA24" s="531"/>
      <c r="AB24" s="532"/>
      <c r="AC24" s="528">
        <v>45302</v>
      </c>
      <c r="AD24" s="529">
        <v>45302</v>
      </c>
      <c r="AE24" s="609">
        <f t="shared" si="4"/>
        <v>0</v>
      </c>
      <c r="AF24" s="531"/>
      <c r="AG24" s="532"/>
      <c r="AH24" s="528"/>
      <c r="AI24" s="529"/>
      <c r="AJ24" s="627">
        <f t="shared" si="5"/>
        <v>0</v>
      </c>
      <c r="AK24" s="531"/>
      <c r="AL24" s="570"/>
      <c r="AM24" s="628"/>
      <c r="AN24" s="629"/>
      <c r="AO24" s="643"/>
      <c r="AP24" s="629" t="s">
        <v>249</v>
      </c>
      <c r="AQ24" s="629" t="s">
        <v>249</v>
      </c>
      <c r="AR24" s="644">
        <v>45299</v>
      </c>
      <c r="AS24" s="644">
        <v>45299</v>
      </c>
      <c r="AT24" s="644">
        <v>45302</v>
      </c>
      <c r="AU24" s="644">
        <v>45302</v>
      </c>
      <c r="AV24" s="645">
        <f t="shared" si="6"/>
        <v>3</v>
      </c>
      <c r="AW24" s="645">
        <f t="shared" si="8"/>
        <v>3</v>
      </c>
    </row>
    <row r="25" spans="1:49">
      <c r="A25" s="525"/>
      <c r="B25" s="526"/>
      <c r="C25" s="527"/>
      <c r="D25" s="528"/>
      <c r="E25" s="529"/>
      <c r="F25" s="530">
        <f t="shared" si="7"/>
        <v>0</v>
      </c>
      <c r="G25" s="531"/>
      <c r="H25" s="532"/>
      <c r="I25" s="528"/>
      <c r="J25" s="529"/>
      <c r="K25" s="572">
        <f t="shared" si="0"/>
        <v>0</v>
      </c>
      <c r="L25" s="531"/>
      <c r="M25" s="570"/>
      <c r="N25" s="528"/>
      <c r="O25" s="529"/>
      <c r="P25" s="571">
        <f t="shared" si="1"/>
        <v>0</v>
      </c>
      <c r="Q25" s="531"/>
      <c r="R25" s="570"/>
      <c r="S25" s="528"/>
      <c r="T25" s="529"/>
      <c r="U25" s="591">
        <f t="shared" si="2"/>
        <v>0</v>
      </c>
      <c r="V25" s="531"/>
      <c r="W25" s="532"/>
      <c r="X25" s="528"/>
      <c r="Y25" s="529"/>
      <c r="Z25" s="608">
        <f t="shared" si="3"/>
        <v>0</v>
      </c>
      <c r="AA25" s="531"/>
      <c r="AB25" s="532"/>
      <c r="AC25" s="528"/>
      <c r="AD25" s="529"/>
      <c r="AE25" s="609">
        <f t="shared" si="4"/>
        <v>0</v>
      </c>
      <c r="AF25" s="531"/>
      <c r="AG25" s="532"/>
      <c r="AH25" s="528"/>
      <c r="AI25" s="529"/>
      <c r="AJ25" s="627">
        <f t="shared" si="5"/>
        <v>0</v>
      </c>
      <c r="AK25" s="531"/>
      <c r="AL25" s="570"/>
      <c r="AM25" s="628"/>
      <c r="AN25" s="629"/>
      <c r="AO25" s="643"/>
      <c r="AP25" s="629"/>
      <c r="AQ25" s="629"/>
      <c r="AR25" s="646"/>
      <c r="AS25" s="647"/>
      <c r="AT25" s="647"/>
      <c r="AU25" s="647"/>
      <c r="AV25" s="645">
        <f t="shared" si="6"/>
        <v>0</v>
      </c>
      <c r="AW25" s="645">
        <f t="shared" si="8"/>
        <v>0</v>
      </c>
    </row>
    <row r="26" ht="15.75" spans="1:49">
      <c r="A26" s="533"/>
      <c r="B26" s="534"/>
      <c r="C26" s="542"/>
      <c r="D26" s="528"/>
      <c r="E26" s="529"/>
      <c r="F26" s="536">
        <f t="shared" si="7"/>
        <v>0</v>
      </c>
      <c r="G26" s="537"/>
      <c r="H26" s="538"/>
      <c r="I26" s="528"/>
      <c r="J26" s="529"/>
      <c r="K26" s="573">
        <f t="shared" si="0"/>
        <v>0</v>
      </c>
      <c r="L26" s="537"/>
      <c r="M26" s="574"/>
      <c r="N26" s="548"/>
      <c r="O26" s="549"/>
      <c r="P26" s="575">
        <f t="shared" si="1"/>
        <v>0</v>
      </c>
      <c r="Q26" s="537"/>
      <c r="R26" s="574"/>
      <c r="S26" s="528"/>
      <c r="T26" s="529"/>
      <c r="U26" s="594">
        <f t="shared" si="2"/>
        <v>0</v>
      </c>
      <c r="V26" s="534"/>
      <c r="W26" s="538"/>
      <c r="X26" s="528"/>
      <c r="Y26" s="529"/>
      <c r="Z26" s="610">
        <f t="shared" si="3"/>
        <v>0</v>
      </c>
      <c r="AA26" s="537"/>
      <c r="AB26" s="538"/>
      <c r="AC26" s="528"/>
      <c r="AD26" s="529"/>
      <c r="AE26" s="611">
        <f t="shared" si="4"/>
        <v>0</v>
      </c>
      <c r="AF26" s="537"/>
      <c r="AG26" s="538"/>
      <c r="AH26" s="528"/>
      <c r="AI26" s="529"/>
      <c r="AJ26" s="630">
        <f t="shared" si="5"/>
        <v>0</v>
      </c>
      <c r="AK26" s="537"/>
      <c r="AL26" s="574"/>
      <c r="AM26" s="631"/>
      <c r="AN26" s="632"/>
      <c r="AO26" s="648"/>
      <c r="AP26" s="632"/>
      <c r="AQ26" s="632"/>
      <c r="AR26" s="649"/>
      <c r="AS26" s="650"/>
      <c r="AT26" s="650"/>
      <c r="AU26" s="650"/>
      <c r="AV26" s="651">
        <f t="shared" si="6"/>
        <v>0</v>
      </c>
      <c r="AW26" s="651">
        <f t="shared" si="8"/>
        <v>0</v>
      </c>
    </row>
    <row r="27" ht="15.75" spans="1:49">
      <c r="A27" s="550" t="str">
        <f>'IA-SI  TANKER'!B10</f>
        <v>Cielo Rosso</v>
      </c>
      <c r="B27" s="518" t="s">
        <v>25</v>
      </c>
      <c r="C27" s="519" t="s">
        <v>37</v>
      </c>
      <c r="D27" s="521" t="s">
        <v>250</v>
      </c>
      <c r="E27" s="521" t="s">
        <v>250</v>
      </c>
      <c r="F27" s="551">
        <f t="shared" si="7"/>
        <v>2</v>
      </c>
      <c r="G27" s="523">
        <v>0</v>
      </c>
      <c r="H27" s="524">
        <v>2</v>
      </c>
      <c r="I27" s="520" t="s">
        <v>250</v>
      </c>
      <c r="J27" s="521" t="s">
        <v>250</v>
      </c>
      <c r="K27" s="566">
        <f t="shared" si="0"/>
        <v>2</v>
      </c>
      <c r="L27" s="523">
        <v>0</v>
      </c>
      <c r="M27" s="567">
        <v>2</v>
      </c>
      <c r="N27" s="520"/>
      <c r="O27" s="521"/>
      <c r="P27" s="568">
        <f t="shared" si="1"/>
        <v>0</v>
      </c>
      <c r="Q27" s="587"/>
      <c r="R27" s="588"/>
      <c r="S27" s="520"/>
      <c r="T27" s="521"/>
      <c r="U27" s="589">
        <f t="shared" si="2"/>
        <v>0</v>
      </c>
      <c r="V27" s="523"/>
      <c r="W27" s="524"/>
      <c r="X27" s="528"/>
      <c r="Y27" s="529"/>
      <c r="Z27" s="612">
        <f t="shared" si="3"/>
        <v>0</v>
      </c>
      <c r="AA27" s="523"/>
      <c r="AB27" s="524"/>
      <c r="AC27" s="520" t="s">
        <v>250</v>
      </c>
      <c r="AD27" s="521" t="s">
        <v>250</v>
      </c>
      <c r="AE27" s="607">
        <f t="shared" si="4"/>
        <v>0</v>
      </c>
      <c r="AF27" s="523">
        <v>0</v>
      </c>
      <c r="AG27" s="524">
        <v>0</v>
      </c>
      <c r="AH27" s="528"/>
      <c r="AI27" s="529"/>
      <c r="AJ27" s="624">
        <f t="shared" si="5"/>
        <v>0</v>
      </c>
      <c r="AK27" s="523"/>
      <c r="AL27" s="567"/>
      <c r="AM27" s="625"/>
      <c r="AN27" s="626"/>
      <c r="AO27" s="639"/>
      <c r="AP27" s="626" t="s">
        <v>251</v>
      </c>
      <c r="AQ27" s="626" t="s">
        <v>251</v>
      </c>
      <c r="AR27" s="640">
        <v>45423</v>
      </c>
      <c r="AS27" s="641">
        <v>45423</v>
      </c>
      <c r="AT27" s="641">
        <v>45426</v>
      </c>
      <c r="AU27" s="641">
        <v>45426</v>
      </c>
      <c r="AV27" s="652">
        <f t="shared" si="6"/>
        <v>3</v>
      </c>
      <c r="AW27" s="652">
        <f t="shared" si="8"/>
        <v>3</v>
      </c>
    </row>
    <row r="28" spans="1:49">
      <c r="A28" s="525"/>
      <c r="B28" s="518" t="s">
        <v>30</v>
      </c>
      <c r="C28" s="541" t="s">
        <v>37</v>
      </c>
      <c r="D28" s="528" t="s">
        <v>252</v>
      </c>
      <c r="E28" s="529" t="s">
        <v>253</v>
      </c>
      <c r="F28" s="522">
        <f t="shared" si="7"/>
        <v>3</v>
      </c>
      <c r="G28" s="531">
        <v>0</v>
      </c>
      <c r="H28" s="532">
        <v>3</v>
      </c>
      <c r="I28" s="528" t="s">
        <v>253</v>
      </c>
      <c r="J28" s="529" t="s">
        <v>253</v>
      </c>
      <c r="K28" s="569">
        <f t="shared" si="0"/>
        <v>4</v>
      </c>
      <c r="L28" s="531">
        <v>0</v>
      </c>
      <c r="M28" s="570">
        <v>4</v>
      </c>
      <c r="N28" s="528" t="s">
        <v>252</v>
      </c>
      <c r="O28" s="529" t="s">
        <v>252</v>
      </c>
      <c r="P28" s="571">
        <f t="shared" si="1"/>
        <v>1</v>
      </c>
      <c r="Q28" s="531">
        <v>0</v>
      </c>
      <c r="R28" s="570">
        <v>1</v>
      </c>
      <c r="S28" s="528"/>
      <c r="T28" s="529"/>
      <c r="U28" s="591">
        <f t="shared" si="2"/>
        <v>0</v>
      </c>
      <c r="V28" s="531"/>
      <c r="W28" s="532"/>
      <c r="X28" s="528" t="s">
        <v>252</v>
      </c>
      <c r="Y28" s="529" t="s">
        <v>252</v>
      </c>
      <c r="Z28" s="608">
        <f t="shared" si="3"/>
        <v>0</v>
      </c>
      <c r="AA28" s="531">
        <v>0</v>
      </c>
      <c r="AB28" s="532">
        <v>0</v>
      </c>
      <c r="AC28" s="528" t="s">
        <v>253</v>
      </c>
      <c r="AD28" s="529" t="s">
        <v>253</v>
      </c>
      <c r="AE28" s="609">
        <f t="shared" si="4"/>
        <v>0</v>
      </c>
      <c r="AF28" s="531">
        <v>0</v>
      </c>
      <c r="AG28" s="532">
        <v>0</v>
      </c>
      <c r="AH28" s="528" t="s">
        <v>252</v>
      </c>
      <c r="AI28" s="529" t="s">
        <v>252</v>
      </c>
      <c r="AJ28" s="627">
        <f t="shared" si="5"/>
        <v>2</v>
      </c>
      <c r="AK28" s="531">
        <v>0</v>
      </c>
      <c r="AL28" s="570">
        <v>2</v>
      </c>
      <c r="AM28" s="628"/>
      <c r="AN28" s="629"/>
      <c r="AO28" s="643"/>
      <c r="AP28" s="629" t="s">
        <v>254</v>
      </c>
      <c r="AQ28" s="629" t="s">
        <v>254</v>
      </c>
      <c r="AR28" s="644">
        <v>45625</v>
      </c>
      <c r="AS28" s="644">
        <v>45627</v>
      </c>
      <c r="AT28" s="644">
        <v>45630</v>
      </c>
      <c r="AU28" s="644">
        <v>45631</v>
      </c>
      <c r="AV28" s="645">
        <f t="shared" si="6"/>
        <v>6</v>
      </c>
      <c r="AW28" s="645">
        <f t="shared" si="8"/>
        <v>3</v>
      </c>
    </row>
    <row r="29" spans="1:49">
      <c r="A29" s="525"/>
      <c r="B29" s="526"/>
      <c r="C29" s="527"/>
      <c r="D29" s="528"/>
      <c r="E29" s="529"/>
      <c r="F29" s="530">
        <f t="shared" si="7"/>
        <v>0</v>
      </c>
      <c r="G29" s="531"/>
      <c r="H29" s="532"/>
      <c r="I29" s="528"/>
      <c r="J29" s="529"/>
      <c r="K29" s="572">
        <f t="shared" si="0"/>
        <v>0</v>
      </c>
      <c r="L29" s="531"/>
      <c r="M29" s="570"/>
      <c r="N29" s="528"/>
      <c r="O29" s="529"/>
      <c r="P29" s="571">
        <f t="shared" si="1"/>
        <v>0</v>
      </c>
      <c r="Q29" s="531"/>
      <c r="R29" s="570"/>
      <c r="S29" s="528"/>
      <c r="T29" s="529"/>
      <c r="U29" s="591">
        <f t="shared" si="2"/>
        <v>0</v>
      </c>
      <c r="V29" s="531"/>
      <c r="W29" s="532"/>
      <c r="X29" s="528"/>
      <c r="Y29" s="529"/>
      <c r="Z29" s="608">
        <f t="shared" si="3"/>
        <v>0</v>
      </c>
      <c r="AA29" s="531"/>
      <c r="AB29" s="532"/>
      <c r="AC29" s="528"/>
      <c r="AD29" s="529"/>
      <c r="AE29" s="609">
        <f t="shared" si="4"/>
        <v>0</v>
      </c>
      <c r="AF29" s="531"/>
      <c r="AG29" s="532"/>
      <c r="AH29" s="528"/>
      <c r="AI29" s="529"/>
      <c r="AJ29" s="627">
        <f t="shared" si="5"/>
        <v>0</v>
      </c>
      <c r="AK29" s="531"/>
      <c r="AL29" s="570"/>
      <c r="AM29" s="628"/>
      <c r="AN29" s="629"/>
      <c r="AO29" s="643"/>
      <c r="AP29" s="629"/>
      <c r="AQ29" s="629"/>
      <c r="AR29" s="646"/>
      <c r="AS29" s="647"/>
      <c r="AT29" s="647"/>
      <c r="AU29" s="647"/>
      <c r="AV29" s="645">
        <f t="shared" si="6"/>
        <v>0</v>
      </c>
      <c r="AW29" s="645">
        <f t="shared" si="8"/>
        <v>0</v>
      </c>
    </row>
    <row r="30" ht="15.75" spans="1:49">
      <c r="A30" s="533"/>
      <c r="B30" s="534"/>
      <c r="C30" s="542"/>
      <c r="D30" s="528"/>
      <c r="E30" s="529"/>
      <c r="F30" s="536">
        <f t="shared" si="7"/>
        <v>0</v>
      </c>
      <c r="G30" s="537"/>
      <c r="H30" s="538"/>
      <c r="I30" s="528"/>
      <c r="J30" s="529"/>
      <c r="K30" s="573">
        <f t="shared" si="0"/>
        <v>0</v>
      </c>
      <c r="L30" s="537"/>
      <c r="M30" s="574"/>
      <c r="N30" s="528"/>
      <c r="O30" s="529"/>
      <c r="P30" s="575">
        <f t="shared" si="1"/>
        <v>0</v>
      </c>
      <c r="Q30" s="537"/>
      <c r="R30" s="574"/>
      <c r="S30" s="528"/>
      <c r="T30" s="529"/>
      <c r="U30" s="592">
        <f t="shared" si="2"/>
        <v>0</v>
      </c>
      <c r="V30" s="537"/>
      <c r="W30" s="538"/>
      <c r="X30" s="528"/>
      <c r="Y30" s="529"/>
      <c r="Z30" s="610">
        <f t="shared" si="3"/>
        <v>0</v>
      </c>
      <c r="AA30" s="537"/>
      <c r="AB30" s="538"/>
      <c r="AC30" s="528"/>
      <c r="AD30" s="529"/>
      <c r="AE30" s="611">
        <f t="shared" si="4"/>
        <v>0</v>
      </c>
      <c r="AF30" s="537"/>
      <c r="AG30" s="538"/>
      <c r="AH30" s="528"/>
      <c r="AI30" s="529"/>
      <c r="AJ30" s="630">
        <f t="shared" si="5"/>
        <v>0</v>
      </c>
      <c r="AK30" s="537"/>
      <c r="AL30" s="574"/>
      <c r="AM30" s="631"/>
      <c r="AN30" s="632"/>
      <c r="AO30" s="648"/>
      <c r="AP30" s="632"/>
      <c r="AQ30" s="632"/>
      <c r="AR30" s="649"/>
      <c r="AS30" s="650"/>
      <c r="AT30" s="650"/>
      <c r="AU30" s="650"/>
      <c r="AV30" s="651">
        <f t="shared" si="6"/>
        <v>0</v>
      </c>
      <c r="AW30" s="657">
        <f t="shared" si="8"/>
        <v>0</v>
      </c>
    </row>
    <row r="31" ht="15.75" spans="1:49">
      <c r="A31" s="550" t="str">
        <f>'IA-SI  TANKER'!B11</f>
        <v>Clearocean Maria</v>
      </c>
      <c r="B31" s="518" t="s">
        <v>27</v>
      </c>
      <c r="C31" s="519" t="s">
        <v>37</v>
      </c>
      <c r="D31" s="552" t="s">
        <v>255</v>
      </c>
      <c r="E31" s="521" t="s">
        <v>255</v>
      </c>
      <c r="F31" s="522">
        <f t="shared" si="7"/>
        <v>6</v>
      </c>
      <c r="G31" s="523">
        <v>0</v>
      </c>
      <c r="H31" s="524">
        <v>6</v>
      </c>
      <c r="I31" s="552" t="s">
        <v>255</v>
      </c>
      <c r="J31" s="521" t="s">
        <v>255</v>
      </c>
      <c r="K31" s="566">
        <f t="shared" si="0"/>
        <v>6</v>
      </c>
      <c r="L31" s="523">
        <v>0</v>
      </c>
      <c r="M31" s="567">
        <v>6</v>
      </c>
      <c r="N31" s="552" t="s">
        <v>255</v>
      </c>
      <c r="O31" s="521" t="s">
        <v>255</v>
      </c>
      <c r="P31" s="568">
        <f t="shared" si="1"/>
        <v>3</v>
      </c>
      <c r="Q31" s="587">
        <v>0</v>
      </c>
      <c r="R31" s="588">
        <v>3</v>
      </c>
      <c r="S31" s="552"/>
      <c r="T31" s="521"/>
      <c r="U31" s="589">
        <f t="shared" si="2"/>
        <v>0</v>
      </c>
      <c r="V31" s="523"/>
      <c r="W31" s="524"/>
      <c r="X31" s="595"/>
      <c r="Y31" s="521"/>
      <c r="Z31" s="612">
        <f t="shared" si="3"/>
        <v>0</v>
      </c>
      <c r="AA31" s="523"/>
      <c r="AB31" s="524"/>
      <c r="AC31" s="552" t="s">
        <v>255</v>
      </c>
      <c r="AD31" s="521" t="s">
        <v>255</v>
      </c>
      <c r="AE31" s="607">
        <f t="shared" si="4"/>
        <v>0</v>
      </c>
      <c r="AF31" s="523">
        <v>0</v>
      </c>
      <c r="AG31" s="524">
        <v>0</v>
      </c>
      <c r="AH31" s="595"/>
      <c r="AI31" s="521"/>
      <c r="AJ31" s="624">
        <f t="shared" ref="AJ31:AJ34" si="20">AK31+AL31</f>
        <v>0</v>
      </c>
      <c r="AK31" s="523"/>
      <c r="AL31" s="567"/>
      <c r="AM31" s="625"/>
      <c r="AN31" s="626"/>
      <c r="AO31" s="639"/>
      <c r="AP31" s="626" t="s">
        <v>199</v>
      </c>
      <c r="AQ31" s="626" t="s">
        <v>199</v>
      </c>
      <c r="AR31" s="640">
        <v>45552</v>
      </c>
      <c r="AS31" s="640">
        <v>45552</v>
      </c>
      <c r="AT31" s="640">
        <v>45555</v>
      </c>
      <c r="AU31" s="640">
        <v>45552</v>
      </c>
      <c r="AV31" s="652">
        <f t="shared" si="6"/>
        <v>0</v>
      </c>
      <c r="AW31" s="642">
        <f t="shared" si="8"/>
        <v>3</v>
      </c>
    </row>
    <row r="32" spans="1:49">
      <c r="A32" s="525"/>
      <c r="B32" s="526"/>
      <c r="C32" s="527"/>
      <c r="D32" s="528"/>
      <c r="E32" s="529"/>
      <c r="F32" s="530">
        <f t="shared" ref="F32" si="21">G32+H32</f>
        <v>0</v>
      </c>
      <c r="G32" s="531"/>
      <c r="H32" s="532"/>
      <c r="I32" s="528"/>
      <c r="J32" s="529"/>
      <c r="K32" s="569">
        <f t="shared" ref="K32" si="22">L32+M32</f>
        <v>0</v>
      </c>
      <c r="L32" s="531"/>
      <c r="M32" s="570"/>
      <c r="N32" s="528"/>
      <c r="O32" s="529"/>
      <c r="P32" s="571">
        <f t="shared" si="1"/>
        <v>0</v>
      </c>
      <c r="Q32" s="531"/>
      <c r="R32" s="570"/>
      <c r="S32" s="528"/>
      <c r="T32" s="529"/>
      <c r="U32" s="591">
        <f t="shared" si="2"/>
        <v>0</v>
      </c>
      <c r="V32" s="531"/>
      <c r="W32" s="532"/>
      <c r="X32" s="528"/>
      <c r="Y32" s="529"/>
      <c r="Z32" s="608">
        <f t="shared" si="3"/>
        <v>0</v>
      </c>
      <c r="AA32" s="531"/>
      <c r="AB32" s="532"/>
      <c r="AC32" s="528"/>
      <c r="AD32" s="529"/>
      <c r="AE32" s="609">
        <f t="shared" ref="AE32" si="23">AF32+AG32</f>
        <v>0</v>
      </c>
      <c r="AF32" s="531"/>
      <c r="AG32" s="532"/>
      <c r="AH32" s="528"/>
      <c r="AI32" s="529"/>
      <c r="AJ32" s="627">
        <f t="shared" si="20"/>
        <v>0</v>
      </c>
      <c r="AK32" s="531"/>
      <c r="AL32" s="570"/>
      <c r="AM32" s="628"/>
      <c r="AN32" s="629"/>
      <c r="AO32" s="643"/>
      <c r="AP32" s="629"/>
      <c r="AQ32" s="629"/>
      <c r="AR32" s="644"/>
      <c r="AS32" s="644"/>
      <c r="AT32" s="644"/>
      <c r="AU32" s="644"/>
      <c r="AV32" s="645">
        <f t="shared" si="6"/>
        <v>0</v>
      </c>
      <c r="AW32" s="645">
        <f t="shared" si="8"/>
        <v>0</v>
      </c>
    </row>
    <row r="33" spans="1:49">
      <c r="A33" s="525"/>
      <c r="B33" s="526"/>
      <c r="C33" s="527"/>
      <c r="D33" s="528"/>
      <c r="E33" s="529"/>
      <c r="F33" s="530">
        <f t="shared" si="7"/>
        <v>0</v>
      </c>
      <c r="G33" s="531"/>
      <c r="H33" s="532"/>
      <c r="I33" s="528"/>
      <c r="J33" s="529"/>
      <c r="K33" s="572">
        <f t="shared" si="0"/>
        <v>0</v>
      </c>
      <c r="L33" s="531"/>
      <c r="M33" s="570"/>
      <c r="N33" s="528"/>
      <c r="O33" s="529"/>
      <c r="P33" s="571">
        <f t="shared" si="1"/>
        <v>0</v>
      </c>
      <c r="Q33" s="531"/>
      <c r="R33" s="570"/>
      <c r="S33" s="528"/>
      <c r="T33" s="529"/>
      <c r="U33" s="591">
        <f t="shared" si="2"/>
        <v>0</v>
      </c>
      <c r="V33" s="531"/>
      <c r="W33" s="532"/>
      <c r="X33" s="528"/>
      <c r="Y33" s="529"/>
      <c r="Z33" s="608">
        <f t="shared" si="3"/>
        <v>0</v>
      </c>
      <c r="AA33" s="531"/>
      <c r="AB33" s="532"/>
      <c r="AC33" s="528"/>
      <c r="AD33" s="529"/>
      <c r="AE33" s="609">
        <f t="shared" si="4"/>
        <v>0</v>
      </c>
      <c r="AF33" s="531"/>
      <c r="AG33" s="532"/>
      <c r="AH33" s="528"/>
      <c r="AI33" s="529"/>
      <c r="AJ33" s="627">
        <f t="shared" si="20"/>
        <v>0</v>
      </c>
      <c r="AK33" s="531"/>
      <c r="AL33" s="570"/>
      <c r="AM33" s="628"/>
      <c r="AN33" s="629"/>
      <c r="AO33" s="643"/>
      <c r="AP33" s="629"/>
      <c r="AQ33" s="629"/>
      <c r="AR33" s="646"/>
      <c r="AS33" s="647"/>
      <c r="AT33" s="647"/>
      <c r="AU33" s="647"/>
      <c r="AV33" s="645">
        <f t="shared" si="6"/>
        <v>0</v>
      </c>
      <c r="AW33" s="645">
        <f t="shared" si="8"/>
        <v>0</v>
      </c>
    </row>
    <row r="34" ht="15.75" spans="1:49">
      <c r="A34" s="533"/>
      <c r="B34" s="553"/>
      <c r="C34" s="542"/>
      <c r="D34" s="528"/>
      <c r="E34" s="529"/>
      <c r="F34" s="536">
        <f t="shared" si="7"/>
        <v>0</v>
      </c>
      <c r="G34" s="537"/>
      <c r="H34" s="538"/>
      <c r="I34" s="528"/>
      <c r="J34" s="529"/>
      <c r="K34" s="573">
        <f t="shared" si="0"/>
        <v>0</v>
      </c>
      <c r="L34" s="537"/>
      <c r="M34" s="574"/>
      <c r="N34" s="528"/>
      <c r="O34" s="529"/>
      <c r="P34" s="575">
        <f t="shared" si="1"/>
        <v>0</v>
      </c>
      <c r="Q34" s="537"/>
      <c r="R34" s="574"/>
      <c r="S34" s="528"/>
      <c r="T34" s="529"/>
      <c r="U34" s="592">
        <f t="shared" si="2"/>
        <v>0</v>
      </c>
      <c r="V34" s="537"/>
      <c r="W34" s="538"/>
      <c r="X34" s="528"/>
      <c r="Y34" s="529"/>
      <c r="Z34" s="610">
        <f t="shared" si="3"/>
        <v>0</v>
      </c>
      <c r="AA34" s="537"/>
      <c r="AB34" s="538"/>
      <c r="AC34" s="528"/>
      <c r="AD34" s="529"/>
      <c r="AE34" s="611">
        <f t="shared" si="4"/>
        <v>0</v>
      </c>
      <c r="AF34" s="537"/>
      <c r="AG34" s="538"/>
      <c r="AH34" s="528"/>
      <c r="AI34" s="529"/>
      <c r="AJ34" s="630">
        <f t="shared" si="20"/>
        <v>0</v>
      </c>
      <c r="AK34" s="537"/>
      <c r="AL34" s="574"/>
      <c r="AM34" s="631"/>
      <c r="AN34" s="632"/>
      <c r="AO34" s="648"/>
      <c r="AP34" s="632"/>
      <c r="AQ34" s="632"/>
      <c r="AR34" s="649"/>
      <c r="AS34" s="650"/>
      <c r="AT34" s="650"/>
      <c r="AU34" s="650"/>
      <c r="AV34" s="651">
        <f t="shared" si="6"/>
        <v>0</v>
      </c>
      <c r="AW34" s="651">
        <f t="shared" si="8"/>
        <v>0</v>
      </c>
    </row>
    <row r="35" ht="15.75" spans="1:49">
      <c r="A35" s="550" t="str">
        <f>'IA-SI  TANKER'!B12</f>
        <v>Clearocean Mary</v>
      </c>
      <c r="B35" s="544" t="s">
        <v>34</v>
      </c>
      <c r="C35" s="519" t="s">
        <v>36</v>
      </c>
      <c r="D35" s="520" t="s">
        <v>256</v>
      </c>
      <c r="E35" s="521" t="s">
        <v>256</v>
      </c>
      <c r="F35" s="522">
        <f t="shared" si="7"/>
        <v>4</v>
      </c>
      <c r="G35" s="523">
        <v>0</v>
      </c>
      <c r="H35" s="524">
        <v>4</v>
      </c>
      <c r="I35" s="520" t="s">
        <v>256</v>
      </c>
      <c r="J35" s="521" t="s">
        <v>256</v>
      </c>
      <c r="K35" s="566">
        <f t="shared" si="0"/>
        <v>7</v>
      </c>
      <c r="L35" s="523">
        <v>1</v>
      </c>
      <c r="M35" s="567">
        <v>6</v>
      </c>
      <c r="N35" s="520" t="s">
        <v>256</v>
      </c>
      <c r="O35" s="521" t="s">
        <v>256</v>
      </c>
      <c r="P35" s="568">
        <f t="shared" si="1"/>
        <v>7</v>
      </c>
      <c r="Q35" s="587">
        <v>0</v>
      </c>
      <c r="R35" s="588">
        <v>7</v>
      </c>
      <c r="S35" s="520" t="s">
        <v>256</v>
      </c>
      <c r="T35" s="521" t="s">
        <v>256</v>
      </c>
      <c r="U35" s="589">
        <f t="shared" si="2"/>
        <v>6</v>
      </c>
      <c r="V35" s="523">
        <v>0</v>
      </c>
      <c r="W35" s="524">
        <v>6</v>
      </c>
      <c r="X35" s="520" t="s">
        <v>256</v>
      </c>
      <c r="Y35" s="521" t="s">
        <v>256</v>
      </c>
      <c r="Z35" s="612">
        <f t="shared" si="3"/>
        <v>4</v>
      </c>
      <c r="AA35" s="523">
        <v>0</v>
      </c>
      <c r="AB35" s="524">
        <v>4</v>
      </c>
      <c r="AC35" s="520" t="s">
        <v>256</v>
      </c>
      <c r="AD35" s="521" t="s">
        <v>256</v>
      </c>
      <c r="AE35" s="607">
        <f t="shared" si="4"/>
        <v>0</v>
      </c>
      <c r="AF35" s="523">
        <v>0</v>
      </c>
      <c r="AG35" s="524">
        <v>0</v>
      </c>
      <c r="AH35" s="520" t="s">
        <v>256</v>
      </c>
      <c r="AI35" s="521" t="s">
        <v>256</v>
      </c>
      <c r="AJ35" s="624">
        <f t="shared" si="5"/>
        <v>4</v>
      </c>
      <c r="AK35" s="523">
        <v>0</v>
      </c>
      <c r="AL35" s="567">
        <v>4</v>
      </c>
      <c r="AM35" s="625" t="s">
        <v>256</v>
      </c>
      <c r="AN35" s="626"/>
      <c r="AO35" s="639"/>
      <c r="AP35" s="626" t="s">
        <v>257</v>
      </c>
      <c r="AQ35" s="626" t="s">
        <v>258</v>
      </c>
      <c r="AR35" s="640">
        <v>45610</v>
      </c>
      <c r="AS35" s="641">
        <v>45610</v>
      </c>
      <c r="AT35" s="641">
        <v>45622</v>
      </c>
      <c r="AU35" s="641">
        <v>45624</v>
      </c>
      <c r="AV35" s="653">
        <f t="shared" ref="AV35:AV79" si="24">AU35-AR35</f>
        <v>14</v>
      </c>
      <c r="AW35" s="653">
        <f t="shared" si="8"/>
        <v>12</v>
      </c>
    </row>
    <row r="36" spans="1:49">
      <c r="A36" s="525"/>
      <c r="B36" s="526"/>
      <c r="C36" s="527"/>
      <c r="D36" s="528"/>
      <c r="E36" s="529"/>
      <c r="F36" s="530">
        <f t="shared" si="7"/>
        <v>0</v>
      </c>
      <c r="G36" s="531"/>
      <c r="H36" s="532"/>
      <c r="I36" s="528"/>
      <c r="J36" s="529"/>
      <c r="K36" s="569">
        <f t="shared" si="0"/>
        <v>0</v>
      </c>
      <c r="L36" s="531"/>
      <c r="M36" s="570"/>
      <c r="N36" s="528"/>
      <c r="O36" s="529"/>
      <c r="P36" s="571">
        <f t="shared" si="1"/>
        <v>0</v>
      </c>
      <c r="Q36" s="531"/>
      <c r="R36" s="570"/>
      <c r="S36" s="528"/>
      <c r="T36" s="529"/>
      <c r="U36" s="591">
        <f t="shared" si="2"/>
        <v>0</v>
      </c>
      <c r="V36" s="531"/>
      <c r="W36" s="532"/>
      <c r="X36" s="528"/>
      <c r="Y36" s="529"/>
      <c r="Z36" s="608">
        <f t="shared" si="3"/>
        <v>0</v>
      </c>
      <c r="AA36" s="531"/>
      <c r="AB36" s="532"/>
      <c r="AC36" s="528"/>
      <c r="AD36" s="529"/>
      <c r="AE36" s="609">
        <f t="shared" si="4"/>
        <v>0</v>
      </c>
      <c r="AF36" s="531"/>
      <c r="AG36" s="532"/>
      <c r="AH36" s="528"/>
      <c r="AI36" s="529"/>
      <c r="AJ36" s="627">
        <f t="shared" si="5"/>
        <v>0</v>
      </c>
      <c r="AK36" s="531"/>
      <c r="AL36" s="570"/>
      <c r="AM36" s="628"/>
      <c r="AN36" s="629"/>
      <c r="AO36" s="643"/>
      <c r="AP36" s="629"/>
      <c r="AQ36" s="629"/>
      <c r="AR36" s="644"/>
      <c r="AS36" s="644"/>
      <c r="AT36" s="644"/>
      <c r="AU36" s="644"/>
      <c r="AV36" s="654">
        <f t="shared" si="24"/>
        <v>0</v>
      </c>
      <c r="AW36" s="654">
        <f t="shared" si="8"/>
        <v>0</v>
      </c>
    </row>
    <row r="37" spans="1:49">
      <c r="A37" s="525"/>
      <c r="B37" s="526"/>
      <c r="C37" s="527"/>
      <c r="D37" s="528"/>
      <c r="E37" s="529"/>
      <c r="F37" s="530">
        <f t="shared" si="7"/>
        <v>0</v>
      </c>
      <c r="G37" s="531"/>
      <c r="H37" s="532"/>
      <c r="I37" s="528"/>
      <c r="J37" s="529"/>
      <c r="K37" s="572">
        <f t="shared" si="0"/>
        <v>0</v>
      </c>
      <c r="L37" s="531"/>
      <c r="M37" s="570"/>
      <c r="N37" s="528"/>
      <c r="O37" s="529"/>
      <c r="P37" s="571">
        <f t="shared" si="1"/>
        <v>0</v>
      </c>
      <c r="Q37" s="531"/>
      <c r="R37" s="570"/>
      <c r="S37" s="528"/>
      <c r="T37" s="529"/>
      <c r="U37" s="591">
        <f t="shared" si="2"/>
        <v>0</v>
      </c>
      <c r="V37" s="531"/>
      <c r="W37" s="532"/>
      <c r="X37" s="528"/>
      <c r="Y37" s="529"/>
      <c r="Z37" s="608">
        <f t="shared" si="3"/>
        <v>0</v>
      </c>
      <c r="AA37" s="531"/>
      <c r="AB37" s="532"/>
      <c r="AC37" s="528"/>
      <c r="AD37" s="529"/>
      <c r="AE37" s="609">
        <f t="shared" si="4"/>
        <v>0</v>
      </c>
      <c r="AF37" s="531"/>
      <c r="AG37" s="532"/>
      <c r="AH37" s="528"/>
      <c r="AI37" s="529"/>
      <c r="AJ37" s="627">
        <f t="shared" si="5"/>
        <v>0</v>
      </c>
      <c r="AK37" s="531"/>
      <c r="AL37" s="570"/>
      <c r="AM37" s="628"/>
      <c r="AN37" s="629"/>
      <c r="AO37" s="643"/>
      <c r="AP37" s="629"/>
      <c r="AQ37" s="629"/>
      <c r="AR37" s="646"/>
      <c r="AS37" s="647"/>
      <c r="AT37" s="647"/>
      <c r="AU37" s="647"/>
      <c r="AV37" s="654">
        <f t="shared" si="24"/>
        <v>0</v>
      </c>
      <c r="AW37" s="654">
        <f t="shared" si="8"/>
        <v>0</v>
      </c>
    </row>
    <row r="38" ht="15.75" spans="1:49">
      <c r="A38" s="533"/>
      <c r="B38" s="534"/>
      <c r="C38" s="542"/>
      <c r="D38" s="528"/>
      <c r="E38" s="529"/>
      <c r="F38" s="536">
        <f t="shared" si="7"/>
        <v>0</v>
      </c>
      <c r="G38" s="537"/>
      <c r="H38" s="538"/>
      <c r="I38" s="528"/>
      <c r="J38" s="529"/>
      <c r="K38" s="573">
        <f t="shared" si="0"/>
        <v>0</v>
      </c>
      <c r="L38" s="537"/>
      <c r="M38" s="574"/>
      <c r="N38" s="528"/>
      <c r="O38" s="529"/>
      <c r="P38" s="575">
        <f t="shared" si="1"/>
        <v>0</v>
      </c>
      <c r="Q38" s="537"/>
      <c r="R38" s="574"/>
      <c r="S38" s="528"/>
      <c r="T38" s="529"/>
      <c r="U38" s="592">
        <f t="shared" si="2"/>
        <v>0</v>
      </c>
      <c r="V38" s="537"/>
      <c r="W38" s="538"/>
      <c r="X38" s="528"/>
      <c r="Y38" s="529"/>
      <c r="Z38" s="610">
        <f t="shared" si="3"/>
        <v>0</v>
      </c>
      <c r="AA38" s="537"/>
      <c r="AB38" s="538"/>
      <c r="AC38" s="528"/>
      <c r="AD38" s="529"/>
      <c r="AE38" s="611">
        <f t="shared" si="4"/>
        <v>0</v>
      </c>
      <c r="AF38" s="537"/>
      <c r="AG38" s="538"/>
      <c r="AH38" s="528"/>
      <c r="AI38" s="529"/>
      <c r="AJ38" s="630">
        <f t="shared" si="5"/>
        <v>0</v>
      </c>
      <c r="AK38" s="537"/>
      <c r="AL38" s="574"/>
      <c r="AM38" s="631"/>
      <c r="AN38" s="632"/>
      <c r="AO38" s="648"/>
      <c r="AP38" s="632"/>
      <c r="AQ38" s="632"/>
      <c r="AR38" s="649"/>
      <c r="AS38" s="650"/>
      <c r="AT38" s="650"/>
      <c r="AU38" s="650"/>
      <c r="AV38" s="655">
        <f t="shared" si="24"/>
        <v>0</v>
      </c>
      <c r="AW38" s="655">
        <f t="shared" si="8"/>
        <v>0</v>
      </c>
    </row>
    <row r="39" ht="15.75" spans="1:49">
      <c r="A39" s="550" t="str">
        <f>'IA-SI  TANKER'!B13</f>
        <v>Clearocean Mathilde</v>
      </c>
      <c r="B39" s="544" t="s">
        <v>25</v>
      </c>
      <c r="C39" s="519" t="s">
        <v>36</v>
      </c>
      <c r="D39" s="520" t="s">
        <v>259</v>
      </c>
      <c r="E39" s="521" t="s">
        <v>259</v>
      </c>
      <c r="F39" s="522">
        <f t="shared" si="7"/>
        <v>3</v>
      </c>
      <c r="G39" s="523">
        <v>0</v>
      </c>
      <c r="H39" s="524">
        <v>3</v>
      </c>
      <c r="I39" s="520" t="s">
        <v>259</v>
      </c>
      <c r="J39" s="521" t="s">
        <v>259</v>
      </c>
      <c r="K39" s="566">
        <f t="shared" si="0"/>
        <v>3</v>
      </c>
      <c r="L39" s="523">
        <v>0</v>
      </c>
      <c r="M39" s="567">
        <v>3</v>
      </c>
      <c r="N39" s="520" t="s">
        <v>259</v>
      </c>
      <c r="O39" s="521" t="s">
        <v>259</v>
      </c>
      <c r="P39" s="568">
        <f t="shared" si="1"/>
        <v>2</v>
      </c>
      <c r="Q39" s="587">
        <v>0</v>
      </c>
      <c r="R39" s="588">
        <v>2</v>
      </c>
      <c r="S39" s="520" t="s">
        <v>259</v>
      </c>
      <c r="T39" s="521" t="s">
        <v>259</v>
      </c>
      <c r="U39" s="589">
        <f t="shared" si="2"/>
        <v>2</v>
      </c>
      <c r="V39" s="523">
        <v>0</v>
      </c>
      <c r="W39" s="524">
        <v>2</v>
      </c>
      <c r="X39" s="520" t="s">
        <v>259</v>
      </c>
      <c r="Y39" s="521" t="s">
        <v>259</v>
      </c>
      <c r="Z39" s="612">
        <f t="shared" si="3"/>
        <v>2</v>
      </c>
      <c r="AA39" s="523">
        <v>0</v>
      </c>
      <c r="AB39" s="524">
        <v>2</v>
      </c>
      <c r="AC39" s="520" t="s">
        <v>259</v>
      </c>
      <c r="AD39" s="521" t="s">
        <v>259</v>
      </c>
      <c r="AE39" s="607">
        <f t="shared" si="4"/>
        <v>0</v>
      </c>
      <c r="AF39" s="523">
        <v>0</v>
      </c>
      <c r="AG39" s="524">
        <v>0</v>
      </c>
      <c r="AH39" s="520" t="s">
        <v>259</v>
      </c>
      <c r="AI39" s="521" t="s">
        <v>259</v>
      </c>
      <c r="AJ39" s="624">
        <f t="shared" si="5"/>
        <v>2</v>
      </c>
      <c r="AK39" s="523">
        <v>0</v>
      </c>
      <c r="AL39" s="567">
        <v>2</v>
      </c>
      <c r="AM39" s="625" t="s">
        <v>259</v>
      </c>
      <c r="AN39" s="626"/>
      <c r="AO39" s="639"/>
      <c r="AP39" s="626" t="s">
        <v>260</v>
      </c>
      <c r="AQ39" s="626" t="s">
        <v>261</v>
      </c>
      <c r="AR39" s="640">
        <v>45496</v>
      </c>
      <c r="AS39" s="641">
        <v>45496</v>
      </c>
      <c r="AT39" s="641">
        <v>45504</v>
      </c>
      <c r="AU39" s="641">
        <v>45507</v>
      </c>
      <c r="AV39" s="653">
        <f t="shared" si="24"/>
        <v>11</v>
      </c>
      <c r="AW39" s="658">
        <f t="shared" si="8"/>
        <v>8</v>
      </c>
    </row>
    <row r="40" spans="1:49">
      <c r="A40" s="525"/>
      <c r="B40" s="526"/>
      <c r="C40" s="527"/>
      <c r="D40" s="528"/>
      <c r="E40" s="529"/>
      <c r="F40" s="530">
        <f t="shared" si="7"/>
        <v>0</v>
      </c>
      <c r="G40" s="531"/>
      <c r="H40" s="532"/>
      <c r="I40" s="528"/>
      <c r="J40" s="529"/>
      <c r="K40" s="569">
        <f t="shared" si="0"/>
        <v>0</v>
      </c>
      <c r="L40" s="531"/>
      <c r="M40" s="570"/>
      <c r="N40" s="528"/>
      <c r="O40" s="529"/>
      <c r="P40" s="571">
        <f t="shared" si="1"/>
        <v>0</v>
      </c>
      <c r="Q40" s="531"/>
      <c r="R40" s="570"/>
      <c r="S40" s="528"/>
      <c r="T40" s="529"/>
      <c r="U40" s="591">
        <f t="shared" si="2"/>
        <v>0</v>
      </c>
      <c r="V40" s="531"/>
      <c r="W40" s="532"/>
      <c r="X40" s="528"/>
      <c r="Y40" s="529"/>
      <c r="Z40" s="608">
        <f t="shared" si="3"/>
        <v>0</v>
      </c>
      <c r="AA40" s="531"/>
      <c r="AB40" s="532"/>
      <c r="AC40" s="528"/>
      <c r="AD40" s="529"/>
      <c r="AE40" s="609">
        <f t="shared" si="4"/>
        <v>0</v>
      </c>
      <c r="AF40" s="531"/>
      <c r="AG40" s="532"/>
      <c r="AH40" s="528"/>
      <c r="AI40" s="529"/>
      <c r="AJ40" s="627">
        <f t="shared" si="5"/>
        <v>0</v>
      </c>
      <c r="AK40" s="531"/>
      <c r="AL40" s="570"/>
      <c r="AM40" s="628"/>
      <c r="AN40" s="629"/>
      <c r="AO40" s="643"/>
      <c r="AP40" s="629"/>
      <c r="AQ40" s="629"/>
      <c r="AR40" s="644"/>
      <c r="AS40" s="644"/>
      <c r="AT40" s="644"/>
      <c r="AU40" s="644"/>
      <c r="AV40" s="654">
        <f t="shared" si="24"/>
        <v>0</v>
      </c>
      <c r="AW40" s="654">
        <f t="shared" si="8"/>
        <v>0</v>
      </c>
    </row>
    <row r="41" spans="1:49">
      <c r="A41" s="525"/>
      <c r="B41" s="526"/>
      <c r="C41" s="527"/>
      <c r="D41" s="528"/>
      <c r="E41" s="529"/>
      <c r="F41" s="530">
        <f t="shared" si="7"/>
        <v>0</v>
      </c>
      <c r="G41" s="531"/>
      <c r="H41" s="532"/>
      <c r="I41" s="528"/>
      <c r="J41" s="529"/>
      <c r="K41" s="572">
        <f t="shared" si="0"/>
        <v>0</v>
      </c>
      <c r="L41" s="531"/>
      <c r="M41" s="570"/>
      <c r="N41" s="528"/>
      <c r="O41" s="529"/>
      <c r="P41" s="571">
        <f t="shared" si="1"/>
        <v>0</v>
      </c>
      <c r="Q41" s="531"/>
      <c r="R41" s="570"/>
      <c r="S41" s="528"/>
      <c r="T41" s="529"/>
      <c r="U41" s="591">
        <f t="shared" si="2"/>
        <v>0</v>
      </c>
      <c r="V41" s="531"/>
      <c r="W41" s="532"/>
      <c r="X41" s="528"/>
      <c r="Y41" s="529"/>
      <c r="Z41" s="608">
        <f t="shared" si="3"/>
        <v>0</v>
      </c>
      <c r="AA41" s="531"/>
      <c r="AB41" s="532"/>
      <c r="AC41" s="528"/>
      <c r="AD41" s="529"/>
      <c r="AE41" s="609">
        <f t="shared" si="4"/>
        <v>0</v>
      </c>
      <c r="AF41" s="531"/>
      <c r="AG41" s="532"/>
      <c r="AH41" s="528"/>
      <c r="AI41" s="529"/>
      <c r="AJ41" s="627">
        <f t="shared" si="5"/>
        <v>0</v>
      </c>
      <c r="AK41" s="531"/>
      <c r="AL41" s="570"/>
      <c r="AM41" s="628"/>
      <c r="AN41" s="629"/>
      <c r="AO41" s="643"/>
      <c r="AP41" s="629"/>
      <c r="AQ41" s="629"/>
      <c r="AR41" s="646"/>
      <c r="AS41" s="647"/>
      <c r="AT41" s="647"/>
      <c r="AU41" s="647"/>
      <c r="AV41" s="654">
        <f t="shared" si="24"/>
        <v>0</v>
      </c>
      <c r="AW41" s="654">
        <f t="shared" si="8"/>
        <v>0</v>
      </c>
    </row>
    <row r="42" ht="15.75" spans="1:49">
      <c r="A42" s="533"/>
      <c r="B42" s="534"/>
      <c r="C42" s="542"/>
      <c r="D42" s="528"/>
      <c r="E42" s="529"/>
      <c r="F42" s="536">
        <f t="shared" si="7"/>
        <v>0</v>
      </c>
      <c r="G42" s="537"/>
      <c r="H42" s="538"/>
      <c r="I42" s="528"/>
      <c r="J42" s="529"/>
      <c r="K42" s="573">
        <f t="shared" si="0"/>
        <v>0</v>
      </c>
      <c r="L42" s="537"/>
      <c r="M42" s="574"/>
      <c r="N42" s="528"/>
      <c r="O42" s="529"/>
      <c r="P42" s="575">
        <f t="shared" si="1"/>
        <v>0</v>
      </c>
      <c r="Q42" s="537"/>
      <c r="R42" s="574"/>
      <c r="S42" s="528"/>
      <c r="T42" s="529"/>
      <c r="U42" s="592">
        <f t="shared" si="2"/>
        <v>0</v>
      </c>
      <c r="V42" s="537"/>
      <c r="W42" s="538"/>
      <c r="X42" s="528"/>
      <c r="Y42" s="529"/>
      <c r="Z42" s="610">
        <f t="shared" si="3"/>
        <v>0</v>
      </c>
      <c r="AA42" s="537"/>
      <c r="AB42" s="538"/>
      <c r="AC42" s="528"/>
      <c r="AD42" s="529"/>
      <c r="AE42" s="611">
        <f t="shared" si="4"/>
        <v>0</v>
      </c>
      <c r="AF42" s="537"/>
      <c r="AG42" s="538"/>
      <c r="AH42" s="528"/>
      <c r="AI42" s="529"/>
      <c r="AJ42" s="630">
        <f t="shared" si="5"/>
        <v>0</v>
      </c>
      <c r="AK42" s="537"/>
      <c r="AL42" s="574"/>
      <c r="AM42" s="631"/>
      <c r="AN42" s="632"/>
      <c r="AO42" s="648"/>
      <c r="AP42" s="632"/>
      <c r="AQ42" s="632"/>
      <c r="AR42" s="649"/>
      <c r="AS42" s="650"/>
      <c r="AT42" s="650"/>
      <c r="AU42" s="650"/>
      <c r="AV42" s="655">
        <f t="shared" si="24"/>
        <v>0</v>
      </c>
      <c r="AW42" s="659">
        <f t="shared" si="8"/>
        <v>0</v>
      </c>
    </row>
    <row r="43" ht="15.75" spans="1:49">
      <c r="A43" s="554" t="str">
        <f>'IA-SI  TANKER'!B14</f>
        <v>Clearocean Music</v>
      </c>
      <c r="B43" s="518" t="s">
        <v>30</v>
      </c>
      <c r="C43" s="519" t="s">
        <v>36</v>
      </c>
      <c r="D43" s="520" t="s">
        <v>262</v>
      </c>
      <c r="E43" s="521" t="s">
        <v>262</v>
      </c>
      <c r="F43" s="522">
        <f t="shared" si="7"/>
        <v>3</v>
      </c>
      <c r="G43" s="523">
        <v>1</v>
      </c>
      <c r="H43" s="524">
        <v>2</v>
      </c>
      <c r="I43" s="520" t="s">
        <v>263</v>
      </c>
      <c r="J43" s="521" t="s">
        <v>263</v>
      </c>
      <c r="K43" s="566">
        <f t="shared" si="0"/>
        <v>5</v>
      </c>
      <c r="L43" s="523">
        <v>0</v>
      </c>
      <c r="M43" s="567">
        <v>5</v>
      </c>
      <c r="N43" s="520" t="s">
        <v>263</v>
      </c>
      <c r="O43" s="521" t="s">
        <v>263</v>
      </c>
      <c r="P43" s="568">
        <f t="shared" si="1"/>
        <v>6</v>
      </c>
      <c r="Q43" s="587">
        <v>0</v>
      </c>
      <c r="R43" s="588">
        <v>6</v>
      </c>
      <c r="S43" s="520" t="s">
        <v>263</v>
      </c>
      <c r="T43" s="521" t="s">
        <v>263</v>
      </c>
      <c r="U43" s="589">
        <f t="shared" si="2"/>
        <v>2</v>
      </c>
      <c r="V43" s="523">
        <v>0</v>
      </c>
      <c r="W43" s="524">
        <v>2</v>
      </c>
      <c r="X43" s="520" t="s">
        <v>263</v>
      </c>
      <c r="Y43" s="521" t="s">
        <v>263</v>
      </c>
      <c r="Z43" s="612">
        <f t="shared" si="3"/>
        <v>4</v>
      </c>
      <c r="AA43" s="523">
        <v>0</v>
      </c>
      <c r="AB43" s="524">
        <v>4</v>
      </c>
      <c r="AC43" s="520" t="s">
        <v>263</v>
      </c>
      <c r="AD43" s="521" t="s">
        <v>263</v>
      </c>
      <c r="AE43" s="607">
        <f t="shared" si="4"/>
        <v>0</v>
      </c>
      <c r="AF43" s="523">
        <v>0</v>
      </c>
      <c r="AG43" s="524">
        <v>0</v>
      </c>
      <c r="AH43" s="520" t="s">
        <v>263</v>
      </c>
      <c r="AI43" s="521" t="s">
        <v>263</v>
      </c>
      <c r="AJ43" s="624">
        <f t="shared" si="5"/>
        <v>1</v>
      </c>
      <c r="AK43" s="523">
        <v>0</v>
      </c>
      <c r="AL43" s="567">
        <v>1</v>
      </c>
      <c r="AM43" s="625" t="s">
        <v>263</v>
      </c>
      <c r="AN43" s="626"/>
      <c r="AO43" s="639"/>
      <c r="AP43" s="626" t="s">
        <v>264</v>
      </c>
      <c r="AQ43" s="626" t="s">
        <v>265</v>
      </c>
      <c r="AR43" s="640">
        <v>45583</v>
      </c>
      <c r="AS43" s="641">
        <v>45584</v>
      </c>
      <c r="AT43" s="641">
        <v>45590</v>
      </c>
      <c r="AU43" s="641">
        <v>45592</v>
      </c>
      <c r="AV43" s="653">
        <f t="shared" si="24"/>
        <v>9</v>
      </c>
      <c r="AW43" s="653">
        <f t="shared" si="8"/>
        <v>6</v>
      </c>
    </row>
    <row r="44" spans="1:49">
      <c r="A44" s="525"/>
      <c r="B44" s="526"/>
      <c r="C44" s="527"/>
      <c r="D44" s="528"/>
      <c r="E44" s="529"/>
      <c r="F44" s="530">
        <f t="shared" si="7"/>
        <v>0</v>
      </c>
      <c r="G44" s="531"/>
      <c r="H44" s="532"/>
      <c r="I44" s="528"/>
      <c r="J44" s="529"/>
      <c r="K44" s="569">
        <f t="shared" si="0"/>
        <v>0</v>
      </c>
      <c r="L44" s="531"/>
      <c r="M44" s="570"/>
      <c r="N44" s="528"/>
      <c r="O44" s="529"/>
      <c r="P44" s="571">
        <f t="shared" si="1"/>
        <v>0</v>
      </c>
      <c r="Q44" s="531"/>
      <c r="R44" s="570"/>
      <c r="S44" s="528"/>
      <c r="T44" s="529"/>
      <c r="U44" s="591">
        <f t="shared" si="2"/>
        <v>0</v>
      </c>
      <c r="V44" s="531"/>
      <c r="W44" s="532"/>
      <c r="X44" s="528"/>
      <c r="Y44" s="529"/>
      <c r="Z44" s="608">
        <f t="shared" si="3"/>
        <v>0</v>
      </c>
      <c r="AA44" s="531"/>
      <c r="AB44" s="532"/>
      <c r="AC44" s="528"/>
      <c r="AD44" s="529"/>
      <c r="AE44" s="609">
        <f t="shared" si="4"/>
        <v>0</v>
      </c>
      <c r="AF44" s="531"/>
      <c r="AG44" s="532"/>
      <c r="AH44" s="528"/>
      <c r="AI44" s="529"/>
      <c r="AJ44" s="627">
        <f t="shared" si="5"/>
        <v>0</v>
      </c>
      <c r="AK44" s="531"/>
      <c r="AL44" s="570"/>
      <c r="AM44" s="628"/>
      <c r="AN44" s="629"/>
      <c r="AO44" s="643"/>
      <c r="AP44" s="629"/>
      <c r="AQ44" s="629"/>
      <c r="AR44" s="644"/>
      <c r="AS44" s="644"/>
      <c r="AT44" s="644"/>
      <c r="AU44" s="644"/>
      <c r="AV44" s="654">
        <f t="shared" si="24"/>
        <v>0</v>
      </c>
      <c r="AW44" s="654">
        <f t="shared" si="8"/>
        <v>0</v>
      </c>
    </row>
    <row r="45" spans="1:49">
      <c r="A45" s="525"/>
      <c r="B45" s="526"/>
      <c r="C45" s="527"/>
      <c r="D45" s="528"/>
      <c r="E45" s="529"/>
      <c r="F45" s="530">
        <f t="shared" si="7"/>
        <v>0</v>
      </c>
      <c r="G45" s="531"/>
      <c r="H45" s="532"/>
      <c r="I45" s="528"/>
      <c r="J45" s="529"/>
      <c r="K45" s="572">
        <f t="shared" si="0"/>
        <v>0</v>
      </c>
      <c r="L45" s="531"/>
      <c r="M45" s="570"/>
      <c r="N45" s="528"/>
      <c r="O45" s="529"/>
      <c r="P45" s="571">
        <f t="shared" si="1"/>
        <v>0</v>
      </c>
      <c r="Q45" s="531"/>
      <c r="R45" s="570"/>
      <c r="S45" s="528"/>
      <c r="T45" s="529"/>
      <c r="U45" s="591">
        <f t="shared" si="2"/>
        <v>0</v>
      </c>
      <c r="V45" s="531"/>
      <c r="W45" s="532"/>
      <c r="X45" s="528"/>
      <c r="Y45" s="529"/>
      <c r="Z45" s="608">
        <f t="shared" si="3"/>
        <v>0</v>
      </c>
      <c r="AA45" s="531"/>
      <c r="AB45" s="532"/>
      <c r="AC45" s="528"/>
      <c r="AD45" s="529"/>
      <c r="AE45" s="609">
        <f t="shared" si="4"/>
        <v>0</v>
      </c>
      <c r="AF45" s="531"/>
      <c r="AG45" s="532"/>
      <c r="AH45" s="528"/>
      <c r="AI45" s="529"/>
      <c r="AJ45" s="627">
        <f t="shared" si="5"/>
        <v>0</v>
      </c>
      <c r="AK45" s="531"/>
      <c r="AL45" s="570"/>
      <c r="AM45" s="628"/>
      <c r="AN45" s="629"/>
      <c r="AO45" s="643"/>
      <c r="AP45" s="629"/>
      <c r="AQ45" s="629"/>
      <c r="AR45" s="646"/>
      <c r="AS45" s="647"/>
      <c r="AT45" s="647"/>
      <c r="AU45" s="647"/>
      <c r="AV45" s="654">
        <f t="shared" si="24"/>
        <v>0</v>
      </c>
      <c r="AW45" s="654">
        <f t="shared" si="8"/>
        <v>0</v>
      </c>
    </row>
    <row r="46" ht="15.75" spans="1:49">
      <c r="A46" s="533"/>
      <c r="B46" s="553"/>
      <c r="C46" s="542"/>
      <c r="D46" s="528"/>
      <c r="E46" s="529"/>
      <c r="F46" s="536">
        <f t="shared" si="7"/>
        <v>0</v>
      </c>
      <c r="G46" s="537"/>
      <c r="H46" s="538"/>
      <c r="I46" s="528"/>
      <c r="J46" s="529"/>
      <c r="K46" s="573">
        <f t="shared" si="0"/>
        <v>0</v>
      </c>
      <c r="L46" s="537"/>
      <c r="M46" s="574"/>
      <c r="N46" s="528"/>
      <c r="O46" s="529"/>
      <c r="P46" s="575">
        <f t="shared" si="1"/>
        <v>0</v>
      </c>
      <c r="Q46" s="537"/>
      <c r="R46" s="574"/>
      <c r="S46" s="528"/>
      <c r="T46" s="529"/>
      <c r="U46" s="592">
        <f t="shared" si="2"/>
        <v>0</v>
      </c>
      <c r="V46" s="537"/>
      <c r="W46" s="538"/>
      <c r="X46" s="528"/>
      <c r="Y46" s="529"/>
      <c r="Z46" s="610">
        <f t="shared" si="3"/>
        <v>0</v>
      </c>
      <c r="AA46" s="537"/>
      <c r="AB46" s="538"/>
      <c r="AC46" s="528"/>
      <c r="AD46" s="529"/>
      <c r="AE46" s="611">
        <f t="shared" si="4"/>
        <v>0</v>
      </c>
      <c r="AF46" s="537"/>
      <c r="AG46" s="538"/>
      <c r="AH46" s="528"/>
      <c r="AI46" s="529"/>
      <c r="AJ46" s="630">
        <f t="shared" si="5"/>
        <v>0</v>
      </c>
      <c r="AK46" s="537"/>
      <c r="AL46" s="574"/>
      <c r="AM46" s="631"/>
      <c r="AN46" s="632"/>
      <c r="AO46" s="648"/>
      <c r="AP46" s="632"/>
      <c r="AQ46" s="632"/>
      <c r="AR46" s="649"/>
      <c r="AS46" s="650"/>
      <c r="AT46" s="650"/>
      <c r="AU46" s="650"/>
      <c r="AV46" s="655">
        <f t="shared" si="24"/>
        <v>0</v>
      </c>
      <c r="AW46" s="655">
        <f t="shared" si="8"/>
        <v>0</v>
      </c>
    </row>
    <row r="47" ht="15.75" spans="1:49">
      <c r="A47" s="554" t="str">
        <f>'IA-SI  TANKER'!B15</f>
        <v>Rui Fu Xing (Glenda Melanie)</v>
      </c>
      <c r="B47" s="544" t="s">
        <v>31</v>
      </c>
      <c r="C47" s="541" t="s">
        <v>36</v>
      </c>
      <c r="D47" s="520" t="s">
        <v>266</v>
      </c>
      <c r="E47" s="521" t="s">
        <v>266</v>
      </c>
      <c r="F47" s="522">
        <f t="shared" ref="F47:F122" si="25">G47+H47</f>
        <v>4</v>
      </c>
      <c r="G47" s="523">
        <v>1</v>
      </c>
      <c r="H47" s="524">
        <v>3</v>
      </c>
      <c r="I47" s="520" t="s">
        <v>266</v>
      </c>
      <c r="J47" s="521" t="s">
        <v>266</v>
      </c>
      <c r="K47" s="566">
        <f t="shared" ref="K47:K122" si="26">L47+M47</f>
        <v>5</v>
      </c>
      <c r="L47" s="523">
        <v>0</v>
      </c>
      <c r="M47" s="567">
        <v>5</v>
      </c>
      <c r="N47" s="521" t="s">
        <v>266</v>
      </c>
      <c r="O47" s="521" t="s">
        <v>266</v>
      </c>
      <c r="P47" s="568">
        <f t="shared" ref="P47:P122" si="27">Q47+R47</f>
        <v>2</v>
      </c>
      <c r="Q47" s="587">
        <v>0</v>
      </c>
      <c r="R47" s="588">
        <v>2</v>
      </c>
      <c r="S47" s="521" t="s">
        <v>266</v>
      </c>
      <c r="T47" s="521" t="s">
        <v>266</v>
      </c>
      <c r="U47" s="589">
        <f t="shared" si="2"/>
        <v>4</v>
      </c>
      <c r="V47" s="523">
        <v>0</v>
      </c>
      <c r="W47" s="524">
        <v>4</v>
      </c>
      <c r="X47" s="521" t="s">
        <v>266</v>
      </c>
      <c r="Y47" s="521" t="s">
        <v>266</v>
      </c>
      <c r="Z47" s="612">
        <f t="shared" ref="Z47:Z122" si="28">AA47+AB47</f>
        <v>1</v>
      </c>
      <c r="AA47" s="523">
        <v>0</v>
      </c>
      <c r="AB47" s="524">
        <v>1</v>
      </c>
      <c r="AC47" s="521" t="s">
        <v>266</v>
      </c>
      <c r="AD47" s="521" t="s">
        <v>266</v>
      </c>
      <c r="AE47" s="607">
        <f t="shared" ref="AE47:AE122" si="29">AF47+AG47</f>
        <v>0</v>
      </c>
      <c r="AF47" s="523">
        <v>0</v>
      </c>
      <c r="AG47" s="524">
        <v>0</v>
      </c>
      <c r="AH47" s="521" t="s">
        <v>266</v>
      </c>
      <c r="AI47" s="521" t="s">
        <v>266</v>
      </c>
      <c r="AJ47" s="624">
        <f t="shared" ref="AJ47:AJ122" si="30">AK47+AL47</f>
        <v>2</v>
      </c>
      <c r="AK47" s="523">
        <v>0</v>
      </c>
      <c r="AL47" s="567">
        <v>2</v>
      </c>
      <c r="AM47" s="521" t="s">
        <v>266</v>
      </c>
      <c r="AN47" s="626"/>
      <c r="AO47" s="639"/>
      <c r="AP47" s="626" t="s">
        <v>189</v>
      </c>
      <c r="AQ47" s="626" t="s">
        <v>267</v>
      </c>
      <c r="AR47" s="640">
        <v>45426</v>
      </c>
      <c r="AS47" s="640">
        <v>45426</v>
      </c>
      <c r="AT47" s="641">
        <v>45438</v>
      </c>
      <c r="AU47" s="641">
        <v>45440</v>
      </c>
      <c r="AV47" s="653">
        <f t="shared" si="24"/>
        <v>14</v>
      </c>
      <c r="AW47" s="658">
        <f t="shared" ref="AW47:AW122" si="31">AT47-AS47</f>
        <v>12</v>
      </c>
    </row>
    <row r="48" spans="1:49">
      <c r="A48" s="525"/>
      <c r="B48" s="526"/>
      <c r="C48" s="527"/>
      <c r="D48" s="528"/>
      <c r="E48" s="529"/>
      <c r="F48" s="530">
        <f t="shared" si="25"/>
        <v>0</v>
      </c>
      <c r="G48" s="531"/>
      <c r="H48" s="532"/>
      <c r="I48" s="528"/>
      <c r="J48" s="529"/>
      <c r="K48" s="569">
        <f t="shared" si="26"/>
        <v>0</v>
      </c>
      <c r="L48" s="531"/>
      <c r="M48" s="570"/>
      <c r="N48" s="528"/>
      <c r="O48" s="529"/>
      <c r="P48" s="571">
        <f t="shared" si="27"/>
        <v>0</v>
      </c>
      <c r="Q48" s="531"/>
      <c r="R48" s="570"/>
      <c r="S48" s="528"/>
      <c r="T48" s="529"/>
      <c r="U48" s="591">
        <f t="shared" si="2"/>
        <v>0</v>
      </c>
      <c r="V48" s="531"/>
      <c r="W48" s="532"/>
      <c r="X48" s="528"/>
      <c r="Y48" s="529"/>
      <c r="Z48" s="608">
        <f t="shared" si="28"/>
        <v>0</v>
      </c>
      <c r="AA48" s="531"/>
      <c r="AB48" s="532"/>
      <c r="AC48" s="528"/>
      <c r="AD48" s="529"/>
      <c r="AE48" s="609">
        <f t="shared" si="29"/>
        <v>0</v>
      </c>
      <c r="AF48" s="531"/>
      <c r="AG48" s="532"/>
      <c r="AH48" s="528"/>
      <c r="AI48" s="529"/>
      <c r="AJ48" s="627">
        <f t="shared" si="30"/>
        <v>0</v>
      </c>
      <c r="AK48" s="531"/>
      <c r="AL48" s="570"/>
      <c r="AM48" s="628"/>
      <c r="AN48" s="629"/>
      <c r="AO48" s="643"/>
      <c r="AP48" s="629"/>
      <c r="AQ48" s="629"/>
      <c r="AR48" s="644"/>
      <c r="AS48" s="644"/>
      <c r="AT48" s="644"/>
      <c r="AU48" s="644"/>
      <c r="AV48" s="654">
        <f t="shared" si="24"/>
        <v>0</v>
      </c>
      <c r="AW48" s="654">
        <f t="shared" si="31"/>
        <v>0</v>
      </c>
    </row>
    <row r="49" spans="1:49">
      <c r="A49" s="525"/>
      <c r="B49" s="526"/>
      <c r="C49" s="527"/>
      <c r="D49" s="528"/>
      <c r="E49" s="529"/>
      <c r="F49" s="530">
        <f t="shared" si="25"/>
        <v>0</v>
      </c>
      <c r="G49" s="531"/>
      <c r="H49" s="532"/>
      <c r="I49" s="528"/>
      <c r="J49" s="529"/>
      <c r="K49" s="572">
        <f t="shared" si="26"/>
        <v>0</v>
      </c>
      <c r="L49" s="531"/>
      <c r="M49" s="570"/>
      <c r="N49" s="528"/>
      <c r="O49" s="529"/>
      <c r="P49" s="571">
        <f t="shared" si="27"/>
        <v>0</v>
      </c>
      <c r="Q49" s="531"/>
      <c r="R49" s="570"/>
      <c r="S49" s="528"/>
      <c r="T49" s="529"/>
      <c r="U49" s="591">
        <f t="shared" si="2"/>
        <v>0</v>
      </c>
      <c r="V49" s="531"/>
      <c r="W49" s="532"/>
      <c r="X49" s="528"/>
      <c r="Y49" s="529"/>
      <c r="Z49" s="608">
        <f t="shared" si="28"/>
        <v>0</v>
      </c>
      <c r="AA49" s="531"/>
      <c r="AB49" s="532"/>
      <c r="AC49" s="528"/>
      <c r="AD49" s="529"/>
      <c r="AE49" s="609">
        <f t="shared" si="29"/>
        <v>0</v>
      </c>
      <c r="AF49" s="531"/>
      <c r="AG49" s="532"/>
      <c r="AH49" s="528"/>
      <c r="AI49" s="529"/>
      <c r="AJ49" s="627">
        <f t="shared" si="30"/>
        <v>0</v>
      </c>
      <c r="AK49" s="531"/>
      <c r="AL49" s="570"/>
      <c r="AM49" s="628"/>
      <c r="AN49" s="629"/>
      <c r="AO49" s="643"/>
      <c r="AP49" s="629"/>
      <c r="AQ49" s="629"/>
      <c r="AR49" s="646"/>
      <c r="AS49" s="647"/>
      <c r="AT49" s="647"/>
      <c r="AU49" s="647"/>
      <c r="AV49" s="654">
        <f t="shared" si="24"/>
        <v>0</v>
      </c>
      <c r="AW49" s="654">
        <f t="shared" si="31"/>
        <v>0</v>
      </c>
    </row>
    <row r="50" ht="15.75" spans="1:49">
      <c r="A50" s="533"/>
      <c r="B50" s="553"/>
      <c r="C50" s="535"/>
      <c r="D50" s="528"/>
      <c r="E50" s="529"/>
      <c r="F50" s="536">
        <f t="shared" si="25"/>
        <v>0</v>
      </c>
      <c r="G50" s="537"/>
      <c r="H50" s="538"/>
      <c r="I50" s="528"/>
      <c r="J50" s="529"/>
      <c r="K50" s="573">
        <f t="shared" si="26"/>
        <v>0</v>
      </c>
      <c r="L50" s="537"/>
      <c r="M50" s="574"/>
      <c r="N50" s="528"/>
      <c r="O50" s="529"/>
      <c r="P50" s="575">
        <f t="shared" si="27"/>
        <v>0</v>
      </c>
      <c r="Q50" s="537"/>
      <c r="R50" s="574"/>
      <c r="S50" s="528"/>
      <c r="T50" s="529"/>
      <c r="U50" s="592">
        <f t="shared" si="2"/>
        <v>0</v>
      </c>
      <c r="V50" s="537"/>
      <c r="W50" s="538"/>
      <c r="X50" s="528"/>
      <c r="Y50" s="529"/>
      <c r="Z50" s="610">
        <f t="shared" si="28"/>
        <v>0</v>
      </c>
      <c r="AA50" s="537"/>
      <c r="AB50" s="538"/>
      <c r="AC50" s="528"/>
      <c r="AD50" s="529"/>
      <c r="AE50" s="611">
        <f t="shared" si="29"/>
        <v>0</v>
      </c>
      <c r="AF50" s="537"/>
      <c r="AG50" s="538"/>
      <c r="AH50" s="528"/>
      <c r="AI50" s="529"/>
      <c r="AJ50" s="630">
        <f t="shared" si="30"/>
        <v>0</v>
      </c>
      <c r="AK50" s="537"/>
      <c r="AL50" s="574"/>
      <c r="AM50" s="631"/>
      <c r="AN50" s="632"/>
      <c r="AO50" s="648"/>
      <c r="AP50" s="632"/>
      <c r="AQ50" s="632"/>
      <c r="AR50" s="649"/>
      <c r="AS50" s="650"/>
      <c r="AT50" s="650"/>
      <c r="AU50" s="650"/>
      <c r="AV50" s="655">
        <f t="shared" si="24"/>
        <v>0</v>
      </c>
      <c r="AW50" s="659">
        <f t="shared" si="31"/>
        <v>0</v>
      </c>
    </row>
    <row r="51" ht="15.75" spans="1:49">
      <c r="A51" s="554" t="str">
        <f>'IA-SI  TANKER'!B16</f>
        <v>Glenda Melissa</v>
      </c>
      <c r="B51" s="544" t="s">
        <v>23</v>
      </c>
      <c r="C51" s="519" t="s">
        <v>36</v>
      </c>
      <c r="D51" s="520" t="s">
        <v>268</v>
      </c>
      <c r="E51" s="521" t="s">
        <v>268</v>
      </c>
      <c r="F51" s="522">
        <f t="shared" si="25"/>
        <v>4</v>
      </c>
      <c r="G51" s="523">
        <v>0</v>
      </c>
      <c r="H51" s="524">
        <v>4</v>
      </c>
      <c r="I51" s="520" t="s">
        <v>268</v>
      </c>
      <c r="J51" s="521" t="s">
        <v>268</v>
      </c>
      <c r="K51" s="566">
        <f t="shared" si="26"/>
        <v>5</v>
      </c>
      <c r="L51" s="523">
        <v>0</v>
      </c>
      <c r="M51" s="567">
        <v>5</v>
      </c>
      <c r="N51" s="520"/>
      <c r="O51" s="521"/>
      <c r="P51" s="568">
        <f t="shared" si="27"/>
        <v>0</v>
      </c>
      <c r="Q51" s="587"/>
      <c r="R51" s="588"/>
      <c r="S51" s="520"/>
      <c r="T51" s="521"/>
      <c r="U51" s="589">
        <f t="shared" si="2"/>
        <v>0</v>
      </c>
      <c r="V51" s="523"/>
      <c r="W51" s="524"/>
      <c r="X51" s="593"/>
      <c r="Y51" s="521"/>
      <c r="Z51" s="612">
        <f t="shared" si="28"/>
        <v>0</v>
      </c>
      <c r="AA51" s="523"/>
      <c r="AB51" s="524"/>
      <c r="AC51" s="520" t="s">
        <v>268</v>
      </c>
      <c r="AD51" s="521" t="s">
        <v>268</v>
      </c>
      <c r="AE51" s="607">
        <f t="shared" si="29"/>
        <v>0</v>
      </c>
      <c r="AF51" s="523">
        <v>0</v>
      </c>
      <c r="AG51" s="524">
        <v>0</v>
      </c>
      <c r="AH51" s="593"/>
      <c r="AI51" s="521"/>
      <c r="AJ51" s="624">
        <f t="shared" si="30"/>
        <v>0</v>
      </c>
      <c r="AK51" s="523"/>
      <c r="AL51" s="567"/>
      <c r="AM51" s="625"/>
      <c r="AN51" s="626"/>
      <c r="AO51" s="639"/>
      <c r="AP51" s="626" t="s">
        <v>269</v>
      </c>
      <c r="AQ51" s="626" t="s">
        <v>270</v>
      </c>
      <c r="AR51" s="640">
        <v>45323</v>
      </c>
      <c r="AS51" s="641">
        <v>45323</v>
      </c>
      <c r="AT51" s="641">
        <v>45328</v>
      </c>
      <c r="AU51" s="641">
        <v>45331</v>
      </c>
      <c r="AV51" s="653">
        <f t="shared" si="24"/>
        <v>8</v>
      </c>
      <c r="AW51" s="653">
        <f t="shared" si="31"/>
        <v>5</v>
      </c>
    </row>
    <row r="52" spans="1:49">
      <c r="A52" s="525"/>
      <c r="B52" s="526"/>
      <c r="C52" s="527"/>
      <c r="D52" s="528"/>
      <c r="E52" s="529"/>
      <c r="F52" s="530">
        <f t="shared" si="25"/>
        <v>0</v>
      </c>
      <c r="G52" s="531"/>
      <c r="H52" s="532"/>
      <c r="I52" s="528"/>
      <c r="J52" s="529"/>
      <c r="K52" s="569">
        <f t="shared" si="26"/>
        <v>0</v>
      </c>
      <c r="L52" s="531"/>
      <c r="M52" s="570"/>
      <c r="N52" s="528"/>
      <c r="O52" s="529"/>
      <c r="P52" s="571">
        <f t="shared" si="27"/>
        <v>0</v>
      </c>
      <c r="Q52" s="531"/>
      <c r="R52" s="570"/>
      <c r="S52" s="528"/>
      <c r="T52" s="529"/>
      <c r="U52" s="591">
        <f t="shared" si="2"/>
        <v>0</v>
      </c>
      <c r="V52" s="531"/>
      <c r="W52" s="532"/>
      <c r="X52" s="528"/>
      <c r="Y52" s="529"/>
      <c r="Z52" s="608">
        <f t="shared" si="28"/>
        <v>0</v>
      </c>
      <c r="AA52" s="531"/>
      <c r="AB52" s="532"/>
      <c r="AC52" s="528"/>
      <c r="AD52" s="529"/>
      <c r="AE52" s="609">
        <f t="shared" si="29"/>
        <v>0</v>
      </c>
      <c r="AF52" s="531"/>
      <c r="AG52" s="532"/>
      <c r="AH52" s="528"/>
      <c r="AI52" s="529"/>
      <c r="AJ52" s="627">
        <f t="shared" si="30"/>
        <v>0</v>
      </c>
      <c r="AK52" s="531"/>
      <c r="AL52" s="570"/>
      <c r="AM52" s="628"/>
      <c r="AN52" s="629"/>
      <c r="AO52" s="643"/>
      <c r="AP52" s="629"/>
      <c r="AQ52" s="629"/>
      <c r="AR52" s="644"/>
      <c r="AS52" s="644"/>
      <c r="AT52" s="644"/>
      <c r="AU52" s="644"/>
      <c r="AV52" s="654">
        <f t="shared" si="24"/>
        <v>0</v>
      </c>
      <c r="AW52" s="654">
        <f t="shared" si="31"/>
        <v>0</v>
      </c>
    </row>
    <row r="53" spans="1:49">
      <c r="A53" s="525"/>
      <c r="B53" s="526"/>
      <c r="C53" s="527"/>
      <c r="D53" s="528"/>
      <c r="E53" s="529"/>
      <c r="F53" s="530">
        <f t="shared" si="25"/>
        <v>0</v>
      </c>
      <c r="G53" s="531"/>
      <c r="H53" s="532"/>
      <c r="I53" s="528"/>
      <c r="J53" s="529"/>
      <c r="K53" s="572">
        <f t="shared" si="26"/>
        <v>0</v>
      </c>
      <c r="L53" s="531"/>
      <c r="M53" s="570"/>
      <c r="N53" s="528"/>
      <c r="O53" s="529"/>
      <c r="P53" s="571">
        <f t="shared" si="27"/>
        <v>0</v>
      </c>
      <c r="Q53" s="531"/>
      <c r="R53" s="570"/>
      <c r="S53" s="528"/>
      <c r="T53" s="529"/>
      <c r="U53" s="591">
        <f t="shared" si="2"/>
        <v>0</v>
      </c>
      <c r="V53" s="531"/>
      <c r="W53" s="532"/>
      <c r="X53" s="528"/>
      <c r="Y53" s="529"/>
      <c r="Z53" s="608">
        <f t="shared" si="28"/>
        <v>0</v>
      </c>
      <c r="AA53" s="531"/>
      <c r="AB53" s="532"/>
      <c r="AC53" s="528"/>
      <c r="AD53" s="529"/>
      <c r="AE53" s="609">
        <f t="shared" si="29"/>
        <v>0</v>
      </c>
      <c r="AF53" s="531"/>
      <c r="AG53" s="532"/>
      <c r="AH53" s="528"/>
      <c r="AI53" s="529"/>
      <c r="AJ53" s="627">
        <f t="shared" si="30"/>
        <v>0</v>
      </c>
      <c r="AK53" s="531"/>
      <c r="AL53" s="570"/>
      <c r="AM53" s="628"/>
      <c r="AN53" s="629"/>
      <c r="AO53" s="643"/>
      <c r="AP53" s="629"/>
      <c r="AQ53" s="629"/>
      <c r="AR53" s="646"/>
      <c r="AS53" s="647"/>
      <c r="AT53" s="647"/>
      <c r="AU53" s="647"/>
      <c r="AV53" s="654">
        <f t="shared" si="24"/>
        <v>0</v>
      </c>
      <c r="AW53" s="654">
        <f t="shared" si="31"/>
        <v>0</v>
      </c>
    </row>
    <row r="54" ht="15.75" spans="1:49">
      <c r="A54" s="533"/>
      <c r="B54" s="534"/>
      <c r="C54" s="542"/>
      <c r="D54" s="528"/>
      <c r="E54" s="529"/>
      <c r="F54" s="536">
        <f t="shared" si="25"/>
        <v>0</v>
      </c>
      <c r="G54" s="537"/>
      <c r="H54" s="538"/>
      <c r="I54" s="528"/>
      <c r="J54" s="529"/>
      <c r="K54" s="573">
        <f t="shared" si="26"/>
        <v>0</v>
      </c>
      <c r="L54" s="537"/>
      <c r="M54" s="574"/>
      <c r="N54" s="528"/>
      <c r="O54" s="529"/>
      <c r="P54" s="575">
        <f t="shared" si="27"/>
        <v>0</v>
      </c>
      <c r="Q54" s="537"/>
      <c r="R54" s="574"/>
      <c r="S54" s="528"/>
      <c r="T54" s="529"/>
      <c r="U54" s="592">
        <f t="shared" si="2"/>
        <v>0</v>
      </c>
      <c r="V54" s="537"/>
      <c r="W54" s="538"/>
      <c r="X54" s="528"/>
      <c r="Y54" s="529"/>
      <c r="Z54" s="610">
        <f t="shared" si="28"/>
        <v>0</v>
      </c>
      <c r="AA54" s="537"/>
      <c r="AB54" s="538"/>
      <c r="AC54" s="528"/>
      <c r="AD54" s="529"/>
      <c r="AE54" s="611">
        <f t="shared" si="29"/>
        <v>0</v>
      </c>
      <c r="AF54" s="537"/>
      <c r="AG54" s="538"/>
      <c r="AH54" s="528"/>
      <c r="AI54" s="529"/>
      <c r="AJ54" s="630">
        <f t="shared" si="30"/>
        <v>0</v>
      </c>
      <c r="AK54" s="537"/>
      <c r="AL54" s="574"/>
      <c r="AM54" s="631"/>
      <c r="AN54" s="632"/>
      <c r="AO54" s="648"/>
      <c r="AP54" s="632"/>
      <c r="AQ54" s="632"/>
      <c r="AR54" s="649"/>
      <c r="AS54" s="650"/>
      <c r="AT54" s="650"/>
      <c r="AU54" s="650"/>
      <c r="AV54" s="655">
        <f t="shared" si="24"/>
        <v>0</v>
      </c>
      <c r="AW54" s="655">
        <f t="shared" si="31"/>
        <v>0</v>
      </c>
    </row>
    <row r="55" ht="15.75" spans="1:49">
      <c r="A55" s="554" t="str">
        <f>'IA-SI  TANKER'!B17</f>
        <v>Glenda Melody</v>
      </c>
      <c r="B55" s="518" t="s">
        <v>31</v>
      </c>
      <c r="C55" s="541" t="s">
        <v>37</v>
      </c>
      <c r="D55" s="520" t="s">
        <v>271</v>
      </c>
      <c r="E55" s="521" t="s">
        <v>271</v>
      </c>
      <c r="F55" s="522">
        <f t="shared" si="25"/>
        <v>6</v>
      </c>
      <c r="G55" s="523">
        <v>1</v>
      </c>
      <c r="H55" s="524">
        <v>5</v>
      </c>
      <c r="I55" s="520"/>
      <c r="J55" s="521"/>
      <c r="K55" s="566">
        <f t="shared" si="26"/>
        <v>0</v>
      </c>
      <c r="L55" s="523"/>
      <c r="M55" s="567"/>
      <c r="N55" s="520" t="s">
        <v>271</v>
      </c>
      <c r="O55" s="521" t="s">
        <v>271</v>
      </c>
      <c r="P55" s="568">
        <f t="shared" si="27"/>
        <v>4</v>
      </c>
      <c r="Q55" s="587">
        <v>0</v>
      </c>
      <c r="R55" s="588">
        <v>4</v>
      </c>
      <c r="S55" s="520"/>
      <c r="T55" s="521"/>
      <c r="U55" s="589">
        <f t="shared" si="2"/>
        <v>0</v>
      </c>
      <c r="V55" s="523"/>
      <c r="W55" s="524"/>
      <c r="X55" s="520" t="s">
        <v>271</v>
      </c>
      <c r="Y55" s="521" t="s">
        <v>271</v>
      </c>
      <c r="Z55" s="612">
        <f t="shared" si="28"/>
        <v>6</v>
      </c>
      <c r="AA55" s="523">
        <v>0</v>
      </c>
      <c r="AB55" s="524">
        <v>6</v>
      </c>
      <c r="AC55" s="520" t="s">
        <v>271</v>
      </c>
      <c r="AD55" s="521" t="s">
        <v>271</v>
      </c>
      <c r="AE55" s="607">
        <f t="shared" si="29"/>
        <v>0</v>
      </c>
      <c r="AF55" s="523">
        <v>0</v>
      </c>
      <c r="AG55" s="524">
        <v>0</v>
      </c>
      <c r="AH55" s="593"/>
      <c r="AI55" s="521"/>
      <c r="AJ55" s="624">
        <f t="shared" si="30"/>
        <v>0</v>
      </c>
      <c r="AK55" s="523"/>
      <c r="AL55" s="567"/>
      <c r="AM55" s="625"/>
      <c r="AN55" s="626"/>
      <c r="AO55" s="639"/>
      <c r="AP55" s="626" t="s">
        <v>272</v>
      </c>
      <c r="AQ55" s="626" t="s">
        <v>272</v>
      </c>
      <c r="AR55" s="640">
        <v>45397</v>
      </c>
      <c r="AS55" s="641">
        <v>45397</v>
      </c>
      <c r="AT55" s="641">
        <v>45400</v>
      </c>
      <c r="AU55" s="641">
        <v>45400</v>
      </c>
      <c r="AV55" s="653">
        <f t="shared" si="24"/>
        <v>3</v>
      </c>
      <c r="AW55" s="658">
        <f t="shared" si="31"/>
        <v>3</v>
      </c>
    </row>
    <row r="56" spans="1:49">
      <c r="A56" s="525"/>
      <c r="B56" s="526"/>
      <c r="C56" s="527"/>
      <c r="D56" s="528"/>
      <c r="E56" s="529"/>
      <c r="F56" s="530">
        <f t="shared" si="25"/>
        <v>0</v>
      </c>
      <c r="G56" s="531"/>
      <c r="H56" s="532"/>
      <c r="I56" s="528"/>
      <c r="J56" s="529"/>
      <c r="K56" s="569">
        <f t="shared" si="26"/>
        <v>0</v>
      </c>
      <c r="L56" s="531"/>
      <c r="M56" s="570"/>
      <c r="N56" s="528"/>
      <c r="O56" s="529"/>
      <c r="P56" s="571">
        <f t="shared" si="27"/>
        <v>0</v>
      </c>
      <c r="Q56" s="531"/>
      <c r="R56" s="570"/>
      <c r="S56" s="528"/>
      <c r="T56" s="529"/>
      <c r="U56" s="591">
        <f t="shared" ref="U56:U122" si="32">V56+W56</f>
        <v>0</v>
      </c>
      <c r="V56" s="531"/>
      <c r="W56" s="532"/>
      <c r="X56" s="528"/>
      <c r="Y56" s="529"/>
      <c r="Z56" s="608">
        <f t="shared" si="28"/>
        <v>0</v>
      </c>
      <c r="AA56" s="531"/>
      <c r="AB56" s="532"/>
      <c r="AC56" s="528"/>
      <c r="AD56" s="529"/>
      <c r="AE56" s="609">
        <f t="shared" si="29"/>
        <v>0</v>
      </c>
      <c r="AF56" s="531"/>
      <c r="AG56" s="532"/>
      <c r="AH56" s="528"/>
      <c r="AI56" s="529"/>
      <c r="AJ56" s="627">
        <f t="shared" si="30"/>
        <v>0</v>
      </c>
      <c r="AK56" s="531"/>
      <c r="AL56" s="570"/>
      <c r="AM56" s="628"/>
      <c r="AN56" s="629"/>
      <c r="AO56" s="643"/>
      <c r="AP56" s="629"/>
      <c r="AQ56" s="629"/>
      <c r="AR56" s="644"/>
      <c r="AS56" s="644"/>
      <c r="AT56" s="644"/>
      <c r="AU56" s="644"/>
      <c r="AV56" s="654">
        <f t="shared" si="24"/>
        <v>0</v>
      </c>
      <c r="AW56" s="654">
        <f t="shared" si="31"/>
        <v>0</v>
      </c>
    </row>
    <row r="57" spans="1:49">
      <c r="A57" s="525"/>
      <c r="B57" s="526"/>
      <c r="C57" s="527"/>
      <c r="D57" s="528"/>
      <c r="E57" s="529"/>
      <c r="F57" s="530">
        <f t="shared" si="25"/>
        <v>0</v>
      </c>
      <c r="G57" s="531"/>
      <c r="H57" s="532"/>
      <c r="I57" s="528"/>
      <c r="J57" s="529"/>
      <c r="K57" s="572">
        <f t="shared" si="26"/>
        <v>0</v>
      </c>
      <c r="L57" s="531"/>
      <c r="M57" s="570"/>
      <c r="N57" s="528"/>
      <c r="O57" s="529"/>
      <c r="P57" s="571">
        <f t="shared" si="27"/>
        <v>0</v>
      </c>
      <c r="Q57" s="531"/>
      <c r="R57" s="570"/>
      <c r="S57" s="528"/>
      <c r="T57" s="529"/>
      <c r="U57" s="591">
        <f t="shared" si="32"/>
        <v>0</v>
      </c>
      <c r="V57" s="531"/>
      <c r="W57" s="532"/>
      <c r="X57" s="528"/>
      <c r="Y57" s="529"/>
      <c r="Z57" s="608">
        <f t="shared" si="28"/>
        <v>0</v>
      </c>
      <c r="AA57" s="531"/>
      <c r="AB57" s="532"/>
      <c r="AC57" s="528"/>
      <c r="AD57" s="529"/>
      <c r="AE57" s="609">
        <f t="shared" si="29"/>
        <v>0</v>
      </c>
      <c r="AF57" s="531"/>
      <c r="AG57" s="532"/>
      <c r="AH57" s="528"/>
      <c r="AI57" s="529"/>
      <c r="AJ57" s="627">
        <f t="shared" si="30"/>
        <v>0</v>
      </c>
      <c r="AK57" s="531"/>
      <c r="AL57" s="570"/>
      <c r="AM57" s="628"/>
      <c r="AN57" s="629"/>
      <c r="AO57" s="643"/>
      <c r="AP57" s="629"/>
      <c r="AQ57" s="629"/>
      <c r="AR57" s="646"/>
      <c r="AS57" s="647"/>
      <c r="AT57" s="647"/>
      <c r="AU57" s="647"/>
      <c r="AV57" s="654">
        <f t="shared" si="24"/>
        <v>0</v>
      </c>
      <c r="AW57" s="654">
        <f t="shared" si="31"/>
        <v>0</v>
      </c>
    </row>
    <row r="58" ht="15.75" spans="1:49">
      <c r="A58" s="533"/>
      <c r="B58" s="553"/>
      <c r="C58" s="542"/>
      <c r="D58" s="528"/>
      <c r="E58" s="529"/>
      <c r="F58" s="536">
        <f t="shared" si="25"/>
        <v>0</v>
      </c>
      <c r="G58" s="537"/>
      <c r="H58" s="538"/>
      <c r="I58" s="528"/>
      <c r="J58" s="529"/>
      <c r="K58" s="573">
        <f t="shared" si="26"/>
        <v>0</v>
      </c>
      <c r="L58" s="537"/>
      <c r="M58" s="574"/>
      <c r="N58" s="528"/>
      <c r="O58" s="529"/>
      <c r="P58" s="575">
        <f t="shared" si="27"/>
        <v>0</v>
      </c>
      <c r="Q58" s="537"/>
      <c r="R58" s="574"/>
      <c r="S58" s="528"/>
      <c r="T58" s="529"/>
      <c r="U58" s="592">
        <f t="shared" si="32"/>
        <v>0</v>
      </c>
      <c r="V58" s="537"/>
      <c r="W58" s="538"/>
      <c r="X58" s="528"/>
      <c r="Y58" s="529"/>
      <c r="Z58" s="610">
        <f t="shared" si="28"/>
        <v>0</v>
      </c>
      <c r="AA58" s="537"/>
      <c r="AB58" s="538"/>
      <c r="AC58" s="528"/>
      <c r="AD58" s="529"/>
      <c r="AE58" s="611">
        <f t="shared" si="29"/>
        <v>0</v>
      </c>
      <c r="AF58" s="537"/>
      <c r="AG58" s="538"/>
      <c r="AH58" s="528"/>
      <c r="AI58" s="529"/>
      <c r="AJ58" s="630">
        <f t="shared" si="30"/>
        <v>0</v>
      </c>
      <c r="AK58" s="537"/>
      <c r="AL58" s="574"/>
      <c r="AM58" s="631"/>
      <c r="AN58" s="632"/>
      <c r="AO58" s="648"/>
      <c r="AP58" s="632"/>
      <c r="AQ58" s="632"/>
      <c r="AR58" s="649"/>
      <c r="AS58" s="650"/>
      <c r="AT58" s="650"/>
      <c r="AU58" s="650"/>
      <c r="AV58" s="655">
        <f t="shared" si="24"/>
        <v>0</v>
      </c>
      <c r="AW58" s="659">
        <f t="shared" si="31"/>
        <v>0</v>
      </c>
    </row>
    <row r="59" ht="15.75" spans="1:49">
      <c r="A59" s="554" t="str">
        <f>'IA-SI  TANKER'!B18</f>
        <v>Glenda Meryl</v>
      </c>
      <c r="B59" s="544" t="s">
        <v>26</v>
      </c>
      <c r="C59" s="519" t="s">
        <v>37</v>
      </c>
      <c r="D59" s="520" t="s">
        <v>273</v>
      </c>
      <c r="E59" s="521" t="s">
        <v>273</v>
      </c>
      <c r="F59" s="522">
        <f t="shared" si="25"/>
        <v>3</v>
      </c>
      <c r="G59" s="523">
        <v>0</v>
      </c>
      <c r="H59" s="524">
        <v>3</v>
      </c>
      <c r="I59" s="520"/>
      <c r="J59" s="521"/>
      <c r="K59" s="566">
        <f t="shared" si="26"/>
        <v>0</v>
      </c>
      <c r="L59" s="523"/>
      <c r="M59" s="567"/>
      <c r="N59" s="520"/>
      <c r="O59" s="521"/>
      <c r="P59" s="568">
        <f t="shared" si="27"/>
        <v>0</v>
      </c>
      <c r="Q59" s="587"/>
      <c r="R59" s="588"/>
      <c r="S59" s="520"/>
      <c r="T59" s="521"/>
      <c r="U59" s="589">
        <f t="shared" si="32"/>
        <v>0</v>
      </c>
      <c r="V59" s="523"/>
      <c r="W59" s="524"/>
      <c r="X59" s="593" t="s">
        <v>274</v>
      </c>
      <c r="Y59" s="521" t="s">
        <v>273</v>
      </c>
      <c r="Z59" s="612">
        <f t="shared" si="28"/>
        <v>2</v>
      </c>
      <c r="AA59" s="523">
        <v>0</v>
      </c>
      <c r="AB59" s="524">
        <v>2</v>
      </c>
      <c r="AC59" s="593" t="s">
        <v>274</v>
      </c>
      <c r="AD59" s="521" t="s">
        <v>273</v>
      </c>
      <c r="AE59" s="607">
        <f t="shared" si="29"/>
        <v>0</v>
      </c>
      <c r="AF59" s="523">
        <v>0</v>
      </c>
      <c r="AG59" s="524">
        <v>0</v>
      </c>
      <c r="AH59" s="593" t="s">
        <v>274</v>
      </c>
      <c r="AI59" s="521" t="s">
        <v>273</v>
      </c>
      <c r="AJ59" s="624">
        <f t="shared" si="30"/>
        <v>1</v>
      </c>
      <c r="AK59" s="523">
        <v>0</v>
      </c>
      <c r="AL59" s="567">
        <v>1</v>
      </c>
      <c r="AM59" s="625" t="s">
        <v>274</v>
      </c>
      <c r="AN59" s="626"/>
      <c r="AO59" s="639"/>
      <c r="AP59" s="626" t="s">
        <v>244</v>
      </c>
      <c r="AQ59" s="626" t="s">
        <v>244</v>
      </c>
      <c r="AR59" s="640">
        <v>45293</v>
      </c>
      <c r="AS59" s="641">
        <v>45293</v>
      </c>
      <c r="AT59" s="641">
        <v>45294</v>
      </c>
      <c r="AU59" s="641">
        <v>45294</v>
      </c>
      <c r="AV59" s="653">
        <f t="shared" si="24"/>
        <v>1</v>
      </c>
      <c r="AW59" s="653">
        <f t="shared" si="31"/>
        <v>1</v>
      </c>
    </row>
    <row r="60" ht="30" spans="1:49">
      <c r="A60" s="525"/>
      <c r="B60" s="526" t="s">
        <v>32</v>
      </c>
      <c r="C60" s="527" t="s">
        <v>36</v>
      </c>
      <c r="D60" s="528" t="s">
        <v>275</v>
      </c>
      <c r="E60" s="529" t="s">
        <v>275</v>
      </c>
      <c r="F60" s="530">
        <f t="shared" si="25"/>
        <v>6</v>
      </c>
      <c r="G60" s="531">
        <v>1</v>
      </c>
      <c r="H60" s="532">
        <v>5</v>
      </c>
      <c r="I60" s="528" t="s">
        <v>275</v>
      </c>
      <c r="J60" s="529" t="s">
        <v>275</v>
      </c>
      <c r="K60" s="569">
        <f t="shared" si="26"/>
        <v>9</v>
      </c>
      <c r="L60" s="531">
        <v>0</v>
      </c>
      <c r="M60" s="570">
        <v>9</v>
      </c>
      <c r="N60" s="528" t="s">
        <v>275</v>
      </c>
      <c r="O60" s="529" t="s">
        <v>275</v>
      </c>
      <c r="P60" s="571">
        <f t="shared" si="27"/>
        <v>3</v>
      </c>
      <c r="Q60" s="531">
        <v>0</v>
      </c>
      <c r="R60" s="570">
        <v>3</v>
      </c>
      <c r="S60" s="528"/>
      <c r="T60" s="529"/>
      <c r="U60" s="591">
        <f t="shared" si="32"/>
        <v>0</v>
      </c>
      <c r="V60" s="531"/>
      <c r="W60" s="532"/>
      <c r="X60" s="528" t="s">
        <v>275</v>
      </c>
      <c r="Y60" s="529" t="s">
        <v>275</v>
      </c>
      <c r="Z60" s="608">
        <f t="shared" si="28"/>
        <v>5</v>
      </c>
      <c r="AA60" s="531">
        <v>0</v>
      </c>
      <c r="AB60" s="532">
        <v>5</v>
      </c>
      <c r="AC60" s="528" t="s">
        <v>276</v>
      </c>
      <c r="AD60" s="529" t="s">
        <v>276</v>
      </c>
      <c r="AE60" s="609">
        <f t="shared" si="29"/>
        <v>0</v>
      </c>
      <c r="AF60" s="531">
        <v>0</v>
      </c>
      <c r="AG60" s="532">
        <v>0</v>
      </c>
      <c r="AH60" s="528" t="s">
        <v>275</v>
      </c>
      <c r="AI60" s="529" t="s">
        <v>275</v>
      </c>
      <c r="AJ60" s="627">
        <f t="shared" si="30"/>
        <v>4</v>
      </c>
      <c r="AK60" s="531">
        <v>0</v>
      </c>
      <c r="AL60" s="570">
        <v>4</v>
      </c>
      <c r="AM60" s="628"/>
      <c r="AN60" s="629"/>
      <c r="AO60" s="643"/>
      <c r="AP60" s="629" t="s">
        <v>277</v>
      </c>
      <c r="AQ60" s="629" t="s">
        <v>199</v>
      </c>
      <c r="AR60" s="644">
        <v>45585</v>
      </c>
      <c r="AS60" s="644">
        <v>45586</v>
      </c>
      <c r="AT60" s="644">
        <v>45589</v>
      </c>
      <c r="AU60" s="644">
        <v>45590</v>
      </c>
      <c r="AV60" s="654">
        <f t="shared" si="24"/>
        <v>5</v>
      </c>
      <c r="AW60" s="654">
        <f t="shared" si="31"/>
        <v>3</v>
      </c>
    </row>
    <row r="61" spans="1:49">
      <c r="A61" s="525"/>
      <c r="B61" s="526"/>
      <c r="C61" s="527"/>
      <c r="D61" s="528"/>
      <c r="E61" s="529"/>
      <c r="F61" s="530">
        <f t="shared" si="25"/>
        <v>0</v>
      </c>
      <c r="G61" s="531"/>
      <c r="H61" s="532"/>
      <c r="I61" s="528"/>
      <c r="J61" s="529"/>
      <c r="K61" s="572">
        <f t="shared" si="26"/>
        <v>0</v>
      </c>
      <c r="L61" s="531"/>
      <c r="M61" s="570"/>
      <c r="N61" s="528"/>
      <c r="O61" s="529"/>
      <c r="P61" s="571">
        <f t="shared" si="27"/>
        <v>0</v>
      </c>
      <c r="Q61" s="531"/>
      <c r="R61" s="570"/>
      <c r="S61" s="528"/>
      <c r="T61" s="529"/>
      <c r="U61" s="591">
        <f t="shared" si="32"/>
        <v>0</v>
      </c>
      <c r="V61" s="531"/>
      <c r="W61" s="532"/>
      <c r="X61" s="528"/>
      <c r="Y61" s="529"/>
      <c r="Z61" s="608">
        <f t="shared" si="28"/>
        <v>0</v>
      </c>
      <c r="AA61" s="531"/>
      <c r="AB61" s="532"/>
      <c r="AC61" s="528"/>
      <c r="AD61" s="529"/>
      <c r="AE61" s="609">
        <f t="shared" si="29"/>
        <v>0</v>
      </c>
      <c r="AF61" s="531"/>
      <c r="AG61" s="532"/>
      <c r="AH61" s="528"/>
      <c r="AI61" s="529"/>
      <c r="AJ61" s="627">
        <f t="shared" si="30"/>
        <v>0</v>
      </c>
      <c r="AK61" s="531"/>
      <c r="AL61" s="570"/>
      <c r="AM61" s="628"/>
      <c r="AN61" s="629"/>
      <c r="AO61" s="643"/>
      <c r="AP61" s="629"/>
      <c r="AQ61" s="629"/>
      <c r="AR61" s="646"/>
      <c r="AS61" s="647"/>
      <c r="AT61" s="647"/>
      <c r="AU61" s="647"/>
      <c r="AV61" s="654">
        <f t="shared" si="24"/>
        <v>0</v>
      </c>
      <c r="AW61" s="654">
        <f t="shared" si="31"/>
        <v>0</v>
      </c>
    </row>
    <row r="62" ht="15.75" spans="1:49">
      <c r="A62" s="533"/>
      <c r="B62" s="555"/>
      <c r="C62" s="542"/>
      <c r="D62" s="528"/>
      <c r="E62" s="529"/>
      <c r="F62" s="536">
        <f t="shared" si="25"/>
        <v>0</v>
      </c>
      <c r="G62" s="537"/>
      <c r="H62" s="538"/>
      <c r="I62" s="528"/>
      <c r="J62" s="529"/>
      <c r="K62" s="573">
        <f t="shared" si="26"/>
        <v>0</v>
      </c>
      <c r="L62" s="537"/>
      <c r="M62" s="574"/>
      <c r="N62" s="528"/>
      <c r="O62" s="529"/>
      <c r="P62" s="575">
        <f t="shared" si="27"/>
        <v>0</v>
      </c>
      <c r="Q62" s="537"/>
      <c r="R62" s="574"/>
      <c r="S62" s="528"/>
      <c r="T62" s="529"/>
      <c r="U62" s="592">
        <f t="shared" si="32"/>
        <v>0</v>
      </c>
      <c r="V62" s="537"/>
      <c r="W62" s="538"/>
      <c r="X62" s="528"/>
      <c r="Y62" s="529"/>
      <c r="Z62" s="610">
        <f t="shared" si="28"/>
        <v>0</v>
      </c>
      <c r="AA62" s="537"/>
      <c r="AB62" s="538"/>
      <c r="AC62" s="528"/>
      <c r="AD62" s="529"/>
      <c r="AE62" s="611">
        <f t="shared" si="29"/>
        <v>0</v>
      </c>
      <c r="AF62" s="537"/>
      <c r="AG62" s="538"/>
      <c r="AH62" s="528"/>
      <c r="AI62" s="529"/>
      <c r="AJ62" s="630">
        <f t="shared" si="30"/>
        <v>0</v>
      </c>
      <c r="AK62" s="537"/>
      <c r="AL62" s="574"/>
      <c r="AM62" s="631"/>
      <c r="AN62" s="632"/>
      <c r="AO62" s="648"/>
      <c r="AP62" s="632"/>
      <c r="AQ62" s="632"/>
      <c r="AR62" s="649"/>
      <c r="AS62" s="650"/>
      <c r="AT62" s="650"/>
      <c r="AU62" s="650"/>
      <c r="AV62" s="655">
        <f t="shared" si="24"/>
        <v>0</v>
      </c>
      <c r="AW62" s="655">
        <f t="shared" si="31"/>
        <v>0</v>
      </c>
    </row>
    <row r="63" ht="15.75" spans="1:49">
      <c r="A63" s="547" t="str">
        <f>'IA-SI  TANKER'!B19</f>
        <v>Herolds Bay</v>
      </c>
      <c r="B63" s="544" t="s">
        <v>32</v>
      </c>
      <c r="C63" s="519" t="s">
        <v>36</v>
      </c>
      <c r="D63" s="520" t="s">
        <v>208</v>
      </c>
      <c r="E63" s="521" t="s">
        <v>208</v>
      </c>
      <c r="F63" s="522">
        <f t="shared" ref="F63:F75" si="33">G63+H63</f>
        <v>4</v>
      </c>
      <c r="G63" s="523">
        <v>0</v>
      </c>
      <c r="H63" s="524">
        <v>4</v>
      </c>
      <c r="I63" s="520" t="s">
        <v>208</v>
      </c>
      <c r="J63" s="521" t="s">
        <v>208</v>
      </c>
      <c r="K63" s="566">
        <f t="shared" ref="K63:K75" si="34">L63+M63</f>
        <v>8</v>
      </c>
      <c r="L63" s="523">
        <v>0</v>
      </c>
      <c r="M63" s="567">
        <v>8</v>
      </c>
      <c r="N63" s="520" t="s">
        <v>208</v>
      </c>
      <c r="O63" s="521" t="s">
        <v>208</v>
      </c>
      <c r="P63" s="568">
        <f t="shared" ref="P63:P75" si="35">Q63+R63</f>
        <v>2</v>
      </c>
      <c r="Q63" s="587">
        <v>0</v>
      </c>
      <c r="R63" s="588">
        <v>2</v>
      </c>
      <c r="S63" s="520" t="s">
        <v>208</v>
      </c>
      <c r="T63" s="521" t="s">
        <v>208</v>
      </c>
      <c r="U63" s="589">
        <f t="shared" ref="U63:U75" si="36">V63+W63</f>
        <v>4</v>
      </c>
      <c r="V63" s="523">
        <v>0</v>
      </c>
      <c r="W63" s="524">
        <v>4</v>
      </c>
      <c r="X63" s="520" t="s">
        <v>208</v>
      </c>
      <c r="Y63" s="521" t="s">
        <v>208</v>
      </c>
      <c r="Z63" s="612">
        <f t="shared" ref="Z63:Z75" si="37">AA63+AB63</f>
        <v>4</v>
      </c>
      <c r="AA63" s="523">
        <v>0</v>
      </c>
      <c r="AB63" s="524">
        <v>4</v>
      </c>
      <c r="AC63" s="520" t="s">
        <v>208</v>
      </c>
      <c r="AD63" s="521" t="s">
        <v>208</v>
      </c>
      <c r="AE63" s="607">
        <f t="shared" ref="AE63:AE75" si="38">AF63+AG63</f>
        <v>0</v>
      </c>
      <c r="AF63" s="523">
        <v>0</v>
      </c>
      <c r="AG63" s="524">
        <v>0</v>
      </c>
      <c r="AH63" s="520" t="s">
        <v>208</v>
      </c>
      <c r="AI63" s="521" t="s">
        <v>208</v>
      </c>
      <c r="AJ63" s="624">
        <f t="shared" ref="AJ63:AJ74" si="39">AK63+AL63</f>
        <v>2</v>
      </c>
      <c r="AK63" s="523">
        <v>0</v>
      </c>
      <c r="AL63" s="567">
        <v>2</v>
      </c>
      <c r="AM63" s="521" t="s">
        <v>208</v>
      </c>
      <c r="AN63" s="521" t="s">
        <v>208</v>
      </c>
      <c r="AO63" s="639" t="s">
        <v>278</v>
      </c>
      <c r="AP63" s="626" t="s">
        <v>279</v>
      </c>
      <c r="AQ63" s="626" t="s">
        <v>280</v>
      </c>
      <c r="AR63" s="640">
        <v>45564</v>
      </c>
      <c r="AS63" s="641">
        <v>45565</v>
      </c>
      <c r="AT63" s="641">
        <v>45571</v>
      </c>
      <c r="AU63" s="641">
        <v>45574</v>
      </c>
      <c r="AV63" s="653">
        <f t="shared" si="24"/>
        <v>10</v>
      </c>
      <c r="AW63" s="653">
        <f t="shared" si="31"/>
        <v>6</v>
      </c>
    </row>
    <row r="64" spans="1:49">
      <c r="A64" s="545"/>
      <c r="B64" s="526"/>
      <c r="C64" s="527"/>
      <c r="D64" s="528"/>
      <c r="E64" s="529"/>
      <c r="F64" s="530">
        <f t="shared" si="33"/>
        <v>0</v>
      </c>
      <c r="G64" s="531"/>
      <c r="H64" s="532"/>
      <c r="I64" s="528"/>
      <c r="J64" s="529"/>
      <c r="K64" s="569">
        <f t="shared" si="34"/>
        <v>0</v>
      </c>
      <c r="L64" s="531"/>
      <c r="M64" s="570"/>
      <c r="N64" s="528"/>
      <c r="O64" s="529"/>
      <c r="P64" s="571">
        <f t="shared" si="35"/>
        <v>0</v>
      </c>
      <c r="Q64" s="531"/>
      <c r="R64" s="570"/>
      <c r="S64" s="528"/>
      <c r="T64" s="529"/>
      <c r="U64" s="591">
        <f t="shared" si="36"/>
        <v>0</v>
      </c>
      <c r="V64" s="531"/>
      <c r="W64" s="532"/>
      <c r="X64" s="528"/>
      <c r="Y64" s="529"/>
      <c r="Z64" s="608">
        <f t="shared" si="37"/>
        <v>0</v>
      </c>
      <c r="AA64" s="531"/>
      <c r="AB64" s="532"/>
      <c r="AC64" s="528"/>
      <c r="AD64" s="529"/>
      <c r="AE64" s="609">
        <f t="shared" si="38"/>
        <v>0</v>
      </c>
      <c r="AF64" s="531"/>
      <c r="AG64" s="532"/>
      <c r="AH64" s="528"/>
      <c r="AI64" s="529"/>
      <c r="AJ64" s="627">
        <f t="shared" si="39"/>
        <v>0</v>
      </c>
      <c r="AK64" s="531"/>
      <c r="AL64" s="570"/>
      <c r="AM64" s="628"/>
      <c r="AN64" s="629"/>
      <c r="AO64" s="643"/>
      <c r="AP64" s="629"/>
      <c r="AQ64" s="629"/>
      <c r="AR64" s="644"/>
      <c r="AS64" s="644"/>
      <c r="AT64" s="644"/>
      <c r="AU64" s="644"/>
      <c r="AV64" s="654">
        <f t="shared" si="24"/>
        <v>0</v>
      </c>
      <c r="AW64" s="654">
        <f t="shared" si="31"/>
        <v>0</v>
      </c>
    </row>
    <row r="65" spans="1:49">
      <c r="A65" s="545"/>
      <c r="B65" s="526"/>
      <c r="C65" s="527"/>
      <c r="D65" s="528"/>
      <c r="E65" s="529"/>
      <c r="F65" s="530">
        <f t="shared" si="33"/>
        <v>0</v>
      </c>
      <c r="G65" s="531"/>
      <c r="H65" s="532"/>
      <c r="I65" s="528"/>
      <c r="J65" s="529"/>
      <c r="K65" s="572">
        <f t="shared" si="34"/>
        <v>0</v>
      </c>
      <c r="L65" s="531"/>
      <c r="M65" s="570"/>
      <c r="N65" s="528"/>
      <c r="O65" s="529"/>
      <c r="P65" s="571">
        <f t="shared" si="35"/>
        <v>0</v>
      </c>
      <c r="Q65" s="531"/>
      <c r="R65" s="570"/>
      <c r="S65" s="528"/>
      <c r="T65" s="529"/>
      <c r="U65" s="591">
        <f t="shared" si="36"/>
        <v>0</v>
      </c>
      <c r="V65" s="531"/>
      <c r="W65" s="532"/>
      <c r="X65" s="528"/>
      <c r="Y65" s="529"/>
      <c r="Z65" s="608">
        <f t="shared" si="37"/>
        <v>0</v>
      </c>
      <c r="AA65" s="531"/>
      <c r="AB65" s="532"/>
      <c r="AC65" s="528"/>
      <c r="AD65" s="529"/>
      <c r="AE65" s="609">
        <f t="shared" si="38"/>
        <v>0</v>
      </c>
      <c r="AF65" s="531"/>
      <c r="AG65" s="532"/>
      <c r="AH65" s="528"/>
      <c r="AI65" s="529"/>
      <c r="AJ65" s="627">
        <f t="shared" si="39"/>
        <v>0</v>
      </c>
      <c r="AK65" s="531"/>
      <c r="AL65" s="570"/>
      <c r="AM65" s="628"/>
      <c r="AN65" s="629"/>
      <c r="AO65" s="643"/>
      <c r="AP65" s="629"/>
      <c r="AQ65" s="629"/>
      <c r="AR65" s="646"/>
      <c r="AS65" s="647"/>
      <c r="AT65" s="647"/>
      <c r="AU65" s="647"/>
      <c r="AV65" s="654">
        <f t="shared" si="24"/>
        <v>0</v>
      </c>
      <c r="AW65" s="654">
        <f t="shared" si="31"/>
        <v>0</v>
      </c>
    </row>
    <row r="66" ht="15.75" spans="1:49">
      <c r="A66" s="546"/>
      <c r="B66" s="534"/>
      <c r="C66" s="542"/>
      <c r="D66" s="528"/>
      <c r="E66" s="529"/>
      <c r="F66" s="536">
        <f t="shared" si="33"/>
        <v>0</v>
      </c>
      <c r="G66" s="537"/>
      <c r="H66" s="538"/>
      <c r="I66" s="528"/>
      <c r="J66" s="529"/>
      <c r="K66" s="573">
        <f t="shared" si="34"/>
        <v>0</v>
      </c>
      <c r="L66" s="537"/>
      <c r="M66" s="574"/>
      <c r="N66" s="528"/>
      <c r="O66" s="529"/>
      <c r="P66" s="575">
        <f t="shared" si="35"/>
        <v>0</v>
      </c>
      <c r="Q66" s="537"/>
      <c r="R66" s="574"/>
      <c r="S66" s="528"/>
      <c r="T66" s="529"/>
      <c r="U66" s="592">
        <f t="shared" si="36"/>
        <v>0</v>
      </c>
      <c r="V66" s="537"/>
      <c r="W66" s="538"/>
      <c r="X66" s="528"/>
      <c r="Y66" s="529"/>
      <c r="Z66" s="610">
        <f t="shared" si="37"/>
        <v>0</v>
      </c>
      <c r="AA66" s="537"/>
      <c r="AB66" s="538"/>
      <c r="AC66" s="528"/>
      <c r="AD66" s="529"/>
      <c r="AE66" s="611">
        <f t="shared" si="38"/>
        <v>0</v>
      </c>
      <c r="AF66" s="537"/>
      <c r="AG66" s="538"/>
      <c r="AH66" s="528"/>
      <c r="AI66" s="529"/>
      <c r="AJ66" s="630">
        <f t="shared" si="39"/>
        <v>0</v>
      </c>
      <c r="AK66" s="537"/>
      <c r="AL66" s="574"/>
      <c r="AM66" s="631"/>
      <c r="AN66" s="632"/>
      <c r="AO66" s="648"/>
      <c r="AP66" s="632"/>
      <c r="AQ66" s="632"/>
      <c r="AR66" s="649"/>
      <c r="AS66" s="650"/>
      <c r="AT66" s="650"/>
      <c r="AU66" s="650"/>
      <c r="AV66" s="655">
        <f t="shared" si="24"/>
        <v>0</v>
      </c>
      <c r="AW66" s="655">
        <f t="shared" si="31"/>
        <v>0</v>
      </c>
    </row>
    <row r="67" ht="15.75" spans="1:49">
      <c r="A67" s="547" t="str">
        <f>'IA-SI  TANKER'!B20</f>
        <v>High Explorer</v>
      </c>
      <c r="B67" s="518" t="s">
        <v>33</v>
      </c>
      <c r="C67" s="660" t="s">
        <v>281</v>
      </c>
      <c r="D67" s="520" t="s">
        <v>282</v>
      </c>
      <c r="E67" s="521" t="s">
        <v>282</v>
      </c>
      <c r="F67" s="522">
        <f t="shared" si="33"/>
        <v>5</v>
      </c>
      <c r="G67" s="523">
        <v>1</v>
      </c>
      <c r="H67" s="524">
        <v>4</v>
      </c>
      <c r="I67" s="520" t="s">
        <v>282</v>
      </c>
      <c r="J67" s="521" t="s">
        <v>282</v>
      </c>
      <c r="K67" s="566">
        <f t="shared" si="34"/>
        <v>7</v>
      </c>
      <c r="L67" s="523">
        <v>1</v>
      </c>
      <c r="M67" s="567">
        <v>6</v>
      </c>
      <c r="N67" s="520" t="s">
        <v>282</v>
      </c>
      <c r="O67" s="521" t="s">
        <v>282</v>
      </c>
      <c r="P67" s="568">
        <f t="shared" si="35"/>
        <v>4</v>
      </c>
      <c r="Q67" s="587">
        <v>1</v>
      </c>
      <c r="R67" s="588">
        <v>3</v>
      </c>
      <c r="S67" s="520" t="s">
        <v>282</v>
      </c>
      <c r="T67" s="521" t="s">
        <v>282</v>
      </c>
      <c r="U67" s="589">
        <f t="shared" si="36"/>
        <v>3</v>
      </c>
      <c r="V67" s="523">
        <v>1</v>
      </c>
      <c r="W67" s="524">
        <v>2</v>
      </c>
      <c r="X67" s="593" t="s">
        <v>282</v>
      </c>
      <c r="Y67" s="520" t="s">
        <v>282</v>
      </c>
      <c r="Z67" s="612">
        <f t="shared" si="37"/>
        <v>2</v>
      </c>
      <c r="AA67" s="523">
        <v>0</v>
      </c>
      <c r="AB67" s="524">
        <v>2</v>
      </c>
      <c r="AC67" s="593" t="s">
        <v>282</v>
      </c>
      <c r="AD67" s="521" t="s">
        <v>282</v>
      </c>
      <c r="AE67" s="607">
        <f t="shared" si="38"/>
        <v>0</v>
      </c>
      <c r="AF67" s="523">
        <v>0</v>
      </c>
      <c r="AG67" s="524">
        <v>0</v>
      </c>
      <c r="AH67" s="593" t="s">
        <v>282</v>
      </c>
      <c r="AI67" s="521" t="s">
        <v>282</v>
      </c>
      <c r="AJ67" s="624">
        <f t="shared" si="39"/>
        <v>3</v>
      </c>
      <c r="AK67" s="523">
        <v>1</v>
      </c>
      <c r="AL67" s="567">
        <v>2</v>
      </c>
      <c r="AM67" s="625" t="s">
        <v>282</v>
      </c>
      <c r="AN67" s="626" t="s">
        <v>262</v>
      </c>
      <c r="AO67" s="639" t="s">
        <v>248</v>
      </c>
      <c r="AP67" s="626" t="s">
        <v>283</v>
      </c>
      <c r="AQ67" s="626" t="s">
        <v>284</v>
      </c>
      <c r="AR67" s="640">
        <v>45517</v>
      </c>
      <c r="AS67" s="641">
        <v>45519</v>
      </c>
      <c r="AT67" s="641">
        <v>45531</v>
      </c>
      <c r="AU67" s="641">
        <v>45532</v>
      </c>
      <c r="AV67" s="653">
        <f t="shared" si="24"/>
        <v>15</v>
      </c>
      <c r="AW67" s="653">
        <f t="shared" si="31"/>
        <v>12</v>
      </c>
    </row>
    <row r="68" spans="1:49">
      <c r="A68" s="525"/>
      <c r="C68" s="527"/>
      <c r="D68" s="528"/>
      <c r="E68" s="529"/>
      <c r="F68" s="530">
        <f t="shared" si="33"/>
        <v>0</v>
      </c>
      <c r="G68" s="531"/>
      <c r="H68" s="532"/>
      <c r="I68" s="528"/>
      <c r="J68" s="529"/>
      <c r="K68" s="569">
        <f t="shared" si="34"/>
        <v>0</v>
      </c>
      <c r="L68" s="531"/>
      <c r="M68" s="570"/>
      <c r="N68" s="528"/>
      <c r="O68" s="529"/>
      <c r="P68" s="571">
        <f t="shared" si="35"/>
        <v>0</v>
      </c>
      <c r="Q68" s="531"/>
      <c r="R68" s="570"/>
      <c r="S68" s="528"/>
      <c r="T68" s="529"/>
      <c r="U68" s="591">
        <f t="shared" si="36"/>
        <v>0</v>
      </c>
      <c r="V68" s="531"/>
      <c r="W68" s="532"/>
      <c r="X68" s="528"/>
      <c r="Y68" s="529"/>
      <c r="Z68" s="608">
        <f t="shared" si="37"/>
        <v>0</v>
      </c>
      <c r="AA68" s="531"/>
      <c r="AB68" s="532"/>
      <c r="AC68" s="528"/>
      <c r="AD68" s="529"/>
      <c r="AE68" s="609">
        <f t="shared" si="38"/>
        <v>0</v>
      </c>
      <c r="AF68" s="531"/>
      <c r="AG68" s="532"/>
      <c r="AH68" s="528"/>
      <c r="AI68" s="529"/>
      <c r="AJ68" s="627">
        <f t="shared" si="39"/>
        <v>0</v>
      </c>
      <c r="AK68" s="531"/>
      <c r="AL68" s="570"/>
      <c r="AM68" s="628"/>
      <c r="AN68" s="629"/>
      <c r="AO68" s="643"/>
      <c r="AP68" s="629"/>
      <c r="AQ68" s="629"/>
      <c r="AR68" s="644"/>
      <c r="AS68" s="644"/>
      <c r="AT68" s="644"/>
      <c r="AU68" s="644"/>
      <c r="AV68" s="654">
        <f t="shared" si="24"/>
        <v>0</v>
      </c>
      <c r="AW68" s="654">
        <f t="shared" si="31"/>
        <v>0</v>
      </c>
    </row>
    <row r="69" spans="1:49">
      <c r="A69" s="525"/>
      <c r="B69" s="526"/>
      <c r="C69" s="527"/>
      <c r="D69" s="528"/>
      <c r="E69" s="529"/>
      <c r="F69" s="530">
        <f t="shared" si="33"/>
        <v>0</v>
      </c>
      <c r="G69" s="531"/>
      <c r="H69" s="532"/>
      <c r="I69" s="528"/>
      <c r="J69" s="529"/>
      <c r="K69" s="572">
        <f t="shared" si="34"/>
        <v>0</v>
      </c>
      <c r="L69" s="531"/>
      <c r="M69" s="570"/>
      <c r="N69" s="528"/>
      <c r="O69" s="529"/>
      <c r="P69" s="571">
        <f t="shared" si="35"/>
        <v>0</v>
      </c>
      <c r="Q69" s="531"/>
      <c r="R69" s="570"/>
      <c r="S69" s="528"/>
      <c r="T69" s="529"/>
      <c r="U69" s="591">
        <f t="shared" si="36"/>
        <v>0</v>
      </c>
      <c r="V69" s="531"/>
      <c r="W69" s="532"/>
      <c r="X69" s="528"/>
      <c r="Y69" s="529"/>
      <c r="Z69" s="608">
        <f t="shared" si="37"/>
        <v>0</v>
      </c>
      <c r="AA69" s="531"/>
      <c r="AB69" s="532"/>
      <c r="AC69" s="528"/>
      <c r="AD69" s="529"/>
      <c r="AE69" s="609">
        <f t="shared" si="38"/>
        <v>0</v>
      </c>
      <c r="AF69" s="531"/>
      <c r="AG69" s="532"/>
      <c r="AH69" s="528"/>
      <c r="AI69" s="529"/>
      <c r="AJ69" s="627">
        <f t="shared" si="39"/>
        <v>0</v>
      </c>
      <c r="AK69" s="531"/>
      <c r="AL69" s="570"/>
      <c r="AM69" s="628"/>
      <c r="AN69" s="629"/>
      <c r="AO69" s="643"/>
      <c r="AP69" s="629"/>
      <c r="AQ69" s="629"/>
      <c r="AR69" s="646"/>
      <c r="AS69" s="647"/>
      <c r="AT69" s="647"/>
      <c r="AU69" s="647"/>
      <c r="AV69" s="654">
        <f t="shared" si="24"/>
        <v>0</v>
      </c>
      <c r="AW69" s="654">
        <f t="shared" si="31"/>
        <v>0</v>
      </c>
    </row>
    <row r="70" ht="15.75" spans="1:49">
      <c r="A70" s="533"/>
      <c r="B70" s="555"/>
      <c r="C70" s="542"/>
      <c r="D70" s="528"/>
      <c r="E70" s="529"/>
      <c r="F70" s="536">
        <f t="shared" si="33"/>
        <v>0</v>
      </c>
      <c r="G70" s="537"/>
      <c r="H70" s="538"/>
      <c r="I70" s="528"/>
      <c r="J70" s="529"/>
      <c r="K70" s="573">
        <f t="shared" si="34"/>
        <v>0</v>
      </c>
      <c r="L70" s="537"/>
      <c r="M70" s="574"/>
      <c r="N70" s="528"/>
      <c r="O70" s="529"/>
      <c r="P70" s="575">
        <f t="shared" si="35"/>
        <v>0</v>
      </c>
      <c r="Q70" s="537"/>
      <c r="R70" s="574"/>
      <c r="S70" s="528"/>
      <c r="T70" s="529"/>
      <c r="U70" s="592">
        <f t="shared" si="36"/>
        <v>0</v>
      </c>
      <c r="V70" s="537"/>
      <c r="W70" s="538"/>
      <c r="X70" s="528"/>
      <c r="Y70" s="529"/>
      <c r="Z70" s="610">
        <f t="shared" si="37"/>
        <v>0</v>
      </c>
      <c r="AA70" s="537"/>
      <c r="AB70" s="538"/>
      <c r="AC70" s="528"/>
      <c r="AD70" s="529"/>
      <c r="AE70" s="611">
        <f t="shared" si="38"/>
        <v>0</v>
      </c>
      <c r="AF70" s="537"/>
      <c r="AG70" s="538"/>
      <c r="AH70" s="528"/>
      <c r="AI70" s="529"/>
      <c r="AJ70" s="630">
        <f t="shared" si="39"/>
        <v>0</v>
      </c>
      <c r="AK70" s="537"/>
      <c r="AL70" s="574"/>
      <c r="AM70" s="631"/>
      <c r="AN70" s="632"/>
      <c r="AO70" s="648"/>
      <c r="AP70" s="632"/>
      <c r="AQ70" s="632"/>
      <c r="AR70" s="649"/>
      <c r="AS70" s="650"/>
      <c r="AT70" s="650"/>
      <c r="AU70" s="650"/>
      <c r="AV70" s="655">
        <f t="shared" si="24"/>
        <v>0</v>
      </c>
      <c r="AW70" s="655">
        <f t="shared" si="31"/>
        <v>0</v>
      </c>
    </row>
    <row r="71" ht="16.5" spans="1:49">
      <c r="A71" s="550" t="str">
        <f>'IA-SI  TANKER'!B21</f>
        <v>High Mariner</v>
      </c>
      <c r="B71" s="518"/>
      <c r="C71" s="660"/>
      <c r="D71" s="520"/>
      <c r="E71" s="521"/>
      <c r="F71" s="522">
        <f t="shared" si="33"/>
        <v>0</v>
      </c>
      <c r="G71" s="523"/>
      <c r="H71" s="524"/>
      <c r="I71" s="520"/>
      <c r="J71" s="521"/>
      <c r="K71" s="566">
        <f t="shared" ref="K71:K74" si="40">L71+M71</f>
        <v>0</v>
      </c>
      <c r="L71" s="523"/>
      <c r="M71" s="567"/>
      <c r="N71" s="520"/>
      <c r="O71" s="521"/>
      <c r="P71" s="568">
        <f t="shared" ref="P71:P74" si="41">Q71+R71</f>
        <v>0</v>
      </c>
      <c r="Q71" s="587"/>
      <c r="R71" s="588"/>
      <c r="S71" s="520"/>
      <c r="T71" s="521"/>
      <c r="U71" s="589">
        <f t="shared" ref="U71:U74" si="42">V71+W71</f>
        <v>0</v>
      </c>
      <c r="V71" s="523"/>
      <c r="W71" s="524"/>
      <c r="X71" s="520"/>
      <c r="Y71" s="521"/>
      <c r="Z71" s="612">
        <f t="shared" ref="Z71:Z74" si="43">AA71+AB71</f>
        <v>0</v>
      </c>
      <c r="AA71" s="523"/>
      <c r="AB71" s="524"/>
      <c r="AC71" s="520"/>
      <c r="AD71" s="521"/>
      <c r="AE71" s="607">
        <f t="shared" ref="AE71:AE74" si="44">AF71+AG71</f>
        <v>0</v>
      </c>
      <c r="AF71" s="523"/>
      <c r="AG71" s="524"/>
      <c r="AH71" s="593"/>
      <c r="AI71" s="521"/>
      <c r="AJ71" s="630">
        <f t="shared" si="39"/>
        <v>0</v>
      </c>
      <c r="AK71" s="523"/>
      <c r="AL71" s="567"/>
      <c r="AM71" s="625"/>
      <c r="AN71" s="626"/>
      <c r="AO71" s="639"/>
      <c r="AP71" s="626"/>
      <c r="AQ71" s="626"/>
      <c r="AR71" s="640"/>
      <c r="AS71" s="641"/>
      <c r="AT71" s="641"/>
      <c r="AU71" s="641"/>
      <c r="AV71" s="653">
        <f t="shared" si="24"/>
        <v>0</v>
      </c>
      <c r="AW71" s="653">
        <f t="shared" si="31"/>
        <v>0</v>
      </c>
    </row>
    <row r="72" ht="15.75" spans="1:49">
      <c r="A72" s="525"/>
      <c r="C72" s="527"/>
      <c r="D72" s="528"/>
      <c r="E72" s="529"/>
      <c r="F72" s="530">
        <f t="shared" si="33"/>
        <v>0</v>
      </c>
      <c r="G72" s="531"/>
      <c r="H72" s="532"/>
      <c r="I72" s="528"/>
      <c r="J72" s="529"/>
      <c r="K72" s="569">
        <f t="shared" si="40"/>
        <v>0</v>
      </c>
      <c r="L72" s="531"/>
      <c r="M72" s="570"/>
      <c r="N72" s="528"/>
      <c r="O72" s="529"/>
      <c r="P72" s="571">
        <f t="shared" si="41"/>
        <v>0</v>
      </c>
      <c r="Q72" s="531"/>
      <c r="R72" s="570"/>
      <c r="S72" s="528"/>
      <c r="T72" s="529"/>
      <c r="U72" s="591">
        <f t="shared" si="42"/>
        <v>0</v>
      </c>
      <c r="V72" s="531"/>
      <c r="W72" s="532"/>
      <c r="X72" s="528"/>
      <c r="Y72" s="529"/>
      <c r="Z72" s="608">
        <f t="shared" si="43"/>
        <v>0</v>
      </c>
      <c r="AA72" s="531"/>
      <c r="AB72" s="532"/>
      <c r="AC72" s="528"/>
      <c r="AD72" s="529"/>
      <c r="AE72" s="609">
        <f t="shared" si="44"/>
        <v>0</v>
      </c>
      <c r="AF72" s="531"/>
      <c r="AG72" s="532"/>
      <c r="AH72" s="528"/>
      <c r="AI72" s="529"/>
      <c r="AJ72" s="627">
        <f t="shared" si="39"/>
        <v>0</v>
      </c>
      <c r="AK72" s="531"/>
      <c r="AL72" s="570"/>
      <c r="AM72" s="628"/>
      <c r="AN72" s="629"/>
      <c r="AO72" s="643"/>
      <c r="AP72" s="629"/>
      <c r="AQ72" s="629"/>
      <c r="AR72" s="644"/>
      <c r="AS72" s="644"/>
      <c r="AT72" s="644"/>
      <c r="AU72" s="644"/>
      <c r="AV72" s="654">
        <f t="shared" si="24"/>
        <v>0</v>
      </c>
      <c r="AW72" s="654">
        <f t="shared" ref="AW72:AW75" si="45">AT72-AS72</f>
        <v>0</v>
      </c>
    </row>
    <row r="73" spans="1:49">
      <c r="A73" s="545"/>
      <c r="B73" s="526"/>
      <c r="C73" s="527"/>
      <c r="D73" s="528"/>
      <c r="E73" s="529"/>
      <c r="F73" s="530">
        <f t="shared" si="33"/>
        <v>0</v>
      </c>
      <c r="G73" s="531"/>
      <c r="H73" s="532"/>
      <c r="I73" s="528"/>
      <c r="J73" s="529"/>
      <c r="K73" s="572">
        <f t="shared" si="40"/>
        <v>0</v>
      </c>
      <c r="L73" s="531"/>
      <c r="M73" s="570"/>
      <c r="N73" s="528"/>
      <c r="O73" s="529"/>
      <c r="P73" s="571">
        <f t="shared" si="41"/>
        <v>0</v>
      </c>
      <c r="Q73" s="531"/>
      <c r="R73" s="570"/>
      <c r="S73" s="528"/>
      <c r="T73" s="529"/>
      <c r="U73" s="591">
        <f t="shared" si="42"/>
        <v>0</v>
      </c>
      <c r="V73" s="531"/>
      <c r="W73" s="532"/>
      <c r="X73" s="528"/>
      <c r="Y73" s="529"/>
      <c r="Z73" s="608">
        <f t="shared" si="43"/>
        <v>0</v>
      </c>
      <c r="AA73" s="531"/>
      <c r="AB73" s="532"/>
      <c r="AC73" s="528"/>
      <c r="AD73" s="529"/>
      <c r="AE73" s="609">
        <f t="shared" si="44"/>
        <v>0</v>
      </c>
      <c r="AF73" s="531"/>
      <c r="AG73" s="532"/>
      <c r="AH73" s="528"/>
      <c r="AI73" s="529"/>
      <c r="AJ73" s="627">
        <f t="shared" si="39"/>
        <v>0</v>
      </c>
      <c r="AK73" s="531"/>
      <c r="AL73" s="570"/>
      <c r="AM73" s="628"/>
      <c r="AN73" s="629"/>
      <c r="AO73" s="643"/>
      <c r="AP73" s="629"/>
      <c r="AQ73" s="629"/>
      <c r="AR73" s="646"/>
      <c r="AS73" s="647"/>
      <c r="AT73" s="647"/>
      <c r="AU73" s="647"/>
      <c r="AV73" s="654">
        <f t="shared" si="24"/>
        <v>0</v>
      </c>
      <c r="AW73" s="654">
        <f t="shared" si="45"/>
        <v>0</v>
      </c>
    </row>
    <row r="74" ht="15.75" spans="1:49">
      <c r="A74" s="546"/>
      <c r="B74" s="534"/>
      <c r="C74" s="542"/>
      <c r="D74" s="528"/>
      <c r="E74" s="529"/>
      <c r="F74" s="536">
        <f t="shared" si="33"/>
        <v>0</v>
      </c>
      <c r="G74" s="537"/>
      <c r="H74" s="538"/>
      <c r="I74" s="528"/>
      <c r="J74" s="529"/>
      <c r="K74" s="573">
        <f t="shared" si="40"/>
        <v>0</v>
      </c>
      <c r="L74" s="537"/>
      <c r="M74" s="574"/>
      <c r="N74" s="528"/>
      <c r="O74" s="529"/>
      <c r="P74" s="575">
        <f t="shared" si="41"/>
        <v>0</v>
      </c>
      <c r="Q74" s="537"/>
      <c r="R74" s="574"/>
      <c r="S74" s="528"/>
      <c r="T74" s="529"/>
      <c r="U74" s="592">
        <f t="shared" si="42"/>
        <v>0</v>
      </c>
      <c r="V74" s="537"/>
      <c r="W74" s="538"/>
      <c r="X74" s="528"/>
      <c r="Y74" s="529"/>
      <c r="Z74" s="610">
        <f t="shared" si="43"/>
        <v>0</v>
      </c>
      <c r="AA74" s="537"/>
      <c r="AB74" s="538"/>
      <c r="AC74" s="528"/>
      <c r="AD74" s="529"/>
      <c r="AE74" s="611">
        <f t="shared" si="44"/>
        <v>0</v>
      </c>
      <c r="AF74" s="537"/>
      <c r="AG74" s="538"/>
      <c r="AH74" s="528"/>
      <c r="AI74" s="529"/>
      <c r="AJ74" s="630">
        <f t="shared" si="39"/>
        <v>0</v>
      </c>
      <c r="AK74" s="537"/>
      <c r="AL74" s="574"/>
      <c r="AM74" s="631"/>
      <c r="AN74" s="632"/>
      <c r="AO74" s="648"/>
      <c r="AP74" s="632"/>
      <c r="AQ74" s="632"/>
      <c r="AR74" s="649"/>
      <c r="AS74" s="650"/>
      <c r="AT74" s="650"/>
      <c r="AU74" s="650"/>
      <c r="AV74" s="655">
        <f t="shared" si="24"/>
        <v>0</v>
      </c>
      <c r="AW74" s="655">
        <f t="shared" si="45"/>
        <v>0</v>
      </c>
    </row>
    <row r="75" ht="16.5" spans="1:49">
      <c r="A75" s="550" t="str">
        <f>'IA-SI  TANKER'!B22</f>
        <v>High Transporter</v>
      </c>
      <c r="B75" s="518" t="s">
        <v>34</v>
      </c>
      <c r="C75" s="660" t="s">
        <v>281</v>
      </c>
      <c r="D75" s="520" t="s">
        <v>285</v>
      </c>
      <c r="E75" s="521" t="s">
        <v>285</v>
      </c>
      <c r="F75" s="522">
        <f t="shared" si="33"/>
        <v>7</v>
      </c>
      <c r="G75" s="523">
        <v>0</v>
      </c>
      <c r="H75" s="524">
        <v>7</v>
      </c>
      <c r="I75" s="520" t="s">
        <v>285</v>
      </c>
      <c r="J75" s="521" t="s">
        <v>285</v>
      </c>
      <c r="K75" s="566">
        <f t="shared" si="34"/>
        <v>6</v>
      </c>
      <c r="L75" s="523">
        <v>0</v>
      </c>
      <c r="M75" s="567">
        <v>6</v>
      </c>
      <c r="N75" s="520"/>
      <c r="O75" s="521"/>
      <c r="P75" s="568">
        <f t="shared" si="35"/>
        <v>0</v>
      </c>
      <c r="Q75" s="587"/>
      <c r="R75" s="588"/>
      <c r="S75" s="520" t="s">
        <v>285</v>
      </c>
      <c r="T75" s="521" t="s">
        <v>285</v>
      </c>
      <c r="U75" s="589">
        <f t="shared" si="36"/>
        <v>7</v>
      </c>
      <c r="V75" s="523">
        <v>0</v>
      </c>
      <c r="W75" s="524">
        <v>7</v>
      </c>
      <c r="X75" s="520" t="s">
        <v>285</v>
      </c>
      <c r="Y75" s="521" t="s">
        <v>285</v>
      </c>
      <c r="Z75" s="612">
        <f t="shared" si="37"/>
        <v>6</v>
      </c>
      <c r="AA75" s="523">
        <v>0</v>
      </c>
      <c r="AB75" s="524">
        <v>6</v>
      </c>
      <c r="AC75" s="520" t="s">
        <v>285</v>
      </c>
      <c r="AD75" s="521" t="s">
        <v>285</v>
      </c>
      <c r="AE75" s="607">
        <f t="shared" si="38"/>
        <v>0</v>
      </c>
      <c r="AF75" s="523">
        <v>0</v>
      </c>
      <c r="AG75" s="524">
        <v>0</v>
      </c>
      <c r="AH75" s="593"/>
      <c r="AI75" s="521"/>
      <c r="AJ75" s="630">
        <f t="shared" ref="AJ75:AJ78" si="46">AK75+AL75</f>
        <v>0</v>
      </c>
      <c r="AK75" s="523"/>
      <c r="AL75" s="567"/>
      <c r="AM75" s="625" t="s">
        <v>285</v>
      </c>
      <c r="AN75" s="626"/>
      <c r="AO75" s="639"/>
      <c r="AP75" s="626" t="s">
        <v>286</v>
      </c>
      <c r="AQ75" s="626" t="s">
        <v>287</v>
      </c>
      <c r="AR75" s="640">
        <v>45572</v>
      </c>
      <c r="AS75" s="641">
        <v>45572</v>
      </c>
      <c r="AT75" s="641">
        <v>45577</v>
      </c>
      <c r="AU75" s="641">
        <v>45578</v>
      </c>
      <c r="AV75" s="653">
        <f t="shared" si="24"/>
        <v>6</v>
      </c>
      <c r="AW75" s="653">
        <f t="shared" si="45"/>
        <v>5</v>
      </c>
    </row>
    <row r="76" ht="15.75" spans="1:49">
      <c r="A76" s="525"/>
      <c r="C76" s="527"/>
      <c r="D76" s="528"/>
      <c r="E76" s="529"/>
      <c r="F76" s="530">
        <f t="shared" ref="F76:F78" si="47">G76+H76</f>
        <v>0</v>
      </c>
      <c r="G76" s="531"/>
      <c r="H76" s="532"/>
      <c r="I76" s="528"/>
      <c r="J76" s="529"/>
      <c r="K76" s="569">
        <f t="shared" ref="K76:K78" si="48">L76+M76</f>
        <v>0</v>
      </c>
      <c r="L76" s="531"/>
      <c r="M76" s="570"/>
      <c r="N76" s="528"/>
      <c r="O76" s="529"/>
      <c r="P76" s="571">
        <f t="shared" ref="P76:P78" si="49">Q76+R76</f>
        <v>0</v>
      </c>
      <c r="Q76" s="531"/>
      <c r="R76" s="570"/>
      <c r="S76" s="528"/>
      <c r="T76" s="529"/>
      <c r="U76" s="591">
        <f t="shared" ref="U76:U78" si="50">V76+W76</f>
        <v>0</v>
      </c>
      <c r="V76" s="531"/>
      <c r="W76" s="532"/>
      <c r="X76" s="528"/>
      <c r="Y76" s="529"/>
      <c r="Z76" s="608">
        <f t="shared" ref="Z76:Z78" si="51">AA76+AB76</f>
        <v>0</v>
      </c>
      <c r="AA76" s="531"/>
      <c r="AB76" s="532"/>
      <c r="AC76" s="528"/>
      <c r="AD76" s="529"/>
      <c r="AE76" s="609">
        <f t="shared" ref="AE76:AE78" si="52">AF76+AG76</f>
        <v>0</v>
      </c>
      <c r="AF76" s="531"/>
      <c r="AG76" s="532"/>
      <c r="AH76" s="528"/>
      <c r="AI76" s="529"/>
      <c r="AJ76" s="627">
        <f t="shared" si="46"/>
        <v>0</v>
      </c>
      <c r="AK76" s="531"/>
      <c r="AL76" s="570"/>
      <c r="AM76" s="628"/>
      <c r="AN76" s="629"/>
      <c r="AO76" s="643"/>
      <c r="AP76" s="629"/>
      <c r="AQ76" s="629"/>
      <c r="AR76" s="644"/>
      <c r="AS76" s="644"/>
      <c r="AT76" s="644"/>
      <c r="AU76" s="644"/>
      <c r="AV76" s="654">
        <f t="shared" ref="AV76:AV78" si="53">AU76-AR76</f>
        <v>0</v>
      </c>
      <c r="AW76" s="654">
        <f t="shared" ref="AW76:AW78" si="54">AT76-AS76</f>
        <v>0</v>
      </c>
    </row>
    <row r="77" spans="1:49">
      <c r="A77" s="545"/>
      <c r="B77" s="526"/>
      <c r="C77" s="527"/>
      <c r="D77" s="528"/>
      <c r="E77" s="529"/>
      <c r="F77" s="530">
        <f t="shared" si="47"/>
        <v>0</v>
      </c>
      <c r="G77" s="531"/>
      <c r="H77" s="532"/>
      <c r="I77" s="528"/>
      <c r="J77" s="529"/>
      <c r="K77" s="572">
        <f t="shared" si="48"/>
        <v>0</v>
      </c>
      <c r="L77" s="531"/>
      <c r="M77" s="570"/>
      <c r="N77" s="528"/>
      <c r="O77" s="529"/>
      <c r="P77" s="571">
        <f t="shared" si="49"/>
        <v>0</v>
      </c>
      <c r="Q77" s="531"/>
      <c r="R77" s="570"/>
      <c r="S77" s="528"/>
      <c r="T77" s="529"/>
      <c r="U77" s="591">
        <f t="shared" si="50"/>
        <v>0</v>
      </c>
      <c r="V77" s="531"/>
      <c r="W77" s="532"/>
      <c r="X77" s="528"/>
      <c r="Y77" s="529"/>
      <c r="Z77" s="608">
        <f t="shared" si="51"/>
        <v>0</v>
      </c>
      <c r="AA77" s="531"/>
      <c r="AB77" s="532"/>
      <c r="AC77" s="528"/>
      <c r="AD77" s="529"/>
      <c r="AE77" s="609">
        <f t="shared" si="52"/>
        <v>0</v>
      </c>
      <c r="AF77" s="531"/>
      <c r="AG77" s="532"/>
      <c r="AH77" s="528"/>
      <c r="AI77" s="529"/>
      <c r="AJ77" s="627">
        <f t="shared" si="46"/>
        <v>0</v>
      </c>
      <c r="AK77" s="531"/>
      <c r="AL77" s="570"/>
      <c r="AM77" s="628"/>
      <c r="AN77" s="629"/>
      <c r="AO77" s="643"/>
      <c r="AP77" s="629"/>
      <c r="AQ77" s="629"/>
      <c r="AR77" s="646"/>
      <c r="AS77" s="647"/>
      <c r="AT77" s="647"/>
      <c r="AU77" s="647"/>
      <c r="AV77" s="654">
        <f t="shared" si="53"/>
        <v>0</v>
      </c>
      <c r="AW77" s="654">
        <f t="shared" si="54"/>
        <v>0</v>
      </c>
    </row>
    <row r="78" ht="15.75" spans="1:49">
      <c r="A78" s="546"/>
      <c r="B78" s="534"/>
      <c r="C78" s="542"/>
      <c r="D78" s="528"/>
      <c r="E78" s="529"/>
      <c r="F78" s="536">
        <f t="shared" si="47"/>
        <v>0</v>
      </c>
      <c r="G78" s="537"/>
      <c r="H78" s="538"/>
      <c r="I78" s="528"/>
      <c r="J78" s="529"/>
      <c r="K78" s="573">
        <f t="shared" si="48"/>
        <v>0</v>
      </c>
      <c r="L78" s="537"/>
      <c r="M78" s="574"/>
      <c r="N78" s="528"/>
      <c r="O78" s="529"/>
      <c r="P78" s="575">
        <f t="shared" si="49"/>
        <v>0</v>
      </c>
      <c r="Q78" s="537"/>
      <c r="R78" s="574"/>
      <c r="S78" s="528"/>
      <c r="T78" s="529"/>
      <c r="U78" s="592">
        <f t="shared" si="50"/>
        <v>0</v>
      </c>
      <c r="V78" s="537"/>
      <c r="W78" s="538"/>
      <c r="X78" s="528"/>
      <c r="Y78" s="529"/>
      <c r="Z78" s="610">
        <f t="shared" si="51"/>
        <v>0</v>
      </c>
      <c r="AA78" s="537"/>
      <c r="AB78" s="538"/>
      <c r="AC78" s="528"/>
      <c r="AD78" s="529"/>
      <c r="AE78" s="611">
        <f t="shared" si="52"/>
        <v>0</v>
      </c>
      <c r="AF78" s="537"/>
      <c r="AG78" s="538"/>
      <c r="AH78" s="528"/>
      <c r="AI78" s="529"/>
      <c r="AJ78" s="630">
        <f t="shared" si="46"/>
        <v>0</v>
      </c>
      <c r="AK78" s="537"/>
      <c r="AL78" s="574"/>
      <c r="AM78" s="631"/>
      <c r="AN78" s="632"/>
      <c r="AO78" s="648"/>
      <c r="AP78" s="632"/>
      <c r="AQ78" s="632"/>
      <c r="AR78" s="649"/>
      <c r="AS78" s="650"/>
      <c r="AT78" s="650"/>
      <c r="AU78" s="650"/>
      <c r="AV78" s="655">
        <f t="shared" si="53"/>
        <v>0</v>
      </c>
      <c r="AW78" s="655">
        <f t="shared" si="54"/>
        <v>0</v>
      </c>
    </row>
    <row r="79" ht="15.75" spans="1:49">
      <c r="A79" s="543" t="str">
        <f>'IA-SI  TANKER'!B23</f>
        <v>Kalk Bay</v>
      </c>
      <c r="B79" s="544" t="s">
        <v>24</v>
      </c>
      <c r="C79" s="519" t="s">
        <v>36</v>
      </c>
      <c r="D79" s="520" t="s">
        <v>288</v>
      </c>
      <c r="E79" s="521" t="s">
        <v>288</v>
      </c>
      <c r="F79" s="522">
        <v>4</v>
      </c>
      <c r="G79" s="523">
        <v>0</v>
      </c>
      <c r="H79" s="524">
        <v>4</v>
      </c>
      <c r="I79" s="520" t="s">
        <v>288</v>
      </c>
      <c r="J79" s="521" t="s">
        <v>288</v>
      </c>
      <c r="K79" s="566">
        <v>5</v>
      </c>
      <c r="L79" s="523">
        <v>0</v>
      </c>
      <c r="M79" s="567">
        <v>5</v>
      </c>
      <c r="N79" s="520" t="s">
        <v>288</v>
      </c>
      <c r="O79" s="521" t="s">
        <v>288</v>
      </c>
      <c r="P79" s="568">
        <v>4</v>
      </c>
      <c r="Q79" s="587">
        <v>0</v>
      </c>
      <c r="R79" s="588">
        <v>4</v>
      </c>
      <c r="S79" s="520" t="s">
        <v>288</v>
      </c>
      <c r="T79" s="521" t="s">
        <v>288</v>
      </c>
      <c r="U79" s="589">
        <v>3</v>
      </c>
      <c r="V79" s="523">
        <v>0</v>
      </c>
      <c r="W79" s="524">
        <v>3</v>
      </c>
      <c r="X79" s="593" t="s">
        <v>288</v>
      </c>
      <c r="Y79" s="521" t="s">
        <v>288</v>
      </c>
      <c r="Z79" s="612">
        <v>4</v>
      </c>
      <c r="AA79" s="523">
        <v>0</v>
      </c>
      <c r="AB79" s="524">
        <v>4</v>
      </c>
      <c r="AC79" s="593" t="s">
        <v>288</v>
      </c>
      <c r="AD79" s="521" t="s">
        <v>288</v>
      </c>
      <c r="AE79" s="607">
        <f t="shared" si="29"/>
        <v>0</v>
      </c>
      <c r="AF79" s="523">
        <v>0</v>
      </c>
      <c r="AG79" s="524">
        <v>0</v>
      </c>
      <c r="AH79" s="593" t="s">
        <v>288</v>
      </c>
      <c r="AI79" s="521" t="s">
        <v>288</v>
      </c>
      <c r="AJ79" s="624">
        <v>3</v>
      </c>
      <c r="AK79" s="523">
        <v>0</v>
      </c>
      <c r="AL79" s="567">
        <v>0</v>
      </c>
      <c r="AM79" s="625" t="s">
        <v>289</v>
      </c>
      <c r="AN79" s="626"/>
      <c r="AO79" s="639"/>
      <c r="AP79" s="626" t="s">
        <v>290</v>
      </c>
      <c r="AQ79" s="626" t="s">
        <v>291</v>
      </c>
      <c r="AR79" s="640">
        <v>45404</v>
      </c>
      <c r="AS79" s="641">
        <v>45404</v>
      </c>
      <c r="AT79" s="641">
        <v>45410</v>
      </c>
      <c r="AU79" s="641">
        <v>45412</v>
      </c>
      <c r="AV79" s="653">
        <f t="shared" si="24"/>
        <v>8</v>
      </c>
      <c r="AW79" s="653">
        <f t="shared" si="31"/>
        <v>6</v>
      </c>
    </row>
    <row r="80" spans="1:49">
      <c r="A80" s="545"/>
      <c r="B80" s="526"/>
      <c r="C80" s="527"/>
      <c r="D80" s="528"/>
      <c r="E80" s="529"/>
      <c r="F80" s="530">
        <f t="shared" si="25"/>
        <v>0</v>
      </c>
      <c r="G80" s="531"/>
      <c r="H80" s="532"/>
      <c r="I80" s="528"/>
      <c r="J80" s="529"/>
      <c r="K80" s="569">
        <f t="shared" si="26"/>
        <v>0</v>
      </c>
      <c r="L80" s="531"/>
      <c r="M80" s="570"/>
      <c r="N80" s="528"/>
      <c r="O80" s="529"/>
      <c r="P80" s="571">
        <f t="shared" si="27"/>
        <v>0</v>
      </c>
      <c r="Q80" s="531"/>
      <c r="R80" s="570"/>
      <c r="S80" s="528"/>
      <c r="T80" s="529"/>
      <c r="U80" s="591">
        <f t="shared" si="32"/>
        <v>0</v>
      </c>
      <c r="V80" s="531"/>
      <c r="W80" s="532"/>
      <c r="X80" s="528"/>
      <c r="Y80" s="529"/>
      <c r="Z80" s="608">
        <f t="shared" si="28"/>
        <v>0</v>
      </c>
      <c r="AA80" s="531"/>
      <c r="AB80" s="532"/>
      <c r="AC80" s="528"/>
      <c r="AD80" s="529"/>
      <c r="AE80" s="609">
        <f t="shared" si="29"/>
        <v>0</v>
      </c>
      <c r="AF80" s="531"/>
      <c r="AG80" s="532"/>
      <c r="AH80" s="528"/>
      <c r="AI80" s="529"/>
      <c r="AJ80" s="627">
        <f t="shared" si="30"/>
        <v>0</v>
      </c>
      <c r="AK80" s="531"/>
      <c r="AL80" s="570"/>
      <c r="AM80" s="628"/>
      <c r="AN80" s="629"/>
      <c r="AO80" s="643"/>
      <c r="AP80" s="629"/>
      <c r="AQ80" s="629"/>
      <c r="AR80" s="644"/>
      <c r="AS80" s="644"/>
      <c r="AT80" s="644"/>
      <c r="AU80" s="644"/>
      <c r="AV80" s="654">
        <f t="shared" ref="AV80:AV122" si="55">AU80-AR80</f>
        <v>0</v>
      </c>
      <c r="AW80" s="654">
        <f t="shared" si="31"/>
        <v>0</v>
      </c>
    </row>
    <row r="81" spans="1:49">
      <c r="A81" s="545"/>
      <c r="B81" s="526"/>
      <c r="C81" s="527"/>
      <c r="D81" s="528"/>
      <c r="E81" s="529"/>
      <c r="F81" s="530">
        <f t="shared" si="25"/>
        <v>0</v>
      </c>
      <c r="G81" s="531"/>
      <c r="H81" s="532"/>
      <c r="I81" s="528"/>
      <c r="J81" s="529"/>
      <c r="K81" s="572">
        <f t="shared" si="26"/>
        <v>0</v>
      </c>
      <c r="L81" s="531"/>
      <c r="M81" s="570"/>
      <c r="N81" s="528"/>
      <c r="O81" s="529"/>
      <c r="P81" s="571">
        <f t="shared" si="27"/>
        <v>0</v>
      </c>
      <c r="Q81" s="531"/>
      <c r="R81" s="570"/>
      <c r="S81" s="528"/>
      <c r="T81" s="529"/>
      <c r="U81" s="591">
        <f t="shared" si="32"/>
        <v>0</v>
      </c>
      <c r="V81" s="531"/>
      <c r="W81" s="532"/>
      <c r="X81" s="528"/>
      <c r="Y81" s="529"/>
      <c r="Z81" s="608">
        <f t="shared" si="28"/>
        <v>0</v>
      </c>
      <c r="AA81" s="531"/>
      <c r="AB81" s="532"/>
      <c r="AC81" s="528"/>
      <c r="AD81" s="529"/>
      <c r="AE81" s="609">
        <f t="shared" si="29"/>
        <v>0</v>
      </c>
      <c r="AF81" s="531"/>
      <c r="AG81" s="532"/>
      <c r="AH81" s="528"/>
      <c r="AI81" s="529"/>
      <c r="AJ81" s="627">
        <f t="shared" si="30"/>
        <v>0</v>
      </c>
      <c r="AK81" s="531"/>
      <c r="AL81" s="570"/>
      <c r="AM81" s="628"/>
      <c r="AN81" s="629"/>
      <c r="AO81" s="643"/>
      <c r="AP81" s="629"/>
      <c r="AQ81" s="629"/>
      <c r="AR81" s="646"/>
      <c r="AS81" s="647"/>
      <c r="AT81" s="647"/>
      <c r="AU81" s="647"/>
      <c r="AV81" s="654">
        <f t="shared" si="55"/>
        <v>0</v>
      </c>
      <c r="AW81" s="654">
        <f t="shared" si="31"/>
        <v>0</v>
      </c>
    </row>
    <row r="82" ht="15.75" spans="1:49">
      <c r="A82" s="546"/>
      <c r="B82" s="534"/>
      <c r="C82" s="542"/>
      <c r="D82" s="528"/>
      <c r="E82" s="529"/>
      <c r="F82" s="536">
        <f t="shared" si="25"/>
        <v>0</v>
      </c>
      <c r="G82" s="537"/>
      <c r="H82" s="538"/>
      <c r="I82" s="528"/>
      <c r="J82" s="529"/>
      <c r="K82" s="573">
        <f t="shared" si="26"/>
        <v>0</v>
      </c>
      <c r="L82" s="537"/>
      <c r="M82" s="574"/>
      <c r="N82" s="528"/>
      <c r="O82" s="529"/>
      <c r="P82" s="575">
        <f t="shared" si="27"/>
        <v>0</v>
      </c>
      <c r="Q82" s="537"/>
      <c r="R82" s="574"/>
      <c r="S82" s="528"/>
      <c r="T82" s="529"/>
      <c r="U82" s="592">
        <f t="shared" si="32"/>
        <v>0</v>
      </c>
      <c r="V82" s="537"/>
      <c r="W82" s="538"/>
      <c r="X82" s="528"/>
      <c r="Y82" s="529"/>
      <c r="Z82" s="610">
        <f t="shared" si="28"/>
        <v>0</v>
      </c>
      <c r="AA82" s="537"/>
      <c r="AB82" s="538"/>
      <c r="AC82" s="528"/>
      <c r="AD82" s="529"/>
      <c r="AE82" s="611">
        <f t="shared" si="29"/>
        <v>0</v>
      </c>
      <c r="AF82" s="537"/>
      <c r="AG82" s="538"/>
      <c r="AH82" s="528"/>
      <c r="AI82" s="529"/>
      <c r="AJ82" s="630">
        <f t="shared" si="30"/>
        <v>0</v>
      </c>
      <c r="AK82" s="537"/>
      <c r="AL82" s="574"/>
      <c r="AM82" s="631"/>
      <c r="AN82" s="632"/>
      <c r="AO82" s="648"/>
      <c r="AP82" s="632"/>
      <c r="AQ82" s="632"/>
      <c r="AR82" s="649"/>
      <c r="AS82" s="650"/>
      <c r="AT82" s="650"/>
      <c r="AU82" s="650"/>
      <c r="AV82" s="655">
        <f t="shared" si="55"/>
        <v>0</v>
      </c>
      <c r="AW82" s="655">
        <f t="shared" si="31"/>
        <v>0</v>
      </c>
    </row>
    <row r="83" ht="15.75" spans="1:49">
      <c r="A83" s="543" t="str">
        <f>'IA-SI  TANKER'!B24</f>
        <v>Mossel Bay</v>
      </c>
      <c r="B83" s="518" t="s">
        <v>31</v>
      </c>
      <c r="C83" s="541" t="s">
        <v>36</v>
      </c>
      <c r="D83" s="520" t="s">
        <v>292</v>
      </c>
      <c r="E83" s="520" t="s">
        <v>292</v>
      </c>
      <c r="F83" s="522">
        <f t="shared" si="25"/>
        <v>5</v>
      </c>
      <c r="G83" s="523">
        <v>1</v>
      </c>
      <c r="H83" s="524">
        <v>4</v>
      </c>
      <c r="I83" s="520" t="s">
        <v>292</v>
      </c>
      <c r="J83" s="520" t="s">
        <v>292</v>
      </c>
      <c r="K83" s="566">
        <f t="shared" si="26"/>
        <v>6</v>
      </c>
      <c r="L83" s="523">
        <v>0</v>
      </c>
      <c r="M83" s="567">
        <v>6</v>
      </c>
      <c r="N83" s="520" t="s">
        <v>292</v>
      </c>
      <c r="O83" s="520" t="s">
        <v>292</v>
      </c>
      <c r="P83" s="568">
        <f t="shared" si="27"/>
        <v>1</v>
      </c>
      <c r="Q83" s="587">
        <v>0</v>
      </c>
      <c r="R83" s="588">
        <v>1</v>
      </c>
      <c r="S83" s="520" t="s">
        <v>292</v>
      </c>
      <c r="T83" s="520" t="s">
        <v>292</v>
      </c>
      <c r="U83" s="589">
        <f t="shared" si="32"/>
        <v>3</v>
      </c>
      <c r="V83" s="523">
        <v>0</v>
      </c>
      <c r="W83" s="524">
        <v>3</v>
      </c>
      <c r="X83" s="520" t="s">
        <v>292</v>
      </c>
      <c r="Y83" s="520" t="s">
        <v>292</v>
      </c>
      <c r="Z83" s="612">
        <f t="shared" si="28"/>
        <v>2</v>
      </c>
      <c r="AA83" s="523">
        <v>0</v>
      </c>
      <c r="AB83" s="524">
        <v>2</v>
      </c>
      <c r="AC83" s="520" t="s">
        <v>292</v>
      </c>
      <c r="AD83" s="520" t="s">
        <v>292</v>
      </c>
      <c r="AE83" s="607">
        <f t="shared" si="29"/>
        <v>0</v>
      </c>
      <c r="AF83" s="523">
        <v>0</v>
      </c>
      <c r="AG83" s="524">
        <v>0</v>
      </c>
      <c r="AH83" s="520" t="s">
        <v>292</v>
      </c>
      <c r="AI83" s="520" t="s">
        <v>292</v>
      </c>
      <c r="AJ83" s="624">
        <f t="shared" si="30"/>
        <v>3</v>
      </c>
      <c r="AK83" s="523">
        <v>0</v>
      </c>
      <c r="AL83" s="567">
        <v>3</v>
      </c>
      <c r="AM83" s="625" t="s">
        <v>292</v>
      </c>
      <c r="AN83" s="626"/>
      <c r="AO83" s="639"/>
      <c r="AP83" s="626" t="s">
        <v>199</v>
      </c>
      <c r="AQ83" s="626" t="s">
        <v>293</v>
      </c>
      <c r="AR83" s="640">
        <v>45626</v>
      </c>
      <c r="AS83" s="641">
        <v>45627</v>
      </c>
      <c r="AT83" s="641">
        <v>45635</v>
      </c>
      <c r="AU83" s="641">
        <v>45635</v>
      </c>
      <c r="AV83" s="653">
        <f t="shared" si="55"/>
        <v>9</v>
      </c>
      <c r="AW83" s="653">
        <f t="shared" si="31"/>
        <v>8</v>
      </c>
    </row>
    <row r="84" spans="1:49">
      <c r="A84" s="545"/>
      <c r="B84" s="526"/>
      <c r="C84" s="527"/>
      <c r="D84" s="528"/>
      <c r="E84" s="529"/>
      <c r="F84" s="530">
        <f t="shared" si="25"/>
        <v>0</v>
      </c>
      <c r="G84" s="531"/>
      <c r="H84" s="532"/>
      <c r="I84" s="528"/>
      <c r="J84" s="529"/>
      <c r="K84" s="569">
        <f t="shared" si="26"/>
        <v>0</v>
      </c>
      <c r="L84" s="531"/>
      <c r="M84" s="570"/>
      <c r="N84" s="528"/>
      <c r="O84" s="529"/>
      <c r="P84" s="571">
        <f t="shared" si="27"/>
        <v>0</v>
      </c>
      <c r="Q84" s="531"/>
      <c r="R84" s="570"/>
      <c r="S84" s="528"/>
      <c r="T84" s="529"/>
      <c r="U84" s="591">
        <f t="shared" si="32"/>
        <v>0</v>
      </c>
      <c r="V84" s="531"/>
      <c r="W84" s="532"/>
      <c r="X84" s="528"/>
      <c r="Y84" s="529"/>
      <c r="Z84" s="608">
        <f t="shared" si="28"/>
        <v>0</v>
      </c>
      <c r="AA84" s="531"/>
      <c r="AB84" s="532"/>
      <c r="AC84" s="528"/>
      <c r="AD84" s="529"/>
      <c r="AE84" s="609">
        <f t="shared" si="29"/>
        <v>0</v>
      </c>
      <c r="AF84" s="531"/>
      <c r="AG84" s="532"/>
      <c r="AH84" s="528"/>
      <c r="AI84" s="529"/>
      <c r="AJ84" s="627">
        <f t="shared" si="30"/>
        <v>0</v>
      </c>
      <c r="AK84" s="531"/>
      <c r="AL84" s="570"/>
      <c r="AM84" s="628"/>
      <c r="AN84" s="629"/>
      <c r="AO84" s="643"/>
      <c r="AP84" s="629"/>
      <c r="AQ84" s="629"/>
      <c r="AR84" s="644"/>
      <c r="AS84" s="644"/>
      <c r="AT84" s="644"/>
      <c r="AU84" s="644"/>
      <c r="AV84" s="654">
        <f t="shared" si="55"/>
        <v>0</v>
      </c>
      <c r="AW84" s="654">
        <f t="shared" si="31"/>
        <v>0</v>
      </c>
    </row>
    <row r="85" spans="1:49">
      <c r="A85" s="545"/>
      <c r="B85" s="526"/>
      <c r="C85" s="527"/>
      <c r="D85" s="528"/>
      <c r="E85" s="529"/>
      <c r="F85" s="530">
        <f t="shared" si="25"/>
        <v>0</v>
      </c>
      <c r="G85" s="531"/>
      <c r="H85" s="532"/>
      <c r="I85" s="528"/>
      <c r="J85" s="529"/>
      <c r="K85" s="572">
        <f t="shared" si="26"/>
        <v>0</v>
      </c>
      <c r="L85" s="531"/>
      <c r="M85" s="570"/>
      <c r="N85" s="528"/>
      <c r="O85" s="529"/>
      <c r="P85" s="571">
        <f t="shared" si="27"/>
        <v>0</v>
      </c>
      <c r="Q85" s="531"/>
      <c r="R85" s="570"/>
      <c r="S85" s="528"/>
      <c r="T85" s="529"/>
      <c r="U85" s="591">
        <f t="shared" si="32"/>
        <v>0</v>
      </c>
      <c r="V85" s="531"/>
      <c r="W85" s="532"/>
      <c r="X85" s="528"/>
      <c r="Y85" s="529"/>
      <c r="Z85" s="608">
        <f t="shared" si="28"/>
        <v>0</v>
      </c>
      <c r="AA85" s="531"/>
      <c r="AB85" s="532"/>
      <c r="AC85" s="528"/>
      <c r="AD85" s="529"/>
      <c r="AE85" s="609">
        <f t="shared" si="29"/>
        <v>0</v>
      </c>
      <c r="AF85" s="531"/>
      <c r="AG85" s="532"/>
      <c r="AH85" s="528"/>
      <c r="AI85" s="529"/>
      <c r="AJ85" s="627">
        <f t="shared" si="30"/>
        <v>0</v>
      </c>
      <c r="AK85" s="531"/>
      <c r="AL85" s="570"/>
      <c r="AM85" s="628"/>
      <c r="AN85" s="629"/>
      <c r="AO85" s="643"/>
      <c r="AP85" s="629"/>
      <c r="AQ85" s="629"/>
      <c r="AR85" s="646"/>
      <c r="AS85" s="647"/>
      <c r="AT85" s="647"/>
      <c r="AU85" s="647"/>
      <c r="AV85" s="654">
        <f t="shared" si="55"/>
        <v>0</v>
      </c>
      <c r="AW85" s="654">
        <f t="shared" si="31"/>
        <v>0</v>
      </c>
    </row>
    <row r="86" ht="15.75" spans="1:49">
      <c r="A86" s="546"/>
      <c r="B86" s="534"/>
      <c r="C86" s="542"/>
      <c r="D86" s="528"/>
      <c r="E86" s="529"/>
      <c r="F86" s="536">
        <f t="shared" si="25"/>
        <v>0</v>
      </c>
      <c r="G86" s="537"/>
      <c r="H86" s="538"/>
      <c r="I86" s="528"/>
      <c r="J86" s="529"/>
      <c r="K86" s="573">
        <f t="shared" si="26"/>
        <v>0</v>
      </c>
      <c r="L86" s="537"/>
      <c r="M86" s="574"/>
      <c r="N86" s="528"/>
      <c r="O86" s="529"/>
      <c r="P86" s="575">
        <f t="shared" si="27"/>
        <v>0</v>
      </c>
      <c r="Q86" s="537"/>
      <c r="R86" s="574"/>
      <c r="S86" s="528"/>
      <c r="T86" s="529"/>
      <c r="U86" s="592">
        <f t="shared" si="32"/>
        <v>0</v>
      </c>
      <c r="V86" s="537"/>
      <c r="W86" s="538"/>
      <c r="X86" s="528"/>
      <c r="Y86" s="529"/>
      <c r="Z86" s="610">
        <f t="shared" si="28"/>
        <v>0</v>
      </c>
      <c r="AA86" s="537"/>
      <c r="AB86" s="538"/>
      <c r="AC86" s="528"/>
      <c r="AD86" s="529"/>
      <c r="AE86" s="611">
        <f t="shared" si="29"/>
        <v>0</v>
      </c>
      <c r="AF86" s="537"/>
      <c r="AG86" s="538"/>
      <c r="AH86" s="528"/>
      <c r="AI86" s="529"/>
      <c r="AJ86" s="630">
        <f t="shared" si="30"/>
        <v>0</v>
      </c>
      <c r="AK86" s="537"/>
      <c r="AL86" s="574"/>
      <c r="AM86" s="631"/>
      <c r="AN86" s="632"/>
      <c r="AO86" s="648"/>
      <c r="AP86" s="632"/>
      <c r="AQ86" s="632"/>
      <c r="AR86" s="649"/>
      <c r="AS86" s="650"/>
      <c r="AT86" s="650"/>
      <c r="AU86" s="650"/>
      <c r="AV86" s="655">
        <f t="shared" si="55"/>
        <v>0</v>
      </c>
      <c r="AW86" s="655">
        <f t="shared" si="31"/>
        <v>0</v>
      </c>
    </row>
    <row r="87" ht="15.75" spans="1:49">
      <c r="A87" s="543" t="str">
        <f>'IA-SI  TANKER'!B25</f>
        <v>Philotimos</v>
      </c>
      <c r="B87" s="518" t="s">
        <v>30</v>
      </c>
      <c r="C87" s="541" t="s">
        <v>36</v>
      </c>
      <c r="D87" s="520" t="s">
        <v>188</v>
      </c>
      <c r="E87" s="521" t="s">
        <v>188</v>
      </c>
      <c r="F87" s="522">
        <f t="shared" ref="F87:F90" si="56">G87+H87</f>
        <v>3</v>
      </c>
      <c r="G87" s="523">
        <v>0</v>
      </c>
      <c r="H87" s="524">
        <v>3</v>
      </c>
      <c r="I87" s="520" t="s">
        <v>188</v>
      </c>
      <c r="J87" s="521" t="s">
        <v>188</v>
      </c>
      <c r="K87" s="566">
        <f t="shared" ref="K87:K90" si="57">L87+M87</f>
        <v>6</v>
      </c>
      <c r="L87" s="523">
        <v>1</v>
      </c>
      <c r="M87" s="567">
        <v>5</v>
      </c>
      <c r="N87" s="520" t="s">
        <v>188</v>
      </c>
      <c r="O87" s="521" t="s">
        <v>188</v>
      </c>
      <c r="P87" s="568">
        <f t="shared" ref="P87:P90" si="58">Q87+R87</f>
        <v>2</v>
      </c>
      <c r="Q87" s="587">
        <v>0</v>
      </c>
      <c r="R87" s="588">
        <v>2</v>
      </c>
      <c r="S87" s="520"/>
      <c r="T87" s="521"/>
      <c r="U87" s="589">
        <f t="shared" ref="U87:U90" si="59">V87+W87</f>
        <v>0</v>
      </c>
      <c r="V87" s="523"/>
      <c r="W87" s="524"/>
      <c r="X87" s="593"/>
      <c r="Y87" s="521"/>
      <c r="Z87" s="612">
        <f t="shared" ref="Z87:Z90" si="60">AA87+AB87</f>
        <v>0</v>
      </c>
      <c r="AA87" s="523"/>
      <c r="AB87" s="524"/>
      <c r="AC87" s="593" t="s">
        <v>188</v>
      </c>
      <c r="AD87" s="521" t="s">
        <v>188</v>
      </c>
      <c r="AE87" s="607">
        <f t="shared" ref="AE87:AE90" si="61">AF87+AG87</f>
        <v>1</v>
      </c>
      <c r="AF87" s="523">
        <v>0</v>
      </c>
      <c r="AG87" s="524">
        <v>1</v>
      </c>
      <c r="AH87" s="593"/>
      <c r="AI87" s="521"/>
      <c r="AJ87" s="624">
        <f t="shared" ref="AJ87:AJ90" si="62">AK87+AL87</f>
        <v>0</v>
      </c>
      <c r="AK87" s="523"/>
      <c r="AL87" s="567"/>
      <c r="AM87" s="625"/>
      <c r="AN87" s="626"/>
      <c r="AO87" s="639"/>
      <c r="AP87" s="626" t="s">
        <v>294</v>
      </c>
      <c r="AQ87" s="626" t="s">
        <v>295</v>
      </c>
      <c r="AR87" s="640">
        <v>45498</v>
      </c>
      <c r="AS87" s="641">
        <v>45498</v>
      </c>
      <c r="AT87" s="641">
        <v>45511</v>
      </c>
      <c r="AU87" s="641">
        <v>45512</v>
      </c>
      <c r="AV87" s="658">
        <f t="shared" ref="AV87:AV90" si="63">AU87-AR87</f>
        <v>14</v>
      </c>
      <c r="AW87" s="658">
        <f t="shared" ref="AW87:AW90" si="64">AT87-AS87</f>
        <v>13</v>
      </c>
    </row>
    <row r="88" spans="1:49">
      <c r="A88" s="545"/>
      <c r="B88" s="526"/>
      <c r="C88" s="527"/>
      <c r="D88" s="528"/>
      <c r="E88" s="529"/>
      <c r="F88" s="530">
        <f t="shared" si="56"/>
        <v>0</v>
      </c>
      <c r="G88" s="531"/>
      <c r="H88" s="532"/>
      <c r="I88" s="528"/>
      <c r="J88" s="529"/>
      <c r="K88" s="569">
        <f t="shared" si="57"/>
        <v>0</v>
      </c>
      <c r="L88" s="531"/>
      <c r="M88" s="570"/>
      <c r="N88" s="528"/>
      <c r="O88" s="529"/>
      <c r="P88" s="571">
        <f t="shared" si="58"/>
        <v>0</v>
      </c>
      <c r="Q88" s="531"/>
      <c r="R88" s="570"/>
      <c r="S88" s="528"/>
      <c r="T88" s="529"/>
      <c r="U88" s="591">
        <f t="shared" si="59"/>
        <v>0</v>
      </c>
      <c r="V88" s="531"/>
      <c r="W88" s="532"/>
      <c r="X88" s="528"/>
      <c r="Y88" s="529"/>
      <c r="Z88" s="608">
        <f t="shared" si="60"/>
        <v>0</v>
      </c>
      <c r="AA88" s="531"/>
      <c r="AB88" s="532"/>
      <c r="AC88" s="528"/>
      <c r="AD88" s="529"/>
      <c r="AE88" s="609">
        <f t="shared" si="61"/>
        <v>0</v>
      </c>
      <c r="AF88" s="531"/>
      <c r="AG88" s="532"/>
      <c r="AH88" s="528"/>
      <c r="AI88" s="529"/>
      <c r="AJ88" s="627">
        <f t="shared" si="62"/>
        <v>0</v>
      </c>
      <c r="AK88" s="531"/>
      <c r="AL88" s="570"/>
      <c r="AM88" s="628"/>
      <c r="AN88" s="629"/>
      <c r="AO88" s="643"/>
      <c r="AP88" s="629"/>
      <c r="AQ88" s="629"/>
      <c r="AR88" s="644"/>
      <c r="AS88" s="644"/>
      <c r="AT88" s="644"/>
      <c r="AU88" s="644"/>
      <c r="AV88" s="654">
        <f t="shared" si="63"/>
        <v>0</v>
      </c>
      <c r="AW88" s="654">
        <f t="shared" si="64"/>
        <v>0</v>
      </c>
    </row>
    <row r="89" spans="1:49">
      <c r="A89" s="545"/>
      <c r="B89" s="526"/>
      <c r="C89" s="527"/>
      <c r="D89" s="528"/>
      <c r="E89" s="529"/>
      <c r="F89" s="530">
        <f t="shared" si="56"/>
        <v>0</v>
      </c>
      <c r="G89" s="531"/>
      <c r="H89" s="532"/>
      <c r="I89" s="528"/>
      <c r="J89" s="529"/>
      <c r="K89" s="572">
        <f t="shared" si="57"/>
        <v>0</v>
      </c>
      <c r="L89" s="531"/>
      <c r="M89" s="570"/>
      <c r="N89" s="528"/>
      <c r="O89" s="529"/>
      <c r="P89" s="571">
        <f t="shared" si="58"/>
        <v>0</v>
      </c>
      <c r="Q89" s="531"/>
      <c r="R89" s="570"/>
      <c r="S89" s="528"/>
      <c r="T89" s="529"/>
      <c r="U89" s="591">
        <f t="shared" si="59"/>
        <v>0</v>
      </c>
      <c r="V89" s="531"/>
      <c r="W89" s="532"/>
      <c r="X89" s="528"/>
      <c r="Y89" s="529"/>
      <c r="Z89" s="608">
        <f t="shared" si="60"/>
        <v>0</v>
      </c>
      <c r="AA89" s="531"/>
      <c r="AB89" s="532"/>
      <c r="AC89" s="528"/>
      <c r="AD89" s="529"/>
      <c r="AE89" s="609">
        <f t="shared" si="61"/>
        <v>0</v>
      </c>
      <c r="AF89" s="531"/>
      <c r="AG89" s="532"/>
      <c r="AH89" s="528"/>
      <c r="AI89" s="529"/>
      <c r="AJ89" s="627">
        <f t="shared" si="62"/>
        <v>0</v>
      </c>
      <c r="AK89" s="531"/>
      <c r="AL89" s="570"/>
      <c r="AM89" s="628"/>
      <c r="AN89" s="629"/>
      <c r="AO89" s="643"/>
      <c r="AP89" s="629"/>
      <c r="AQ89" s="629"/>
      <c r="AR89" s="646"/>
      <c r="AS89" s="647"/>
      <c r="AT89" s="647"/>
      <c r="AU89" s="647"/>
      <c r="AV89" s="654">
        <f t="shared" si="63"/>
        <v>0</v>
      </c>
      <c r="AW89" s="654">
        <f t="shared" si="64"/>
        <v>0</v>
      </c>
    </row>
    <row r="90" ht="15.75" spans="1:49">
      <c r="A90" s="546"/>
      <c r="B90" s="534"/>
      <c r="C90" s="542"/>
      <c r="D90" s="528"/>
      <c r="E90" s="529"/>
      <c r="F90" s="536">
        <f t="shared" si="56"/>
        <v>0</v>
      </c>
      <c r="G90" s="537"/>
      <c r="H90" s="538"/>
      <c r="I90" s="528"/>
      <c r="J90" s="529"/>
      <c r="K90" s="573">
        <f t="shared" si="57"/>
        <v>0</v>
      </c>
      <c r="L90" s="537"/>
      <c r="M90" s="574"/>
      <c r="N90" s="528"/>
      <c r="O90" s="529"/>
      <c r="P90" s="575">
        <f t="shared" si="58"/>
        <v>0</v>
      </c>
      <c r="Q90" s="537"/>
      <c r="R90" s="574"/>
      <c r="S90" s="528"/>
      <c r="T90" s="529"/>
      <c r="U90" s="592">
        <f t="shared" si="59"/>
        <v>0</v>
      </c>
      <c r="V90" s="537"/>
      <c r="W90" s="538"/>
      <c r="X90" s="528"/>
      <c r="Y90" s="529"/>
      <c r="Z90" s="610">
        <f t="shared" si="60"/>
        <v>0</v>
      </c>
      <c r="AA90" s="537"/>
      <c r="AB90" s="538"/>
      <c r="AC90" s="528"/>
      <c r="AD90" s="529"/>
      <c r="AE90" s="611">
        <f t="shared" si="61"/>
        <v>0</v>
      </c>
      <c r="AF90" s="537"/>
      <c r="AG90" s="538"/>
      <c r="AH90" s="528"/>
      <c r="AI90" s="529"/>
      <c r="AJ90" s="630">
        <f t="shared" si="62"/>
        <v>0</v>
      </c>
      <c r="AK90" s="537"/>
      <c r="AL90" s="574"/>
      <c r="AM90" s="631"/>
      <c r="AN90" s="632"/>
      <c r="AO90" s="648"/>
      <c r="AP90" s="632"/>
      <c r="AQ90" s="632"/>
      <c r="AR90" s="649"/>
      <c r="AS90" s="650"/>
      <c r="AT90" s="650"/>
      <c r="AU90" s="650"/>
      <c r="AV90" s="655">
        <f t="shared" si="63"/>
        <v>0</v>
      </c>
      <c r="AW90" s="659">
        <f t="shared" si="64"/>
        <v>0</v>
      </c>
    </row>
    <row r="91" ht="15.75" spans="1:49">
      <c r="A91" s="543" t="str">
        <f>'IA-SI  TANKER'!B26</f>
        <v>Philoxenia</v>
      </c>
      <c r="B91" s="518" t="s">
        <v>24</v>
      </c>
      <c r="C91" s="541" t="s">
        <v>36</v>
      </c>
      <c r="D91" s="520" t="s">
        <v>296</v>
      </c>
      <c r="E91" s="521" t="s">
        <v>296</v>
      </c>
      <c r="F91" s="522">
        <f t="shared" si="25"/>
        <v>2</v>
      </c>
      <c r="G91" s="523">
        <v>0</v>
      </c>
      <c r="H91" s="524">
        <v>2</v>
      </c>
      <c r="I91" s="520" t="s">
        <v>296</v>
      </c>
      <c r="J91" s="521" t="s">
        <v>296</v>
      </c>
      <c r="K91" s="566">
        <f t="shared" si="26"/>
        <v>4</v>
      </c>
      <c r="L91" s="523">
        <v>0</v>
      </c>
      <c r="M91" s="567">
        <v>4</v>
      </c>
      <c r="N91" s="520" t="s">
        <v>296</v>
      </c>
      <c r="O91" s="521" t="s">
        <v>296</v>
      </c>
      <c r="P91" s="568">
        <f t="shared" si="27"/>
        <v>4</v>
      </c>
      <c r="Q91" s="587">
        <v>0</v>
      </c>
      <c r="R91" s="588">
        <v>4</v>
      </c>
      <c r="S91" s="520" t="s">
        <v>296</v>
      </c>
      <c r="T91" s="521" t="s">
        <v>296</v>
      </c>
      <c r="U91" s="589">
        <f t="shared" si="32"/>
        <v>1</v>
      </c>
      <c r="V91" s="523">
        <v>0</v>
      </c>
      <c r="W91" s="524">
        <v>1</v>
      </c>
      <c r="X91" s="593" t="s">
        <v>296</v>
      </c>
      <c r="Y91" s="521" t="s">
        <v>296</v>
      </c>
      <c r="Z91" s="612">
        <f t="shared" si="28"/>
        <v>1</v>
      </c>
      <c r="AA91" s="523">
        <v>0</v>
      </c>
      <c r="AB91" s="524">
        <v>1</v>
      </c>
      <c r="AC91" s="593" t="s">
        <v>296</v>
      </c>
      <c r="AD91" s="521" t="s">
        <v>296</v>
      </c>
      <c r="AE91" s="607">
        <f t="shared" si="29"/>
        <v>0</v>
      </c>
      <c r="AF91" s="523">
        <v>0</v>
      </c>
      <c r="AG91" s="524">
        <v>0</v>
      </c>
      <c r="AH91" s="593" t="s">
        <v>296</v>
      </c>
      <c r="AI91" s="521" t="s">
        <v>296</v>
      </c>
      <c r="AJ91" s="624">
        <f t="shared" si="30"/>
        <v>1</v>
      </c>
      <c r="AK91" s="523">
        <v>0</v>
      </c>
      <c r="AL91" s="567">
        <v>1</v>
      </c>
      <c r="AM91" s="625" t="s">
        <v>297</v>
      </c>
      <c r="AN91" s="626"/>
      <c r="AO91" s="639"/>
      <c r="AP91" s="626" t="s">
        <v>298</v>
      </c>
      <c r="AQ91" s="626" t="s">
        <v>299</v>
      </c>
      <c r="AR91" s="640">
        <v>45298</v>
      </c>
      <c r="AS91" s="641">
        <v>45299</v>
      </c>
      <c r="AT91" s="641">
        <v>45315</v>
      </c>
      <c r="AU91" s="641">
        <v>45316</v>
      </c>
      <c r="AV91" s="658">
        <f t="shared" si="55"/>
        <v>18</v>
      </c>
      <c r="AW91" s="658">
        <f t="shared" si="31"/>
        <v>16</v>
      </c>
    </row>
    <row r="92" spans="1:49">
      <c r="A92" s="545"/>
      <c r="B92" s="526" t="s">
        <v>30</v>
      </c>
      <c r="C92" s="527" t="s">
        <v>37</v>
      </c>
      <c r="D92" s="528" t="s">
        <v>300</v>
      </c>
      <c r="E92" s="529" t="s">
        <v>300</v>
      </c>
      <c r="F92" s="530">
        <f t="shared" si="25"/>
        <v>3</v>
      </c>
      <c r="G92" s="531">
        <v>0</v>
      </c>
      <c r="H92" s="532">
        <v>3</v>
      </c>
      <c r="I92" s="528"/>
      <c r="J92" s="529"/>
      <c r="K92" s="569">
        <f t="shared" si="26"/>
        <v>0</v>
      </c>
      <c r="L92" s="531"/>
      <c r="M92" s="570"/>
      <c r="N92" s="528"/>
      <c r="O92" s="529"/>
      <c r="P92" s="571">
        <f t="shared" si="27"/>
        <v>0</v>
      </c>
      <c r="Q92" s="531"/>
      <c r="R92" s="570"/>
      <c r="S92" s="528"/>
      <c r="T92" s="529"/>
      <c r="U92" s="591">
        <f t="shared" si="32"/>
        <v>0</v>
      </c>
      <c r="V92" s="531"/>
      <c r="W92" s="532"/>
      <c r="X92" s="528"/>
      <c r="Y92" s="529"/>
      <c r="Z92" s="608">
        <f t="shared" si="28"/>
        <v>0</v>
      </c>
      <c r="AA92" s="531"/>
      <c r="AB92" s="532"/>
      <c r="AC92" s="528" t="s">
        <v>300</v>
      </c>
      <c r="AD92" s="529" t="s">
        <v>300</v>
      </c>
      <c r="AE92" s="609">
        <f t="shared" si="29"/>
        <v>0</v>
      </c>
      <c r="AF92" s="531">
        <v>0</v>
      </c>
      <c r="AG92" s="532">
        <v>0</v>
      </c>
      <c r="AH92" s="528"/>
      <c r="AI92" s="529"/>
      <c r="AJ92" s="627">
        <f t="shared" si="30"/>
        <v>0</v>
      </c>
      <c r="AK92" s="531"/>
      <c r="AL92" s="570"/>
      <c r="AM92" s="628"/>
      <c r="AN92" s="629"/>
      <c r="AO92" s="643"/>
      <c r="AP92" s="629" t="s">
        <v>301</v>
      </c>
      <c r="AQ92" s="629" t="s">
        <v>301</v>
      </c>
      <c r="AR92" s="644">
        <v>45620</v>
      </c>
      <c r="AS92" s="644">
        <v>45621</v>
      </c>
      <c r="AT92" s="644">
        <v>45621</v>
      </c>
      <c r="AU92" s="644">
        <v>45623</v>
      </c>
      <c r="AV92" s="654">
        <f t="shared" si="55"/>
        <v>3</v>
      </c>
      <c r="AW92" s="654">
        <f t="shared" si="31"/>
        <v>0</v>
      </c>
    </row>
    <row r="93" spans="1:49">
      <c r="A93" s="545"/>
      <c r="B93" s="526" t="s">
        <v>33</v>
      </c>
      <c r="C93" s="527" t="s">
        <v>37</v>
      </c>
      <c r="D93" s="528"/>
      <c r="E93" s="529"/>
      <c r="F93" s="530">
        <f t="shared" si="25"/>
        <v>0</v>
      </c>
      <c r="G93" s="531"/>
      <c r="H93" s="532"/>
      <c r="I93" s="528" t="s">
        <v>302</v>
      </c>
      <c r="J93" s="529" t="s">
        <v>302</v>
      </c>
      <c r="K93" s="572">
        <f t="shared" si="26"/>
        <v>4</v>
      </c>
      <c r="L93" s="531">
        <v>1</v>
      </c>
      <c r="M93" s="570">
        <v>3</v>
      </c>
      <c r="N93" s="528"/>
      <c r="O93" s="529"/>
      <c r="P93" s="571">
        <f t="shared" si="27"/>
        <v>0</v>
      </c>
      <c r="Q93" s="531"/>
      <c r="R93" s="570"/>
      <c r="S93" s="528"/>
      <c r="T93" s="529"/>
      <c r="U93" s="591">
        <f t="shared" si="32"/>
        <v>0</v>
      </c>
      <c r="V93" s="531"/>
      <c r="W93" s="532"/>
      <c r="X93" s="528"/>
      <c r="Y93" s="529"/>
      <c r="Z93" s="608">
        <f t="shared" si="28"/>
        <v>0</v>
      </c>
      <c r="AA93" s="531"/>
      <c r="AB93" s="532"/>
      <c r="AC93" s="528"/>
      <c r="AD93" s="529"/>
      <c r="AE93" s="609">
        <f t="shared" si="29"/>
        <v>0</v>
      </c>
      <c r="AF93" s="531"/>
      <c r="AG93" s="532"/>
      <c r="AH93" s="528"/>
      <c r="AI93" s="529"/>
      <c r="AJ93" s="627">
        <f t="shared" si="30"/>
        <v>0</v>
      </c>
      <c r="AK93" s="531"/>
      <c r="AL93" s="570"/>
      <c r="AM93" s="628"/>
      <c r="AN93" s="629"/>
      <c r="AO93" s="643"/>
      <c r="AP93" s="629"/>
      <c r="AQ93" s="629"/>
      <c r="AR93" s="646"/>
      <c r="AS93" s="647"/>
      <c r="AT93" s="647"/>
      <c r="AU93" s="647"/>
      <c r="AV93" s="654">
        <f t="shared" si="55"/>
        <v>0</v>
      </c>
      <c r="AW93" s="654">
        <f t="shared" si="31"/>
        <v>0</v>
      </c>
    </row>
    <row r="94" ht="15.75" spans="1:49">
      <c r="A94" s="546"/>
      <c r="B94" s="534"/>
      <c r="C94" s="542"/>
      <c r="D94" s="528"/>
      <c r="E94" s="529"/>
      <c r="F94" s="536">
        <f t="shared" si="25"/>
        <v>0</v>
      </c>
      <c r="G94" s="537"/>
      <c r="H94" s="538"/>
      <c r="I94" s="528"/>
      <c r="J94" s="529"/>
      <c r="K94" s="573">
        <f t="shared" si="26"/>
        <v>0</v>
      </c>
      <c r="L94" s="537"/>
      <c r="M94" s="574"/>
      <c r="N94" s="528"/>
      <c r="O94" s="529"/>
      <c r="P94" s="575">
        <f t="shared" si="27"/>
        <v>0</v>
      </c>
      <c r="Q94" s="537"/>
      <c r="R94" s="574"/>
      <c r="S94" s="528"/>
      <c r="T94" s="529"/>
      <c r="U94" s="592">
        <f t="shared" si="32"/>
        <v>0</v>
      </c>
      <c r="V94" s="537"/>
      <c r="W94" s="538"/>
      <c r="X94" s="528"/>
      <c r="Y94" s="529"/>
      <c r="Z94" s="610">
        <f t="shared" si="28"/>
        <v>0</v>
      </c>
      <c r="AA94" s="537"/>
      <c r="AB94" s="538"/>
      <c r="AC94" s="528"/>
      <c r="AD94" s="529"/>
      <c r="AE94" s="611">
        <f t="shared" si="29"/>
        <v>0</v>
      </c>
      <c r="AF94" s="537"/>
      <c r="AG94" s="538"/>
      <c r="AH94" s="528"/>
      <c r="AI94" s="529"/>
      <c r="AJ94" s="630">
        <f t="shared" si="30"/>
        <v>0</v>
      </c>
      <c r="AK94" s="537"/>
      <c r="AL94" s="574"/>
      <c r="AM94" s="631"/>
      <c r="AN94" s="632"/>
      <c r="AO94" s="648"/>
      <c r="AP94" s="632"/>
      <c r="AQ94" s="632"/>
      <c r="AR94" s="649"/>
      <c r="AS94" s="650"/>
      <c r="AT94" s="650"/>
      <c r="AU94" s="650"/>
      <c r="AV94" s="655">
        <f t="shared" si="55"/>
        <v>0</v>
      </c>
      <c r="AW94" s="659">
        <f t="shared" si="31"/>
        <v>0</v>
      </c>
    </row>
    <row r="95" ht="15.75" spans="1:49">
      <c r="A95" s="661" t="str">
        <f>'IA-SI  TANKER'!B27</f>
        <v>PNX Conqueror</v>
      </c>
      <c r="B95" s="662" t="s">
        <v>30</v>
      </c>
      <c r="C95" s="663" t="s">
        <v>37</v>
      </c>
      <c r="D95" s="520" t="s">
        <v>297</v>
      </c>
      <c r="E95" s="521" t="s">
        <v>297</v>
      </c>
      <c r="F95" s="522">
        <f t="shared" ref="F95:F106" si="65">G95+H95</f>
        <v>2</v>
      </c>
      <c r="G95" s="523">
        <v>0</v>
      </c>
      <c r="H95" s="524">
        <v>2</v>
      </c>
      <c r="I95" s="520" t="s">
        <v>297</v>
      </c>
      <c r="J95" s="521" t="s">
        <v>297</v>
      </c>
      <c r="K95" s="566">
        <f t="shared" ref="K95:K106" si="66">L95+M95</f>
        <v>5</v>
      </c>
      <c r="L95" s="523">
        <v>0</v>
      </c>
      <c r="M95" s="567">
        <v>5</v>
      </c>
      <c r="N95" s="520"/>
      <c r="O95" s="521"/>
      <c r="P95" s="568">
        <f t="shared" ref="P95:P106" si="67">Q95+R95</f>
        <v>0</v>
      </c>
      <c r="Q95" s="587"/>
      <c r="R95" s="588"/>
      <c r="S95" s="520"/>
      <c r="T95" s="521"/>
      <c r="U95" s="589">
        <f t="shared" ref="U95:U106" si="68">V95+W95</f>
        <v>0</v>
      </c>
      <c r="V95" s="523"/>
      <c r="W95" s="524"/>
      <c r="X95" s="593"/>
      <c r="Y95" s="521"/>
      <c r="Z95" s="612">
        <f t="shared" ref="Z95:Z106" si="69">AA95+AB95</f>
        <v>0</v>
      </c>
      <c r="AA95" s="523"/>
      <c r="AB95" s="524"/>
      <c r="AC95" s="593" t="s">
        <v>297</v>
      </c>
      <c r="AD95" s="521" t="s">
        <v>297</v>
      </c>
      <c r="AE95" s="607">
        <f t="shared" ref="AE95:AE106" si="70">AF95+AG95</f>
        <v>0</v>
      </c>
      <c r="AF95" s="523">
        <v>0</v>
      </c>
      <c r="AG95" s="524">
        <v>0</v>
      </c>
      <c r="AH95" s="593"/>
      <c r="AI95" s="521"/>
      <c r="AJ95" s="624">
        <f t="shared" ref="AJ95:AJ106" si="71">AK95+AL95</f>
        <v>0</v>
      </c>
      <c r="AK95" s="523"/>
      <c r="AL95" s="567"/>
      <c r="AM95" s="625"/>
      <c r="AN95" s="626"/>
      <c r="AO95" s="639"/>
      <c r="AP95" s="626" t="s">
        <v>303</v>
      </c>
      <c r="AQ95" s="626" t="s">
        <v>303</v>
      </c>
      <c r="AR95" s="640">
        <v>45302</v>
      </c>
      <c r="AS95" s="641">
        <v>45303</v>
      </c>
      <c r="AT95" s="641">
        <v>45304</v>
      </c>
      <c r="AU95" s="641">
        <v>45304</v>
      </c>
      <c r="AV95" s="653">
        <f t="shared" ref="AV95:AV106" si="72">AU95-AR95</f>
        <v>2</v>
      </c>
      <c r="AW95" s="653">
        <f t="shared" ref="AW95:AW106" si="73">AT95-AS95</f>
        <v>1</v>
      </c>
    </row>
    <row r="96" spans="1:49">
      <c r="A96" s="545"/>
      <c r="B96" s="664" t="s">
        <v>30</v>
      </c>
      <c r="C96" s="527" t="s">
        <v>36</v>
      </c>
      <c r="D96" s="528"/>
      <c r="E96" s="529"/>
      <c r="F96" s="530">
        <f t="shared" si="65"/>
        <v>0</v>
      </c>
      <c r="G96" s="531"/>
      <c r="H96" s="532"/>
      <c r="I96" s="528"/>
      <c r="J96" s="529"/>
      <c r="K96" s="569">
        <f t="shared" si="66"/>
        <v>0</v>
      </c>
      <c r="L96" s="531"/>
      <c r="M96" s="570"/>
      <c r="N96" s="528" t="s">
        <v>304</v>
      </c>
      <c r="O96" s="529" t="s">
        <v>304</v>
      </c>
      <c r="P96" s="571">
        <f t="shared" si="67"/>
        <v>3</v>
      </c>
      <c r="Q96" s="531">
        <v>0</v>
      </c>
      <c r="R96" s="570">
        <v>3</v>
      </c>
      <c r="S96" s="528" t="s">
        <v>304</v>
      </c>
      <c r="T96" s="529" t="s">
        <v>304</v>
      </c>
      <c r="U96" s="591">
        <f t="shared" si="68"/>
        <v>2</v>
      </c>
      <c r="V96" s="531">
        <v>0</v>
      </c>
      <c r="W96" s="532">
        <v>2</v>
      </c>
      <c r="X96" s="528" t="s">
        <v>304</v>
      </c>
      <c r="Y96" s="529" t="s">
        <v>304</v>
      </c>
      <c r="Z96" s="608">
        <f t="shared" si="69"/>
        <v>2</v>
      </c>
      <c r="AA96" s="531">
        <v>0</v>
      </c>
      <c r="AB96" s="532">
        <v>2</v>
      </c>
      <c r="AC96" s="528"/>
      <c r="AD96" s="529"/>
      <c r="AE96" s="609">
        <f t="shared" si="70"/>
        <v>0</v>
      </c>
      <c r="AF96" s="531"/>
      <c r="AG96" s="532"/>
      <c r="AH96" s="528" t="s">
        <v>304</v>
      </c>
      <c r="AI96" s="529" t="s">
        <v>304</v>
      </c>
      <c r="AJ96" s="627">
        <f t="shared" si="71"/>
        <v>2</v>
      </c>
      <c r="AK96" s="531">
        <v>0</v>
      </c>
      <c r="AL96" s="570">
        <v>2</v>
      </c>
      <c r="AM96" s="628"/>
      <c r="AN96" s="629"/>
      <c r="AO96" s="643"/>
      <c r="AP96" s="629" t="s">
        <v>305</v>
      </c>
      <c r="AQ96" s="629" t="s">
        <v>303</v>
      </c>
      <c r="AR96" s="644">
        <v>45328</v>
      </c>
      <c r="AS96" s="644">
        <v>45330</v>
      </c>
      <c r="AT96" s="644">
        <v>45337</v>
      </c>
      <c r="AU96" s="644">
        <v>45339</v>
      </c>
      <c r="AV96" s="654">
        <f t="shared" si="72"/>
        <v>11</v>
      </c>
      <c r="AW96" s="654">
        <f t="shared" si="73"/>
        <v>7</v>
      </c>
    </row>
    <row r="97" spans="1:49">
      <c r="A97" s="545"/>
      <c r="B97" s="526"/>
      <c r="C97" s="527"/>
      <c r="D97" s="528"/>
      <c r="E97" s="529"/>
      <c r="F97" s="530">
        <f t="shared" si="65"/>
        <v>0</v>
      </c>
      <c r="G97" s="531"/>
      <c r="H97" s="532"/>
      <c r="I97" s="528"/>
      <c r="J97" s="529"/>
      <c r="K97" s="572">
        <f t="shared" si="66"/>
        <v>0</v>
      </c>
      <c r="L97" s="531"/>
      <c r="M97" s="570"/>
      <c r="N97" s="528"/>
      <c r="O97" s="529"/>
      <c r="P97" s="571">
        <f t="shared" si="67"/>
        <v>0</v>
      </c>
      <c r="Q97" s="531"/>
      <c r="R97" s="570"/>
      <c r="S97" s="528"/>
      <c r="T97" s="529"/>
      <c r="U97" s="591">
        <f t="shared" si="68"/>
        <v>0</v>
      </c>
      <c r="V97" s="531"/>
      <c r="W97" s="532"/>
      <c r="X97" s="528"/>
      <c r="Y97" s="529"/>
      <c r="Z97" s="608">
        <f t="shared" si="69"/>
        <v>0</v>
      </c>
      <c r="AA97" s="531"/>
      <c r="AB97" s="532"/>
      <c r="AC97" s="528"/>
      <c r="AD97" s="529"/>
      <c r="AE97" s="609">
        <f t="shared" si="70"/>
        <v>0</v>
      </c>
      <c r="AF97" s="531"/>
      <c r="AG97" s="532"/>
      <c r="AH97" s="528"/>
      <c r="AI97" s="529"/>
      <c r="AJ97" s="627">
        <f t="shared" si="71"/>
        <v>0</v>
      </c>
      <c r="AK97" s="531"/>
      <c r="AL97" s="570"/>
      <c r="AM97" s="628"/>
      <c r="AN97" s="629"/>
      <c r="AO97" s="643"/>
      <c r="AP97" s="629"/>
      <c r="AQ97" s="629"/>
      <c r="AR97" s="646"/>
      <c r="AS97" s="647"/>
      <c r="AT97" s="647"/>
      <c r="AU97" s="647"/>
      <c r="AV97" s="654">
        <f t="shared" si="72"/>
        <v>0</v>
      </c>
      <c r="AW97" s="654">
        <f t="shared" si="73"/>
        <v>0</v>
      </c>
    </row>
    <row r="98" ht="15.75" spans="1:49">
      <c r="A98" s="546"/>
      <c r="B98" s="534"/>
      <c r="C98" s="542"/>
      <c r="D98" s="528"/>
      <c r="E98" s="529"/>
      <c r="F98" s="536">
        <f t="shared" si="65"/>
        <v>0</v>
      </c>
      <c r="G98" s="537"/>
      <c r="H98" s="538"/>
      <c r="I98" s="528"/>
      <c r="J98" s="529"/>
      <c r="K98" s="573">
        <f t="shared" si="66"/>
        <v>0</v>
      </c>
      <c r="L98" s="537"/>
      <c r="M98" s="574"/>
      <c r="N98" s="528"/>
      <c r="O98" s="529"/>
      <c r="P98" s="575">
        <f t="shared" si="67"/>
        <v>0</v>
      </c>
      <c r="Q98" s="537"/>
      <c r="R98" s="574"/>
      <c r="S98" s="528"/>
      <c r="T98" s="529"/>
      <c r="U98" s="592">
        <f t="shared" si="68"/>
        <v>0</v>
      </c>
      <c r="V98" s="537"/>
      <c r="W98" s="538"/>
      <c r="X98" s="528"/>
      <c r="Y98" s="529"/>
      <c r="Z98" s="610">
        <f t="shared" si="69"/>
        <v>0</v>
      </c>
      <c r="AA98" s="537"/>
      <c r="AB98" s="538"/>
      <c r="AC98" s="528"/>
      <c r="AD98" s="529"/>
      <c r="AE98" s="611">
        <f t="shared" si="70"/>
        <v>0</v>
      </c>
      <c r="AF98" s="537"/>
      <c r="AG98" s="538"/>
      <c r="AH98" s="528"/>
      <c r="AI98" s="529"/>
      <c r="AJ98" s="630">
        <f t="shared" si="71"/>
        <v>0</v>
      </c>
      <c r="AK98" s="537"/>
      <c r="AL98" s="574"/>
      <c r="AM98" s="631"/>
      <c r="AN98" s="632"/>
      <c r="AO98" s="648"/>
      <c r="AP98" s="632"/>
      <c r="AQ98" s="632"/>
      <c r="AR98" s="649"/>
      <c r="AS98" s="650"/>
      <c r="AT98" s="650"/>
      <c r="AU98" s="650"/>
      <c r="AV98" s="680">
        <f t="shared" si="72"/>
        <v>0</v>
      </c>
      <c r="AW98" s="680">
        <f t="shared" si="73"/>
        <v>0</v>
      </c>
    </row>
    <row r="99" ht="15.75" spans="1:49">
      <c r="A99" s="661" t="str">
        <f>'IA-SI  TANKER'!B28</f>
        <v>PS Tokyo (Gone)</v>
      </c>
      <c r="B99" s="544" t="s">
        <v>25</v>
      </c>
      <c r="C99" s="519" t="s">
        <v>36</v>
      </c>
      <c r="D99" s="520"/>
      <c r="E99" s="521"/>
      <c r="F99" s="522">
        <f t="shared" si="65"/>
        <v>0</v>
      </c>
      <c r="G99" s="523"/>
      <c r="H99" s="524"/>
      <c r="I99" s="520" t="s">
        <v>268</v>
      </c>
      <c r="J99" s="521" t="s">
        <v>268</v>
      </c>
      <c r="K99" s="566">
        <f t="shared" si="66"/>
        <v>3</v>
      </c>
      <c r="L99" s="523">
        <v>0</v>
      </c>
      <c r="M99" s="567">
        <v>3</v>
      </c>
      <c r="N99" s="520" t="s">
        <v>268</v>
      </c>
      <c r="O99" s="520" t="s">
        <v>268</v>
      </c>
      <c r="P99" s="568">
        <f t="shared" si="67"/>
        <v>2</v>
      </c>
      <c r="Q99" s="587">
        <v>0</v>
      </c>
      <c r="R99" s="588">
        <v>2</v>
      </c>
      <c r="S99" s="520" t="s">
        <v>268</v>
      </c>
      <c r="T99" s="520" t="s">
        <v>268</v>
      </c>
      <c r="U99" s="589">
        <f t="shared" si="68"/>
        <v>1</v>
      </c>
      <c r="V99" s="523">
        <v>0</v>
      </c>
      <c r="W99" s="524">
        <v>1</v>
      </c>
      <c r="X99" s="520" t="s">
        <v>268</v>
      </c>
      <c r="Y99" s="520" t="s">
        <v>268</v>
      </c>
      <c r="Z99" s="612">
        <f t="shared" si="69"/>
        <v>2</v>
      </c>
      <c r="AA99" s="523">
        <v>0</v>
      </c>
      <c r="AB99" s="524">
        <v>2</v>
      </c>
      <c r="AC99" s="593"/>
      <c r="AD99" s="521"/>
      <c r="AE99" s="607">
        <f t="shared" si="70"/>
        <v>0</v>
      </c>
      <c r="AF99" s="523"/>
      <c r="AG99" s="524"/>
      <c r="AH99" s="520" t="s">
        <v>268</v>
      </c>
      <c r="AI99" s="520" t="s">
        <v>268</v>
      </c>
      <c r="AJ99" s="624">
        <f t="shared" si="71"/>
        <v>1</v>
      </c>
      <c r="AK99" s="523">
        <v>0</v>
      </c>
      <c r="AL99" s="567">
        <v>1</v>
      </c>
      <c r="AM99" s="678" t="s">
        <v>268</v>
      </c>
      <c r="AN99" s="625" t="s">
        <v>306</v>
      </c>
      <c r="AO99" s="639" t="s">
        <v>307</v>
      </c>
      <c r="AP99" s="626" t="s">
        <v>308</v>
      </c>
      <c r="AQ99" s="626" t="s">
        <v>309</v>
      </c>
      <c r="AR99" s="640">
        <v>45317</v>
      </c>
      <c r="AS99" s="640">
        <v>45318</v>
      </c>
      <c r="AT99" s="678">
        <v>45328</v>
      </c>
      <c r="AU99" s="678">
        <v>45330</v>
      </c>
      <c r="AV99" s="653">
        <f t="shared" si="72"/>
        <v>13</v>
      </c>
      <c r="AW99" s="653">
        <f t="shared" si="73"/>
        <v>10</v>
      </c>
    </row>
    <row r="100" spans="1:49">
      <c r="A100" s="545"/>
      <c r="C100" s="527"/>
      <c r="D100" s="528"/>
      <c r="E100" s="529"/>
      <c r="F100" s="530">
        <f t="shared" si="65"/>
        <v>0</v>
      </c>
      <c r="G100" s="531"/>
      <c r="H100" s="532"/>
      <c r="I100" s="528"/>
      <c r="J100" s="529"/>
      <c r="K100" s="569">
        <f t="shared" si="66"/>
        <v>0</v>
      </c>
      <c r="L100" s="531"/>
      <c r="M100" s="570"/>
      <c r="N100" s="528"/>
      <c r="O100" s="529"/>
      <c r="P100" s="571">
        <f t="shared" si="67"/>
        <v>0</v>
      </c>
      <c r="Q100" s="531"/>
      <c r="R100" s="570"/>
      <c r="S100" s="528"/>
      <c r="T100" s="529"/>
      <c r="U100" s="591">
        <f t="shared" si="68"/>
        <v>0</v>
      </c>
      <c r="V100" s="531"/>
      <c r="W100" s="532"/>
      <c r="X100" s="528"/>
      <c r="Y100" s="529"/>
      <c r="Z100" s="608">
        <f t="shared" si="69"/>
        <v>0</v>
      </c>
      <c r="AA100" s="531"/>
      <c r="AB100" s="532"/>
      <c r="AC100" s="528"/>
      <c r="AD100" s="529"/>
      <c r="AE100" s="609">
        <f t="shared" si="70"/>
        <v>0</v>
      </c>
      <c r="AF100" s="531"/>
      <c r="AG100" s="532"/>
      <c r="AH100" s="528"/>
      <c r="AI100" s="529"/>
      <c r="AJ100" s="627">
        <f t="shared" si="71"/>
        <v>0</v>
      </c>
      <c r="AK100" s="531"/>
      <c r="AL100" s="532"/>
      <c r="AM100" s="679"/>
      <c r="AN100" s="629"/>
      <c r="AO100" s="643"/>
      <c r="AP100" s="629"/>
      <c r="AQ100" s="629"/>
      <c r="AR100" s="644"/>
      <c r="AS100" s="644"/>
      <c r="AT100" s="644"/>
      <c r="AU100" s="644"/>
      <c r="AV100" s="654">
        <f t="shared" si="72"/>
        <v>0</v>
      </c>
      <c r="AW100" s="654">
        <f t="shared" si="73"/>
        <v>0</v>
      </c>
    </row>
    <row r="101" spans="1:49">
      <c r="A101" s="545"/>
      <c r="B101" s="526"/>
      <c r="C101" s="527"/>
      <c r="D101" s="528"/>
      <c r="E101" s="529"/>
      <c r="F101" s="530">
        <f t="shared" si="65"/>
        <v>0</v>
      </c>
      <c r="G101" s="531"/>
      <c r="H101" s="532"/>
      <c r="I101" s="528"/>
      <c r="J101" s="529"/>
      <c r="K101" s="572">
        <f t="shared" si="66"/>
        <v>0</v>
      </c>
      <c r="L101" s="531"/>
      <c r="M101" s="570"/>
      <c r="N101" s="528"/>
      <c r="O101" s="529"/>
      <c r="P101" s="571">
        <f t="shared" si="67"/>
        <v>0</v>
      </c>
      <c r="Q101" s="531"/>
      <c r="R101" s="570"/>
      <c r="S101" s="528"/>
      <c r="T101" s="529"/>
      <c r="U101" s="591">
        <f t="shared" si="68"/>
        <v>0</v>
      </c>
      <c r="V101" s="531"/>
      <c r="W101" s="532"/>
      <c r="X101" s="528"/>
      <c r="Y101" s="529"/>
      <c r="Z101" s="608">
        <f t="shared" si="69"/>
        <v>0</v>
      </c>
      <c r="AA101" s="531"/>
      <c r="AB101" s="532"/>
      <c r="AC101" s="528"/>
      <c r="AD101" s="529"/>
      <c r="AE101" s="609">
        <f t="shared" si="70"/>
        <v>0</v>
      </c>
      <c r="AF101" s="531"/>
      <c r="AG101" s="532"/>
      <c r="AH101" s="528"/>
      <c r="AI101" s="529"/>
      <c r="AJ101" s="627">
        <f t="shared" si="71"/>
        <v>0</v>
      </c>
      <c r="AK101" s="531"/>
      <c r="AL101" s="532"/>
      <c r="AM101" s="628"/>
      <c r="AN101" s="629"/>
      <c r="AO101" s="643"/>
      <c r="AP101" s="629"/>
      <c r="AQ101" s="629"/>
      <c r="AR101" s="646"/>
      <c r="AS101" s="647"/>
      <c r="AT101" s="647"/>
      <c r="AU101" s="647"/>
      <c r="AV101" s="654">
        <f t="shared" si="72"/>
        <v>0</v>
      </c>
      <c r="AW101" s="654">
        <f t="shared" si="73"/>
        <v>0</v>
      </c>
    </row>
    <row r="102" ht="15.75" spans="1:49">
      <c r="A102" s="546"/>
      <c r="B102" s="534"/>
      <c r="C102" s="542"/>
      <c r="D102" s="528"/>
      <c r="E102" s="529"/>
      <c r="F102" s="536">
        <f t="shared" si="65"/>
        <v>0</v>
      </c>
      <c r="G102" s="537"/>
      <c r="H102" s="538"/>
      <c r="I102" s="528"/>
      <c r="J102" s="529"/>
      <c r="K102" s="573">
        <f t="shared" si="66"/>
        <v>0</v>
      </c>
      <c r="L102" s="537"/>
      <c r="M102" s="574"/>
      <c r="N102" s="528"/>
      <c r="O102" s="529"/>
      <c r="P102" s="575">
        <f t="shared" si="67"/>
        <v>0</v>
      </c>
      <c r="Q102" s="537"/>
      <c r="R102" s="574"/>
      <c r="S102" s="528"/>
      <c r="T102" s="529"/>
      <c r="U102" s="592">
        <f t="shared" si="68"/>
        <v>0</v>
      </c>
      <c r="V102" s="537"/>
      <c r="W102" s="538"/>
      <c r="X102" s="528"/>
      <c r="Y102" s="529"/>
      <c r="Z102" s="610">
        <f t="shared" si="69"/>
        <v>0</v>
      </c>
      <c r="AA102" s="537"/>
      <c r="AB102" s="538"/>
      <c r="AC102" s="528"/>
      <c r="AD102" s="529"/>
      <c r="AE102" s="611">
        <f t="shared" si="70"/>
        <v>0</v>
      </c>
      <c r="AF102" s="537"/>
      <c r="AG102" s="538"/>
      <c r="AH102" s="528"/>
      <c r="AI102" s="529"/>
      <c r="AJ102" s="630">
        <f t="shared" si="71"/>
        <v>0</v>
      </c>
      <c r="AK102" s="537"/>
      <c r="AL102" s="538"/>
      <c r="AM102" s="631"/>
      <c r="AN102" s="632"/>
      <c r="AO102" s="648"/>
      <c r="AP102" s="632"/>
      <c r="AQ102" s="632"/>
      <c r="AR102" s="649"/>
      <c r="AS102" s="650"/>
      <c r="AT102" s="650"/>
      <c r="AU102" s="650"/>
      <c r="AV102" s="680">
        <f t="shared" si="72"/>
        <v>0</v>
      </c>
      <c r="AW102" s="680">
        <f t="shared" si="73"/>
        <v>0</v>
      </c>
    </row>
    <row r="103" ht="15.75" spans="1:49">
      <c r="A103" s="543" t="str">
        <f>'IA-SI  TANKER'!B29</f>
        <v>PS Vancouver</v>
      </c>
      <c r="B103" s="544" t="s">
        <v>30</v>
      </c>
      <c r="C103" s="519" t="s">
        <v>36</v>
      </c>
      <c r="D103" s="520" t="s">
        <v>310</v>
      </c>
      <c r="E103" s="521" t="s">
        <v>310</v>
      </c>
      <c r="F103" s="522">
        <f t="shared" si="65"/>
        <v>3</v>
      </c>
      <c r="G103" s="523">
        <v>1</v>
      </c>
      <c r="H103" s="524">
        <v>2</v>
      </c>
      <c r="I103" s="520" t="s">
        <v>310</v>
      </c>
      <c r="J103" s="521" t="s">
        <v>310</v>
      </c>
      <c r="K103" s="566">
        <f t="shared" si="66"/>
        <v>6</v>
      </c>
      <c r="L103" s="523">
        <v>0</v>
      </c>
      <c r="M103" s="567">
        <v>6</v>
      </c>
      <c r="N103" s="520" t="s">
        <v>310</v>
      </c>
      <c r="O103" s="521" t="s">
        <v>310</v>
      </c>
      <c r="P103" s="568">
        <f t="shared" si="67"/>
        <v>4</v>
      </c>
      <c r="Q103" s="587">
        <v>0</v>
      </c>
      <c r="R103" s="588">
        <v>4</v>
      </c>
      <c r="S103" s="520" t="s">
        <v>310</v>
      </c>
      <c r="T103" s="521" t="s">
        <v>310</v>
      </c>
      <c r="U103" s="589">
        <f t="shared" si="68"/>
        <v>2</v>
      </c>
      <c r="V103" s="523">
        <v>0</v>
      </c>
      <c r="W103" s="524">
        <v>2</v>
      </c>
      <c r="X103" s="520" t="s">
        <v>310</v>
      </c>
      <c r="Y103" s="521" t="s">
        <v>310</v>
      </c>
      <c r="Z103" s="612">
        <f t="shared" si="69"/>
        <v>4</v>
      </c>
      <c r="AA103" s="523">
        <v>0</v>
      </c>
      <c r="AB103" s="524">
        <v>4</v>
      </c>
      <c r="AC103" s="520" t="s">
        <v>310</v>
      </c>
      <c r="AD103" s="521" t="s">
        <v>310</v>
      </c>
      <c r="AE103" s="607">
        <f t="shared" si="70"/>
        <v>1</v>
      </c>
      <c r="AF103" s="523">
        <v>0</v>
      </c>
      <c r="AG103" s="524">
        <v>1</v>
      </c>
      <c r="AH103" s="520" t="s">
        <v>310</v>
      </c>
      <c r="AI103" s="521" t="s">
        <v>310</v>
      </c>
      <c r="AJ103" s="624">
        <f t="shared" si="71"/>
        <v>4</v>
      </c>
      <c r="AK103" s="523">
        <v>0</v>
      </c>
      <c r="AL103" s="524">
        <v>4</v>
      </c>
      <c r="AM103" s="625" t="s">
        <v>310</v>
      </c>
      <c r="AN103" s="626"/>
      <c r="AO103" s="639"/>
      <c r="AP103" s="626" t="s">
        <v>311</v>
      </c>
      <c r="AQ103" s="626" t="s">
        <v>312</v>
      </c>
      <c r="AR103" s="640">
        <v>45557</v>
      </c>
      <c r="AS103" s="641">
        <v>45557</v>
      </c>
      <c r="AT103" s="641">
        <v>45563</v>
      </c>
      <c r="AU103" s="641">
        <v>45564</v>
      </c>
      <c r="AV103" s="653">
        <f t="shared" si="72"/>
        <v>7</v>
      </c>
      <c r="AW103" s="653">
        <f t="shared" si="73"/>
        <v>6</v>
      </c>
    </row>
    <row r="104" spans="1:49">
      <c r="A104" s="545"/>
      <c r="B104" s="526"/>
      <c r="C104" s="527"/>
      <c r="D104" s="528"/>
      <c r="E104" s="529"/>
      <c r="F104" s="530">
        <f t="shared" si="65"/>
        <v>0</v>
      </c>
      <c r="G104" s="531"/>
      <c r="H104" s="532"/>
      <c r="I104" s="528"/>
      <c r="J104" s="529"/>
      <c r="K104" s="569">
        <f t="shared" si="66"/>
        <v>0</v>
      </c>
      <c r="L104" s="531"/>
      <c r="M104" s="570"/>
      <c r="N104" s="528"/>
      <c r="O104" s="529"/>
      <c r="P104" s="571">
        <f t="shared" si="67"/>
        <v>0</v>
      </c>
      <c r="Q104" s="531"/>
      <c r="R104" s="570"/>
      <c r="S104" s="528"/>
      <c r="T104" s="529"/>
      <c r="U104" s="591">
        <f t="shared" si="68"/>
        <v>0</v>
      </c>
      <c r="V104" s="531"/>
      <c r="W104" s="532"/>
      <c r="X104" s="528"/>
      <c r="Y104" s="529"/>
      <c r="Z104" s="608">
        <f t="shared" si="69"/>
        <v>0</v>
      </c>
      <c r="AA104" s="531"/>
      <c r="AB104" s="532"/>
      <c r="AC104" s="528"/>
      <c r="AD104" s="529"/>
      <c r="AE104" s="609">
        <f t="shared" si="70"/>
        <v>0</v>
      </c>
      <c r="AF104" s="531"/>
      <c r="AG104" s="532"/>
      <c r="AH104" s="528"/>
      <c r="AI104" s="529"/>
      <c r="AJ104" s="627">
        <f t="shared" si="71"/>
        <v>0</v>
      </c>
      <c r="AK104" s="531"/>
      <c r="AL104" s="532"/>
      <c r="AM104" s="628"/>
      <c r="AN104" s="629"/>
      <c r="AO104" s="643"/>
      <c r="AP104" s="629"/>
      <c r="AQ104" s="629"/>
      <c r="AR104" s="644"/>
      <c r="AS104" s="644"/>
      <c r="AT104" s="644"/>
      <c r="AU104" s="644"/>
      <c r="AV104" s="654">
        <f t="shared" si="72"/>
        <v>0</v>
      </c>
      <c r="AW104" s="654">
        <f t="shared" si="73"/>
        <v>0</v>
      </c>
    </row>
    <row r="105" spans="1:49">
      <c r="A105" s="545"/>
      <c r="B105" s="526"/>
      <c r="C105" s="527"/>
      <c r="D105" s="528"/>
      <c r="E105" s="529"/>
      <c r="F105" s="530">
        <f t="shared" si="65"/>
        <v>0</v>
      </c>
      <c r="G105" s="531"/>
      <c r="H105" s="532"/>
      <c r="I105" s="528"/>
      <c r="J105" s="529"/>
      <c r="K105" s="572">
        <f t="shared" si="66"/>
        <v>0</v>
      </c>
      <c r="L105" s="531"/>
      <c r="M105" s="570"/>
      <c r="N105" s="528"/>
      <c r="O105" s="529"/>
      <c r="P105" s="571">
        <f t="shared" si="67"/>
        <v>0</v>
      </c>
      <c r="Q105" s="531"/>
      <c r="R105" s="570"/>
      <c r="S105" s="528"/>
      <c r="T105" s="529"/>
      <c r="U105" s="591">
        <f t="shared" si="68"/>
        <v>0</v>
      </c>
      <c r="V105" s="531"/>
      <c r="W105" s="532"/>
      <c r="X105" s="528"/>
      <c r="Y105" s="529"/>
      <c r="Z105" s="608">
        <f t="shared" si="69"/>
        <v>0</v>
      </c>
      <c r="AA105" s="531"/>
      <c r="AB105" s="532"/>
      <c r="AC105" s="528"/>
      <c r="AD105" s="529"/>
      <c r="AE105" s="609">
        <f t="shared" si="70"/>
        <v>0</v>
      </c>
      <c r="AF105" s="531"/>
      <c r="AG105" s="532"/>
      <c r="AH105" s="528"/>
      <c r="AI105" s="529"/>
      <c r="AJ105" s="627">
        <f t="shared" si="71"/>
        <v>0</v>
      </c>
      <c r="AK105" s="531"/>
      <c r="AL105" s="532"/>
      <c r="AM105" s="628"/>
      <c r="AN105" s="629"/>
      <c r="AO105" s="643"/>
      <c r="AP105" s="629"/>
      <c r="AQ105" s="629"/>
      <c r="AR105" s="646"/>
      <c r="AS105" s="647"/>
      <c r="AT105" s="647"/>
      <c r="AU105" s="647"/>
      <c r="AV105" s="654">
        <f t="shared" si="72"/>
        <v>0</v>
      </c>
      <c r="AW105" s="654">
        <f t="shared" si="73"/>
        <v>0</v>
      </c>
    </row>
    <row r="106" ht="15.75" spans="1:49">
      <c r="A106" s="546"/>
      <c r="B106" s="534"/>
      <c r="C106" s="542"/>
      <c r="D106" s="528"/>
      <c r="E106" s="529"/>
      <c r="F106" s="536">
        <f t="shared" si="65"/>
        <v>0</v>
      </c>
      <c r="G106" s="537"/>
      <c r="H106" s="538"/>
      <c r="I106" s="528"/>
      <c r="J106" s="529"/>
      <c r="K106" s="573">
        <f t="shared" si="66"/>
        <v>0</v>
      </c>
      <c r="L106" s="537"/>
      <c r="M106" s="574"/>
      <c r="N106" s="528"/>
      <c r="O106" s="529"/>
      <c r="P106" s="575">
        <f t="shared" si="67"/>
        <v>0</v>
      </c>
      <c r="Q106" s="537"/>
      <c r="R106" s="574"/>
      <c r="S106" s="528"/>
      <c r="T106" s="529"/>
      <c r="U106" s="592">
        <f t="shared" si="68"/>
        <v>0</v>
      </c>
      <c r="V106" s="537"/>
      <c r="W106" s="538"/>
      <c r="X106" s="528"/>
      <c r="Y106" s="529"/>
      <c r="Z106" s="610">
        <f t="shared" si="69"/>
        <v>0</v>
      </c>
      <c r="AA106" s="537"/>
      <c r="AB106" s="538"/>
      <c r="AC106" s="528"/>
      <c r="AD106" s="529"/>
      <c r="AE106" s="611">
        <f t="shared" si="70"/>
        <v>0</v>
      </c>
      <c r="AF106" s="537"/>
      <c r="AG106" s="538"/>
      <c r="AH106" s="528"/>
      <c r="AI106" s="529"/>
      <c r="AJ106" s="630">
        <f t="shared" si="71"/>
        <v>0</v>
      </c>
      <c r="AK106" s="537"/>
      <c r="AL106" s="538"/>
      <c r="AM106" s="631"/>
      <c r="AN106" s="632"/>
      <c r="AO106" s="648"/>
      <c r="AP106" s="632"/>
      <c r="AQ106" s="632"/>
      <c r="AR106" s="649"/>
      <c r="AS106" s="650"/>
      <c r="AT106" s="650"/>
      <c r="AU106" s="650"/>
      <c r="AV106" s="680">
        <f t="shared" si="72"/>
        <v>0</v>
      </c>
      <c r="AW106" s="680">
        <f t="shared" si="73"/>
        <v>0</v>
      </c>
    </row>
    <row r="107" ht="15.75" spans="1:49">
      <c r="A107" s="543" t="str">
        <f>'IA-SI  TANKER'!B30</f>
        <v>Table Bay</v>
      </c>
      <c r="B107" s="544" t="s">
        <v>30</v>
      </c>
      <c r="C107" s="519" t="s">
        <v>37</v>
      </c>
      <c r="D107" s="520" t="s">
        <v>313</v>
      </c>
      <c r="E107" s="521" t="s">
        <v>313</v>
      </c>
      <c r="F107" s="522">
        <f t="shared" ref="F107:F110" si="74">G107+H107</f>
        <v>3</v>
      </c>
      <c r="G107" s="523">
        <v>0</v>
      </c>
      <c r="H107" s="524">
        <v>3</v>
      </c>
      <c r="I107" s="520" t="s">
        <v>313</v>
      </c>
      <c r="J107" s="521" t="s">
        <v>313</v>
      </c>
      <c r="K107" s="566">
        <f t="shared" ref="K107:K110" si="75">L107+M107</f>
        <v>5</v>
      </c>
      <c r="L107" s="523">
        <v>0</v>
      </c>
      <c r="M107" s="567">
        <v>5</v>
      </c>
      <c r="N107" s="520"/>
      <c r="O107" s="521"/>
      <c r="P107" s="568">
        <f t="shared" ref="P107:P110" si="76">Q107+R107</f>
        <v>0</v>
      </c>
      <c r="Q107" s="587"/>
      <c r="R107" s="588"/>
      <c r="S107" s="520"/>
      <c r="T107" s="521"/>
      <c r="U107" s="589">
        <f t="shared" ref="U107:U110" si="77">V107+W107</f>
        <v>0</v>
      </c>
      <c r="V107" s="523"/>
      <c r="W107" s="524"/>
      <c r="X107" s="593"/>
      <c r="Y107" s="521"/>
      <c r="Z107" s="612">
        <f t="shared" ref="Z107:Z110" si="78">AA107+AB107</f>
        <v>0</v>
      </c>
      <c r="AA107" s="523"/>
      <c r="AB107" s="524"/>
      <c r="AC107" s="593" t="s">
        <v>313</v>
      </c>
      <c r="AD107" s="521" t="s">
        <v>313</v>
      </c>
      <c r="AE107" s="607">
        <f t="shared" ref="AE107:AE110" si="79">AF107+AG107</f>
        <v>0</v>
      </c>
      <c r="AF107" s="523">
        <v>0</v>
      </c>
      <c r="AG107" s="524">
        <v>0</v>
      </c>
      <c r="AH107" s="593"/>
      <c r="AI107" s="521"/>
      <c r="AJ107" s="624">
        <f t="shared" ref="AJ107:AJ110" si="80">AK107+AL107</f>
        <v>0</v>
      </c>
      <c r="AK107" s="523"/>
      <c r="AL107" s="524"/>
      <c r="AM107" s="625"/>
      <c r="AN107" s="626"/>
      <c r="AO107" s="639"/>
      <c r="AP107" s="626" t="s">
        <v>314</v>
      </c>
      <c r="AQ107" s="626" t="s">
        <v>314</v>
      </c>
      <c r="AR107" s="640">
        <v>45461</v>
      </c>
      <c r="AS107" s="641">
        <v>45462</v>
      </c>
      <c r="AT107" s="641">
        <v>45465</v>
      </c>
      <c r="AU107" s="641">
        <v>45466</v>
      </c>
      <c r="AV107" s="653">
        <f t="shared" ref="AV107:AV110" si="81">AU107-AR107</f>
        <v>5</v>
      </c>
      <c r="AW107" s="653">
        <f t="shared" ref="AW107:AW110" si="82">AT107-AS107</f>
        <v>3</v>
      </c>
    </row>
    <row r="108" spans="1:49">
      <c r="A108" s="525"/>
      <c r="B108" s="526"/>
      <c r="C108" s="527"/>
      <c r="D108" s="528"/>
      <c r="E108" s="529"/>
      <c r="F108" s="530">
        <f t="shared" si="74"/>
        <v>0</v>
      </c>
      <c r="G108" s="531"/>
      <c r="H108" s="532"/>
      <c r="I108" s="528"/>
      <c r="J108" s="529"/>
      <c r="K108" s="569">
        <f t="shared" si="75"/>
        <v>0</v>
      </c>
      <c r="L108" s="531"/>
      <c r="M108" s="570"/>
      <c r="N108" s="528"/>
      <c r="O108" s="529"/>
      <c r="P108" s="571">
        <f t="shared" si="76"/>
        <v>0</v>
      </c>
      <c r="Q108" s="531"/>
      <c r="R108" s="570"/>
      <c r="S108" s="528"/>
      <c r="T108" s="529"/>
      <c r="U108" s="591">
        <f t="shared" si="77"/>
        <v>0</v>
      </c>
      <c r="V108" s="531"/>
      <c r="W108" s="532"/>
      <c r="X108" s="528"/>
      <c r="Y108" s="529"/>
      <c r="Z108" s="608">
        <f t="shared" si="78"/>
        <v>0</v>
      </c>
      <c r="AA108" s="531"/>
      <c r="AB108" s="532"/>
      <c r="AC108" s="528"/>
      <c r="AD108" s="529"/>
      <c r="AE108" s="609">
        <f t="shared" si="79"/>
        <v>0</v>
      </c>
      <c r="AF108" s="531"/>
      <c r="AG108" s="532"/>
      <c r="AH108" s="528"/>
      <c r="AI108" s="529"/>
      <c r="AJ108" s="627">
        <f t="shared" si="80"/>
        <v>0</v>
      </c>
      <c r="AK108" s="531"/>
      <c r="AL108" s="532"/>
      <c r="AM108" s="628"/>
      <c r="AN108" s="629"/>
      <c r="AO108" s="643"/>
      <c r="AP108" s="629"/>
      <c r="AQ108" s="629"/>
      <c r="AR108" s="644"/>
      <c r="AS108" s="644"/>
      <c r="AT108" s="644"/>
      <c r="AU108" s="644"/>
      <c r="AV108" s="654">
        <f t="shared" si="81"/>
        <v>0</v>
      </c>
      <c r="AW108" s="654">
        <f t="shared" si="82"/>
        <v>0</v>
      </c>
    </row>
    <row r="109" spans="1:49">
      <c r="A109" s="525"/>
      <c r="B109" s="526"/>
      <c r="C109" s="527"/>
      <c r="D109" s="528"/>
      <c r="E109" s="529"/>
      <c r="F109" s="530">
        <f t="shared" si="74"/>
        <v>0</v>
      </c>
      <c r="G109" s="531"/>
      <c r="H109" s="532"/>
      <c r="I109" s="528"/>
      <c r="J109" s="529"/>
      <c r="K109" s="572">
        <f t="shared" si="75"/>
        <v>0</v>
      </c>
      <c r="L109" s="531"/>
      <c r="M109" s="570"/>
      <c r="N109" s="528"/>
      <c r="O109" s="529"/>
      <c r="P109" s="571">
        <f t="shared" si="76"/>
        <v>0</v>
      </c>
      <c r="Q109" s="531"/>
      <c r="R109" s="570"/>
      <c r="S109" s="528"/>
      <c r="T109" s="529"/>
      <c r="U109" s="591">
        <f t="shared" si="77"/>
        <v>0</v>
      </c>
      <c r="V109" s="531"/>
      <c r="W109" s="532"/>
      <c r="X109" s="528"/>
      <c r="Y109" s="529"/>
      <c r="Z109" s="608">
        <f t="shared" si="78"/>
        <v>0</v>
      </c>
      <c r="AA109" s="531"/>
      <c r="AB109" s="532"/>
      <c r="AC109" s="528"/>
      <c r="AD109" s="529"/>
      <c r="AE109" s="609">
        <f t="shared" si="79"/>
        <v>0</v>
      </c>
      <c r="AF109" s="531"/>
      <c r="AG109" s="532"/>
      <c r="AH109" s="528"/>
      <c r="AI109" s="529"/>
      <c r="AJ109" s="627">
        <f t="shared" si="80"/>
        <v>0</v>
      </c>
      <c r="AK109" s="531"/>
      <c r="AL109" s="532"/>
      <c r="AM109" s="628"/>
      <c r="AN109" s="629"/>
      <c r="AO109" s="643"/>
      <c r="AP109" s="629"/>
      <c r="AQ109" s="629"/>
      <c r="AR109" s="646"/>
      <c r="AS109" s="647"/>
      <c r="AT109" s="647"/>
      <c r="AU109" s="647"/>
      <c r="AV109" s="654">
        <f t="shared" si="81"/>
        <v>0</v>
      </c>
      <c r="AW109" s="654">
        <f t="shared" si="82"/>
        <v>0</v>
      </c>
    </row>
    <row r="110" ht="15.75" spans="1:49">
      <c r="A110" s="533"/>
      <c r="B110" s="534"/>
      <c r="C110" s="542"/>
      <c r="D110" s="528"/>
      <c r="E110" s="529"/>
      <c r="F110" s="536">
        <f t="shared" si="74"/>
        <v>0</v>
      </c>
      <c r="G110" s="537"/>
      <c r="H110" s="538"/>
      <c r="I110" s="528"/>
      <c r="J110" s="529"/>
      <c r="K110" s="573">
        <f t="shared" si="75"/>
        <v>0</v>
      </c>
      <c r="L110" s="537"/>
      <c r="M110" s="574"/>
      <c r="N110" s="528"/>
      <c r="O110" s="529"/>
      <c r="P110" s="575">
        <f t="shared" si="76"/>
        <v>0</v>
      </c>
      <c r="Q110" s="537"/>
      <c r="R110" s="574"/>
      <c r="S110" s="528"/>
      <c r="T110" s="529"/>
      <c r="U110" s="592">
        <f t="shared" si="77"/>
        <v>0</v>
      </c>
      <c r="V110" s="537"/>
      <c r="W110" s="538"/>
      <c r="X110" s="528"/>
      <c r="Y110" s="529"/>
      <c r="Z110" s="610">
        <f t="shared" si="78"/>
        <v>0</v>
      </c>
      <c r="AA110" s="537"/>
      <c r="AB110" s="538"/>
      <c r="AC110" s="528"/>
      <c r="AD110" s="529"/>
      <c r="AE110" s="611">
        <f t="shared" si="79"/>
        <v>0</v>
      </c>
      <c r="AF110" s="537"/>
      <c r="AG110" s="538"/>
      <c r="AH110" s="528"/>
      <c r="AI110" s="529"/>
      <c r="AJ110" s="630">
        <f t="shared" si="80"/>
        <v>0</v>
      </c>
      <c r="AK110" s="537"/>
      <c r="AL110" s="538"/>
      <c r="AM110" s="631"/>
      <c r="AN110" s="632"/>
      <c r="AO110" s="648"/>
      <c r="AP110" s="632"/>
      <c r="AQ110" s="632"/>
      <c r="AR110" s="649"/>
      <c r="AS110" s="650"/>
      <c r="AT110" s="650"/>
      <c r="AU110" s="650"/>
      <c r="AV110" s="680">
        <f t="shared" si="81"/>
        <v>0</v>
      </c>
      <c r="AW110" s="680">
        <f t="shared" si="82"/>
        <v>0</v>
      </c>
    </row>
    <row r="111" ht="15.75" spans="1:49">
      <c r="A111" s="543" t="str">
        <f>'IA-SI  TANKER'!B31</f>
        <v>Rui Fu Sheng</v>
      </c>
      <c r="B111" s="544" t="s">
        <v>22</v>
      </c>
      <c r="C111" s="519" t="s">
        <v>37</v>
      </c>
      <c r="D111" s="520" t="s">
        <v>315</v>
      </c>
      <c r="E111" s="521" t="s">
        <v>315</v>
      </c>
      <c r="F111" s="522">
        <f t="shared" ref="F111:F118" si="83">G111+H111</f>
        <v>6</v>
      </c>
      <c r="G111" s="523">
        <v>1</v>
      </c>
      <c r="H111" s="524">
        <v>5</v>
      </c>
      <c r="I111" s="520"/>
      <c r="J111" s="521"/>
      <c r="K111" s="566">
        <f t="shared" ref="K111:K118" si="84">L111+M111</f>
        <v>0</v>
      </c>
      <c r="L111" s="523"/>
      <c r="M111" s="567"/>
      <c r="N111" s="520"/>
      <c r="O111" s="521"/>
      <c r="P111" s="568">
        <f t="shared" ref="P111:P118" si="85">Q111+R111</f>
        <v>0</v>
      </c>
      <c r="Q111" s="587"/>
      <c r="R111" s="588"/>
      <c r="S111" s="520"/>
      <c r="T111" s="521"/>
      <c r="U111" s="589">
        <f t="shared" ref="U111:U118" si="86">V111+W111</f>
        <v>0</v>
      </c>
      <c r="V111" s="523"/>
      <c r="W111" s="524"/>
      <c r="X111" s="593"/>
      <c r="Y111" s="521"/>
      <c r="Z111" s="612">
        <f t="shared" ref="Z111:Z118" si="87">AA111+AB111</f>
        <v>0</v>
      </c>
      <c r="AA111" s="523"/>
      <c r="AB111" s="524"/>
      <c r="AC111" s="593" t="s">
        <v>315</v>
      </c>
      <c r="AD111" s="521" t="s">
        <v>315</v>
      </c>
      <c r="AE111" s="607">
        <f t="shared" ref="AE111:AE118" si="88">AF111+AG111</f>
        <v>0</v>
      </c>
      <c r="AF111" s="523">
        <v>0</v>
      </c>
      <c r="AG111" s="524">
        <v>0</v>
      </c>
      <c r="AH111" s="593"/>
      <c r="AI111" s="521"/>
      <c r="AJ111" s="624">
        <f t="shared" ref="AJ111:AJ118" si="89">AK111+AL111</f>
        <v>0</v>
      </c>
      <c r="AK111" s="523"/>
      <c r="AL111" s="524"/>
      <c r="AM111" s="625"/>
      <c r="AN111" s="626"/>
      <c r="AO111" s="639"/>
      <c r="AP111" s="626" t="s">
        <v>316</v>
      </c>
      <c r="AQ111" s="626" t="s">
        <v>316</v>
      </c>
      <c r="AR111" s="640">
        <v>45450</v>
      </c>
      <c r="AS111" s="641">
        <v>45450</v>
      </c>
      <c r="AT111" s="641">
        <v>45454</v>
      </c>
      <c r="AU111" s="641">
        <v>45454</v>
      </c>
      <c r="AV111" s="653">
        <f t="shared" ref="AV111:AV118" si="90">AU111-AR111</f>
        <v>4</v>
      </c>
      <c r="AW111" s="653">
        <f t="shared" ref="AW111:AW118" si="91">AT111-AS111</f>
        <v>4</v>
      </c>
    </row>
    <row r="112" spans="1:49">
      <c r="A112" s="545"/>
      <c r="B112" s="526"/>
      <c r="C112" s="527"/>
      <c r="D112" s="528"/>
      <c r="E112" s="529"/>
      <c r="F112" s="530">
        <f t="shared" si="83"/>
        <v>0</v>
      </c>
      <c r="G112" s="531"/>
      <c r="H112" s="532"/>
      <c r="I112" s="528"/>
      <c r="J112" s="529"/>
      <c r="K112" s="569">
        <f t="shared" si="84"/>
        <v>0</v>
      </c>
      <c r="L112" s="531"/>
      <c r="M112" s="570"/>
      <c r="N112" s="528"/>
      <c r="O112" s="529"/>
      <c r="P112" s="571">
        <f t="shared" si="85"/>
        <v>0</v>
      </c>
      <c r="Q112" s="531"/>
      <c r="R112" s="570"/>
      <c r="S112" s="528"/>
      <c r="T112" s="529"/>
      <c r="U112" s="591">
        <f t="shared" si="86"/>
        <v>0</v>
      </c>
      <c r="V112" s="531"/>
      <c r="W112" s="532"/>
      <c r="X112" s="528"/>
      <c r="Y112" s="529"/>
      <c r="Z112" s="608">
        <f t="shared" si="87"/>
        <v>0</v>
      </c>
      <c r="AA112" s="531"/>
      <c r="AB112" s="532"/>
      <c r="AC112" s="528"/>
      <c r="AD112" s="529"/>
      <c r="AE112" s="609">
        <f t="shared" si="88"/>
        <v>0</v>
      </c>
      <c r="AF112" s="531"/>
      <c r="AG112" s="532"/>
      <c r="AH112" s="528"/>
      <c r="AI112" s="529"/>
      <c r="AJ112" s="627">
        <f t="shared" si="89"/>
        <v>0</v>
      </c>
      <c r="AK112" s="531"/>
      <c r="AL112" s="532"/>
      <c r="AM112" s="628"/>
      <c r="AN112" s="629"/>
      <c r="AO112" s="643"/>
      <c r="AP112" s="629"/>
      <c r="AQ112" s="629"/>
      <c r="AR112" s="644"/>
      <c r="AS112" s="644"/>
      <c r="AT112" s="644"/>
      <c r="AU112" s="644"/>
      <c r="AV112" s="654">
        <f t="shared" si="90"/>
        <v>0</v>
      </c>
      <c r="AW112" s="654">
        <f t="shared" si="91"/>
        <v>0</v>
      </c>
    </row>
    <row r="113" spans="1:49">
      <c r="A113" s="545"/>
      <c r="B113" s="526"/>
      <c r="C113" s="527"/>
      <c r="D113" s="528"/>
      <c r="E113" s="529"/>
      <c r="F113" s="530">
        <f t="shared" si="83"/>
        <v>0</v>
      </c>
      <c r="G113" s="531"/>
      <c r="H113" s="532"/>
      <c r="I113" s="528"/>
      <c r="J113" s="529"/>
      <c r="K113" s="572">
        <f t="shared" si="84"/>
        <v>0</v>
      </c>
      <c r="L113" s="531"/>
      <c r="M113" s="570"/>
      <c r="N113" s="528"/>
      <c r="O113" s="529"/>
      <c r="P113" s="571">
        <f t="shared" si="85"/>
        <v>0</v>
      </c>
      <c r="Q113" s="531"/>
      <c r="R113" s="570"/>
      <c r="S113" s="528"/>
      <c r="T113" s="529"/>
      <c r="U113" s="591">
        <f t="shared" si="86"/>
        <v>0</v>
      </c>
      <c r="V113" s="531"/>
      <c r="W113" s="532"/>
      <c r="X113" s="528"/>
      <c r="Y113" s="529"/>
      <c r="Z113" s="608">
        <f t="shared" si="87"/>
        <v>0</v>
      </c>
      <c r="AA113" s="531"/>
      <c r="AB113" s="532"/>
      <c r="AC113" s="528"/>
      <c r="AD113" s="529"/>
      <c r="AE113" s="609">
        <f t="shared" si="88"/>
        <v>0</v>
      </c>
      <c r="AF113" s="531"/>
      <c r="AG113" s="532"/>
      <c r="AH113" s="528"/>
      <c r="AI113" s="529"/>
      <c r="AJ113" s="627">
        <f t="shared" si="89"/>
        <v>0</v>
      </c>
      <c r="AK113" s="531"/>
      <c r="AL113" s="532"/>
      <c r="AM113" s="628"/>
      <c r="AN113" s="629"/>
      <c r="AO113" s="643"/>
      <c r="AP113" s="629"/>
      <c r="AQ113" s="629"/>
      <c r="AR113" s="646"/>
      <c r="AS113" s="647"/>
      <c r="AT113" s="647"/>
      <c r="AU113" s="647"/>
      <c r="AV113" s="654">
        <f t="shared" si="90"/>
        <v>0</v>
      </c>
      <c r="AW113" s="654">
        <f t="shared" si="91"/>
        <v>0</v>
      </c>
    </row>
    <row r="114" ht="15.75" spans="1:49">
      <c r="A114" s="546"/>
      <c r="B114" s="534"/>
      <c r="C114" s="542"/>
      <c r="D114" s="528"/>
      <c r="E114" s="529"/>
      <c r="F114" s="536">
        <f t="shared" si="83"/>
        <v>0</v>
      </c>
      <c r="G114" s="537"/>
      <c r="H114" s="538"/>
      <c r="I114" s="528"/>
      <c r="J114" s="529"/>
      <c r="K114" s="573">
        <f t="shared" si="84"/>
        <v>0</v>
      </c>
      <c r="L114" s="537"/>
      <c r="M114" s="574"/>
      <c r="N114" s="528"/>
      <c r="O114" s="529"/>
      <c r="P114" s="575">
        <f t="shared" si="85"/>
        <v>0</v>
      </c>
      <c r="Q114" s="537"/>
      <c r="R114" s="574"/>
      <c r="S114" s="528"/>
      <c r="T114" s="529"/>
      <c r="U114" s="592">
        <f t="shared" si="86"/>
        <v>0</v>
      </c>
      <c r="V114" s="537"/>
      <c r="W114" s="538"/>
      <c r="X114" s="528"/>
      <c r="Y114" s="529"/>
      <c r="Z114" s="610">
        <f t="shared" si="87"/>
        <v>0</v>
      </c>
      <c r="AA114" s="537"/>
      <c r="AB114" s="538"/>
      <c r="AC114" s="528"/>
      <c r="AD114" s="529"/>
      <c r="AE114" s="611">
        <f t="shared" si="88"/>
        <v>0</v>
      </c>
      <c r="AF114" s="537"/>
      <c r="AG114" s="538"/>
      <c r="AH114" s="528"/>
      <c r="AI114" s="529"/>
      <c r="AJ114" s="630">
        <f t="shared" si="89"/>
        <v>0</v>
      </c>
      <c r="AK114" s="537"/>
      <c r="AL114" s="538"/>
      <c r="AM114" s="631"/>
      <c r="AN114" s="632"/>
      <c r="AO114" s="648"/>
      <c r="AP114" s="632"/>
      <c r="AQ114" s="632"/>
      <c r="AR114" s="649"/>
      <c r="AS114" s="650"/>
      <c r="AT114" s="650"/>
      <c r="AU114" s="650"/>
      <c r="AV114" s="680">
        <f t="shared" si="90"/>
        <v>0</v>
      </c>
      <c r="AW114" s="680">
        <f t="shared" si="91"/>
        <v>0</v>
      </c>
    </row>
    <row r="115" ht="16.5" spans="1:49">
      <c r="A115" s="543" t="str">
        <f>'IA-SI  TANKER'!B32</f>
        <v>Vialli</v>
      </c>
      <c r="B115" s="544" t="s">
        <v>30</v>
      </c>
      <c r="C115" s="519" t="s">
        <v>37</v>
      </c>
      <c r="D115" s="520" t="s">
        <v>317</v>
      </c>
      <c r="E115" s="520" t="s">
        <v>317</v>
      </c>
      <c r="F115" s="522">
        <f t="shared" si="83"/>
        <v>1</v>
      </c>
      <c r="G115" s="523">
        <v>0</v>
      </c>
      <c r="H115" s="524">
        <v>1</v>
      </c>
      <c r="I115" s="520" t="s">
        <v>317</v>
      </c>
      <c r="J115" s="520" t="s">
        <v>317</v>
      </c>
      <c r="K115" s="566">
        <f t="shared" si="84"/>
        <v>2</v>
      </c>
      <c r="L115" s="523">
        <v>0</v>
      </c>
      <c r="M115" s="567">
        <v>2</v>
      </c>
      <c r="N115" s="520" t="s">
        <v>317</v>
      </c>
      <c r="O115" s="520" t="s">
        <v>317</v>
      </c>
      <c r="P115" s="568">
        <f t="shared" si="85"/>
        <v>2</v>
      </c>
      <c r="Q115" s="587">
        <v>0</v>
      </c>
      <c r="R115" s="588">
        <v>2</v>
      </c>
      <c r="S115" s="520" t="s">
        <v>317</v>
      </c>
      <c r="T115" s="520" t="s">
        <v>317</v>
      </c>
      <c r="U115" s="589">
        <f t="shared" si="86"/>
        <v>2</v>
      </c>
      <c r="V115" s="523">
        <v>0</v>
      </c>
      <c r="W115" s="524">
        <v>2</v>
      </c>
      <c r="X115" s="520" t="s">
        <v>317</v>
      </c>
      <c r="Y115" s="520" t="s">
        <v>317</v>
      </c>
      <c r="Z115" s="612">
        <f t="shared" si="87"/>
        <v>2</v>
      </c>
      <c r="AA115" s="523">
        <v>0</v>
      </c>
      <c r="AB115" s="524">
        <v>2</v>
      </c>
      <c r="AC115" s="520" t="s">
        <v>317</v>
      </c>
      <c r="AD115" s="520" t="s">
        <v>317</v>
      </c>
      <c r="AE115" s="607">
        <v>0</v>
      </c>
      <c r="AF115" s="523">
        <v>0</v>
      </c>
      <c r="AG115" s="524">
        <v>0</v>
      </c>
      <c r="AH115" s="520" t="s">
        <v>317</v>
      </c>
      <c r="AI115" s="520" t="s">
        <v>317</v>
      </c>
      <c r="AJ115" s="630">
        <f t="shared" si="89"/>
        <v>2</v>
      </c>
      <c r="AK115" s="524">
        <v>0</v>
      </c>
      <c r="AL115" s="538">
        <v>2</v>
      </c>
      <c r="AM115" s="625" t="s">
        <v>317</v>
      </c>
      <c r="AN115" s="626"/>
      <c r="AO115" s="639"/>
      <c r="AP115" s="626" t="s">
        <v>303</v>
      </c>
      <c r="AQ115" s="626" t="s">
        <v>318</v>
      </c>
      <c r="AR115" s="640">
        <v>45304</v>
      </c>
      <c r="AS115" s="641">
        <v>45305</v>
      </c>
      <c r="AT115" s="641">
        <v>45307</v>
      </c>
      <c r="AU115" s="641">
        <v>45308</v>
      </c>
      <c r="AV115" s="653">
        <f t="shared" si="90"/>
        <v>4</v>
      </c>
      <c r="AW115" s="653">
        <f t="shared" si="91"/>
        <v>2</v>
      </c>
    </row>
    <row r="116" ht="15.75" spans="1:49">
      <c r="A116" s="545"/>
      <c r="B116" s="526"/>
      <c r="C116" s="527"/>
      <c r="D116" s="528"/>
      <c r="E116" s="529"/>
      <c r="F116" s="530">
        <f t="shared" si="83"/>
        <v>0</v>
      </c>
      <c r="G116" s="531"/>
      <c r="H116" s="532"/>
      <c r="I116" s="528"/>
      <c r="J116" s="529"/>
      <c r="K116" s="569">
        <f t="shared" si="84"/>
        <v>0</v>
      </c>
      <c r="L116" s="531"/>
      <c r="M116" s="570"/>
      <c r="N116" s="528"/>
      <c r="O116" s="529"/>
      <c r="P116" s="571">
        <f t="shared" si="85"/>
        <v>0</v>
      </c>
      <c r="Q116" s="531"/>
      <c r="R116" s="570"/>
      <c r="S116" s="528"/>
      <c r="T116" s="529"/>
      <c r="U116" s="591">
        <f t="shared" si="86"/>
        <v>0</v>
      </c>
      <c r="V116" s="531"/>
      <c r="W116" s="532"/>
      <c r="X116" s="528"/>
      <c r="Y116" s="529"/>
      <c r="Z116" s="608">
        <f t="shared" si="87"/>
        <v>0</v>
      </c>
      <c r="AA116" s="531"/>
      <c r="AB116" s="532"/>
      <c r="AC116" s="528"/>
      <c r="AD116" s="529"/>
      <c r="AE116" s="609">
        <f t="shared" si="88"/>
        <v>0</v>
      </c>
      <c r="AF116" s="531"/>
      <c r="AG116" s="532"/>
      <c r="AH116" s="528"/>
      <c r="AI116" s="529"/>
      <c r="AJ116" s="627">
        <f t="shared" si="89"/>
        <v>0</v>
      </c>
      <c r="AK116" s="531"/>
      <c r="AL116" s="532"/>
      <c r="AM116" s="628"/>
      <c r="AN116" s="629"/>
      <c r="AO116" s="643"/>
      <c r="AP116" s="629"/>
      <c r="AQ116" s="629"/>
      <c r="AR116" s="644"/>
      <c r="AS116" s="644"/>
      <c r="AT116" s="644"/>
      <c r="AU116" s="644"/>
      <c r="AV116" s="654">
        <f t="shared" si="90"/>
        <v>0</v>
      </c>
      <c r="AW116" s="654">
        <f t="shared" si="91"/>
        <v>0</v>
      </c>
    </row>
    <row r="117" spans="1:49">
      <c r="A117" s="545"/>
      <c r="B117" s="526"/>
      <c r="C117" s="527"/>
      <c r="D117" s="528"/>
      <c r="E117" s="529"/>
      <c r="F117" s="530">
        <f t="shared" si="83"/>
        <v>0</v>
      </c>
      <c r="G117" s="531"/>
      <c r="H117" s="532"/>
      <c r="I117" s="528"/>
      <c r="J117" s="529"/>
      <c r="K117" s="572">
        <f t="shared" si="84"/>
        <v>0</v>
      </c>
      <c r="L117" s="531"/>
      <c r="M117" s="570"/>
      <c r="N117" s="528"/>
      <c r="O117" s="529"/>
      <c r="P117" s="571">
        <f t="shared" si="85"/>
        <v>0</v>
      </c>
      <c r="Q117" s="531"/>
      <c r="R117" s="570"/>
      <c r="S117" s="528"/>
      <c r="T117" s="529"/>
      <c r="U117" s="591">
        <f t="shared" si="86"/>
        <v>0</v>
      </c>
      <c r="V117" s="531"/>
      <c r="W117" s="532"/>
      <c r="X117" s="528"/>
      <c r="Y117" s="529"/>
      <c r="Z117" s="608">
        <f t="shared" si="87"/>
        <v>0</v>
      </c>
      <c r="AA117" s="531"/>
      <c r="AB117" s="532"/>
      <c r="AC117" s="528"/>
      <c r="AD117" s="529"/>
      <c r="AE117" s="609">
        <f t="shared" si="88"/>
        <v>0</v>
      </c>
      <c r="AF117" s="531"/>
      <c r="AG117" s="532"/>
      <c r="AH117" s="528"/>
      <c r="AI117" s="529"/>
      <c r="AJ117" s="627">
        <f t="shared" si="89"/>
        <v>0</v>
      </c>
      <c r="AK117" s="531"/>
      <c r="AL117" s="532"/>
      <c r="AM117" s="628"/>
      <c r="AN117" s="629"/>
      <c r="AO117" s="643"/>
      <c r="AP117" s="629"/>
      <c r="AQ117" s="629"/>
      <c r="AR117" s="646"/>
      <c r="AS117" s="647"/>
      <c r="AT117" s="647"/>
      <c r="AU117" s="647"/>
      <c r="AV117" s="654">
        <f t="shared" si="90"/>
        <v>0</v>
      </c>
      <c r="AW117" s="654">
        <f t="shared" si="91"/>
        <v>0</v>
      </c>
    </row>
    <row r="118" ht="15.75" spans="1:49">
      <c r="A118" s="546"/>
      <c r="B118" s="534"/>
      <c r="C118" s="542"/>
      <c r="D118" s="528"/>
      <c r="E118" s="529"/>
      <c r="F118" s="536">
        <f t="shared" si="83"/>
        <v>0</v>
      </c>
      <c r="G118" s="537"/>
      <c r="H118" s="538"/>
      <c r="I118" s="528"/>
      <c r="J118" s="529"/>
      <c r="K118" s="573">
        <f t="shared" si="84"/>
        <v>0</v>
      </c>
      <c r="L118" s="537"/>
      <c r="M118" s="574"/>
      <c r="N118" s="528"/>
      <c r="O118" s="529"/>
      <c r="P118" s="575">
        <f t="shared" si="85"/>
        <v>0</v>
      </c>
      <c r="Q118" s="537"/>
      <c r="R118" s="574"/>
      <c r="S118" s="528"/>
      <c r="T118" s="529"/>
      <c r="U118" s="592">
        <f t="shared" si="86"/>
        <v>0</v>
      </c>
      <c r="V118" s="537"/>
      <c r="W118" s="538"/>
      <c r="X118" s="528"/>
      <c r="Y118" s="529"/>
      <c r="Z118" s="610">
        <f t="shared" si="87"/>
        <v>0</v>
      </c>
      <c r="AA118" s="537"/>
      <c r="AB118" s="538"/>
      <c r="AC118" s="528"/>
      <c r="AD118" s="529"/>
      <c r="AE118" s="611">
        <f t="shared" si="88"/>
        <v>0</v>
      </c>
      <c r="AF118" s="537"/>
      <c r="AG118" s="538"/>
      <c r="AH118" s="528"/>
      <c r="AI118" s="529"/>
      <c r="AJ118" s="630">
        <f t="shared" si="89"/>
        <v>0</v>
      </c>
      <c r="AK118" s="537"/>
      <c r="AL118" s="538"/>
      <c r="AM118" s="631"/>
      <c r="AN118" s="632"/>
      <c r="AO118" s="648"/>
      <c r="AP118" s="632"/>
      <c r="AQ118" s="632"/>
      <c r="AR118" s="649"/>
      <c r="AS118" s="650"/>
      <c r="AT118" s="650"/>
      <c r="AU118" s="650"/>
      <c r="AV118" s="680">
        <f t="shared" si="90"/>
        <v>0</v>
      </c>
      <c r="AW118" s="680">
        <f t="shared" si="91"/>
        <v>0</v>
      </c>
    </row>
    <row r="119" ht="15.75" spans="1:49">
      <c r="A119" s="543" t="str">
        <f>'IA-SI  TANKER'!B33</f>
        <v>Victoria Bay</v>
      </c>
      <c r="B119" s="544" t="s">
        <v>30</v>
      </c>
      <c r="C119" s="519" t="s">
        <v>36</v>
      </c>
      <c r="D119" s="520" t="s">
        <v>319</v>
      </c>
      <c r="E119" s="521" t="s">
        <v>319</v>
      </c>
      <c r="F119" s="522">
        <f t="shared" si="25"/>
        <v>4</v>
      </c>
      <c r="G119" s="523">
        <v>0</v>
      </c>
      <c r="H119" s="524">
        <v>4</v>
      </c>
      <c r="I119" s="520" t="s">
        <v>320</v>
      </c>
      <c r="J119" s="521" t="s">
        <v>319</v>
      </c>
      <c r="K119" s="566">
        <f t="shared" si="26"/>
        <v>4</v>
      </c>
      <c r="L119" s="523">
        <v>0</v>
      </c>
      <c r="M119" s="567">
        <v>4</v>
      </c>
      <c r="N119" s="520" t="s">
        <v>320</v>
      </c>
      <c r="O119" s="521" t="s">
        <v>319</v>
      </c>
      <c r="P119" s="568">
        <f t="shared" si="27"/>
        <v>3</v>
      </c>
      <c r="Q119" s="587">
        <v>0</v>
      </c>
      <c r="R119" s="588">
        <v>3</v>
      </c>
      <c r="S119" s="520"/>
      <c r="T119" s="521"/>
      <c r="U119" s="589">
        <f t="shared" si="32"/>
        <v>0</v>
      </c>
      <c r="V119" s="523"/>
      <c r="W119" s="524"/>
      <c r="X119" s="593"/>
      <c r="Y119" s="521"/>
      <c r="Z119" s="612">
        <f t="shared" si="28"/>
        <v>0</v>
      </c>
      <c r="AA119" s="523"/>
      <c r="AB119" s="524"/>
      <c r="AC119" s="593" t="s">
        <v>319</v>
      </c>
      <c r="AD119" s="521" t="s">
        <v>319</v>
      </c>
      <c r="AE119" s="607">
        <f t="shared" si="29"/>
        <v>0</v>
      </c>
      <c r="AF119" s="523">
        <v>0</v>
      </c>
      <c r="AG119" s="524">
        <v>0</v>
      </c>
      <c r="AH119" s="593"/>
      <c r="AI119" s="521"/>
      <c r="AJ119" s="624">
        <f t="shared" si="30"/>
        <v>0</v>
      </c>
      <c r="AK119" s="523"/>
      <c r="AL119" s="524"/>
      <c r="AM119" s="625"/>
      <c r="AN119" s="626"/>
      <c r="AO119" s="639"/>
      <c r="AP119" s="626" t="s">
        <v>321</v>
      </c>
      <c r="AQ119" s="626" t="s">
        <v>322</v>
      </c>
      <c r="AR119" s="640">
        <v>45464</v>
      </c>
      <c r="AS119" s="641">
        <v>45465</v>
      </c>
      <c r="AT119" s="641">
        <v>45468</v>
      </c>
      <c r="AU119" s="641">
        <v>45469</v>
      </c>
      <c r="AV119" s="653">
        <f t="shared" si="55"/>
        <v>5</v>
      </c>
      <c r="AW119" s="653">
        <f t="shared" si="31"/>
        <v>3</v>
      </c>
    </row>
    <row r="120" spans="1:49">
      <c r="A120" s="545"/>
      <c r="B120" s="526"/>
      <c r="C120" s="527"/>
      <c r="D120" s="528"/>
      <c r="E120" s="529"/>
      <c r="F120" s="530">
        <f t="shared" si="25"/>
        <v>0</v>
      </c>
      <c r="G120" s="531"/>
      <c r="H120" s="532"/>
      <c r="I120" s="528"/>
      <c r="J120" s="529"/>
      <c r="K120" s="569">
        <f t="shared" si="26"/>
        <v>0</v>
      </c>
      <c r="L120" s="531"/>
      <c r="M120" s="570"/>
      <c r="N120" s="528"/>
      <c r="O120" s="529"/>
      <c r="P120" s="571">
        <f t="shared" si="27"/>
        <v>0</v>
      </c>
      <c r="Q120" s="531"/>
      <c r="R120" s="570"/>
      <c r="S120" s="528"/>
      <c r="T120" s="529"/>
      <c r="U120" s="591">
        <f t="shared" si="32"/>
        <v>0</v>
      </c>
      <c r="V120" s="531"/>
      <c r="W120" s="532"/>
      <c r="X120" s="528"/>
      <c r="Y120" s="529"/>
      <c r="Z120" s="608">
        <f t="shared" si="28"/>
        <v>0</v>
      </c>
      <c r="AA120" s="531"/>
      <c r="AB120" s="532"/>
      <c r="AC120" s="528"/>
      <c r="AD120" s="529"/>
      <c r="AE120" s="609">
        <f t="shared" si="29"/>
        <v>0</v>
      </c>
      <c r="AF120" s="531"/>
      <c r="AG120" s="532"/>
      <c r="AH120" s="528"/>
      <c r="AI120" s="529"/>
      <c r="AJ120" s="627">
        <f t="shared" si="30"/>
        <v>0</v>
      </c>
      <c r="AK120" s="531"/>
      <c r="AL120" s="532"/>
      <c r="AM120" s="628"/>
      <c r="AN120" s="629"/>
      <c r="AO120" s="643"/>
      <c r="AP120" s="629"/>
      <c r="AQ120" s="629"/>
      <c r="AR120" s="644"/>
      <c r="AS120" s="644"/>
      <c r="AT120" s="644"/>
      <c r="AU120" s="644"/>
      <c r="AV120" s="654">
        <f t="shared" si="55"/>
        <v>0</v>
      </c>
      <c r="AW120" s="654">
        <f t="shared" si="31"/>
        <v>0</v>
      </c>
    </row>
    <row r="121" spans="1:49">
      <c r="A121" s="525"/>
      <c r="B121" s="526"/>
      <c r="C121" s="527"/>
      <c r="D121" s="528"/>
      <c r="E121" s="529"/>
      <c r="F121" s="530">
        <f t="shared" si="25"/>
        <v>0</v>
      </c>
      <c r="G121" s="531"/>
      <c r="H121" s="532"/>
      <c r="I121" s="528"/>
      <c r="J121" s="529"/>
      <c r="K121" s="572">
        <f t="shared" si="26"/>
        <v>0</v>
      </c>
      <c r="L121" s="531"/>
      <c r="M121" s="570"/>
      <c r="N121" s="528"/>
      <c r="O121" s="529"/>
      <c r="P121" s="571">
        <f t="shared" si="27"/>
        <v>0</v>
      </c>
      <c r="Q121" s="531"/>
      <c r="R121" s="570"/>
      <c r="S121" s="528"/>
      <c r="T121" s="529"/>
      <c r="U121" s="591">
        <f t="shared" si="32"/>
        <v>0</v>
      </c>
      <c r="V121" s="531"/>
      <c r="W121" s="532"/>
      <c r="X121" s="528"/>
      <c r="Y121" s="529"/>
      <c r="Z121" s="608">
        <f t="shared" si="28"/>
        <v>0</v>
      </c>
      <c r="AA121" s="531"/>
      <c r="AB121" s="532"/>
      <c r="AC121" s="528"/>
      <c r="AD121" s="529"/>
      <c r="AE121" s="609">
        <f t="shared" si="29"/>
        <v>0</v>
      </c>
      <c r="AF121" s="531"/>
      <c r="AG121" s="532"/>
      <c r="AH121" s="528"/>
      <c r="AI121" s="529"/>
      <c r="AJ121" s="627">
        <f t="shared" si="30"/>
        <v>0</v>
      </c>
      <c r="AK121" s="531"/>
      <c r="AL121" s="532"/>
      <c r="AM121" s="628"/>
      <c r="AN121" s="629"/>
      <c r="AO121" s="643"/>
      <c r="AP121" s="629"/>
      <c r="AQ121" s="629"/>
      <c r="AR121" s="646"/>
      <c r="AS121" s="647"/>
      <c r="AT121" s="647"/>
      <c r="AU121" s="647"/>
      <c r="AV121" s="654">
        <f t="shared" si="55"/>
        <v>0</v>
      </c>
      <c r="AW121" s="654">
        <f t="shared" si="31"/>
        <v>0</v>
      </c>
    </row>
    <row r="122" ht="15.75" spans="1:49">
      <c r="A122" s="533"/>
      <c r="B122" s="534"/>
      <c r="C122" s="542"/>
      <c r="D122" s="665"/>
      <c r="E122" s="666"/>
      <c r="F122" s="536">
        <f t="shared" si="25"/>
        <v>0</v>
      </c>
      <c r="G122" s="537"/>
      <c r="H122" s="538"/>
      <c r="I122" s="674"/>
      <c r="J122" s="666"/>
      <c r="K122" s="573">
        <f t="shared" si="26"/>
        <v>0</v>
      </c>
      <c r="L122" s="537"/>
      <c r="M122" s="574"/>
      <c r="N122" s="674"/>
      <c r="O122" s="666"/>
      <c r="P122" s="575">
        <f t="shared" si="27"/>
        <v>0</v>
      </c>
      <c r="Q122" s="537"/>
      <c r="R122" s="574"/>
      <c r="S122" s="665"/>
      <c r="T122" s="666"/>
      <c r="U122" s="592">
        <f t="shared" si="32"/>
        <v>0</v>
      </c>
      <c r="V122" s="537"/>
      <c r="W122" s="538"/>
      <c r="X122" s="665"/>
      <c r="Y122" s="666"/>
      <c r="Z122" s="610">
        <f t="shared" si="28"/>
        <v>0</v>
      </c>
      <c r="AA122" s="537"/>
      <c r="AB122" s="538"/>
      <c r="AC122" s="674"/>
      <c r="AD122" s="666"/>
      <c r="AE122" s="611">
        <f t="shared" si="29"/>
        <v>0</v>
      </c>
      <c r="AF122" s="537"/>
      <c r="AG122" s="538"/>
      <c r="AH122" s="665"/>
      <c r="AI122" s="666"/>
      <c r="AJ122" s="630">
        <f t="shared" si="30"/>
        <v>0</v>
      </c>
      <c r="AK122" s="537"/>
      <c r="AL122" s="538"/>
      <c r="AM122" s="631"/>
      <c r="AN122" s="632"/>
      <c r="AO122" s="648"/>
      <c r="AP122" s="632"/>
      <c r="AQ122" s="632"/>
      <c r="AR122" s="649"/>
      <c r="AS122" s="650"/>
      <c r="AT122" s="650"/>
      <c r="AU122" s="650"/>
      <c r="AV122" s="680">
        <f t="shared" si="55"/>
        <v>0</v>
      </c>
      <c r="AW122" s="680">
        <f t="shared" si="31"/>
        <v>0</v>
      </c>
    </row>
    <row r="123" ht="15.75" spans="14:14">
      <c r="N123" s="675"/>
    </row>
    <row r="127" ht="15.75"/>
    <row r="128" ht="31.5" customHeight="1" spans="1:15">
      <c r="A128" s="667" t="s">
        <v>212</v>
      </c>
      <c r="B128" s="668"/>
      <c r="C128" s="669"/>
      <c r="D128" s="670" t="s">
        <v>213</v>
      </c>
      <c r="E128" s="671"/>
      <c r="F128" s="672" t="s">
        <v>214</v>
      </c>
      <c r="G128" s="673"/>
      <c r="H128" s="667" t="s">
        <v>215</v>
      </c>
      <c r="I128" s="669"/>
      <c r="J128" s="676" t="s">
        <v>216</v>
      </c>
      <c r="K128" s="671"/>
      <c r="L128" s="672" t="s">
        <v>217</v>
      </c>
      <c r="M128" s="677"/>
      <c r="N128" s="672" t="s">
        <v>218</v>
      </c>
      <c r="O128" s="677"/>
    </row>
    <row r="129" spans="1:15">
      <c r="A129" s="681" t="s">
        <v>164</v>
      </c>
      <c r="B129" s="682" t="s">
        <v>172</v>
      </c>
      <c r="C129" s="683" t="s">
        <v>170</v>
      </c>
      <c r="D129" s="681" t="s">
        <v>172</v>
      </c>
      <c r="E129" s="683" t="s">
        <v>170</v>
      </c>
      <c r="F129" s="681" t="s">
        <v>172</v>
      </c>
      <c r="G129" s="684" t="s">
        <v>170</v>
      </c>
      <c r="H129" s="681" t="s">
        <v>172</v>
      </c>
      <c r="I129" s="683" t="s">
        <v>170</v>
      </c>
      <c r="J129" s="708" t="s">
        <v>172</v>
      </c>
      <c r="K129" s="683" t="s">
        <v>170</v>
      </c>
      <c r="L129" s="681" t="s">
        <v>169</v>
      </c>
      <c r="M129" s="683" t="s">
        <v>219</v>
      </c>
      <c r="N129" s="681" t="s">
        <v>169</v>
      </c>
      <c r="O129" s="683" t="s">
        <v>219</v>
      </c>
    </row>
    <row r="130" spans="1:15">
      <c r="A130" s="62" t="s">
        <v>28</v>
      </c>
      <c r="B130" s="685">
        <f>SUMIF(B3:B122,"*Amandeep*",G3:G122)</f>
        <v>0</v>
      </c>
      <c r="C130" s="686">
        <f>SUMIF(B3:B122,"*Amandeep*",H3:H122)</f>
        <v>0</v>
      </c>
      <c r="D130" s="687">
        <f>SUMIF(B3:B122,"*Amandeep*",Q3:Q122)</f>
        <v>0</v>
      </c>
      <c r="E130" s="686">
        <f>SUMIF(B3:B122,"*Amandeep*",R3:R122)</f>
        <v>0</v>
      </c>
      <c r="F130" s="685">
        <f>SUMIF(B3:B122,"*Amandeep*",V3:V122)</f>
        <v>0</v>
      </c>
      <c r="G130" s="688">
        <f>SUMIF(B3:B122,"*Amandeep*",W3:W122)</f>
        <v>0</v>
      </c>
      <c r="H130" s="687">
        <f>SUMIF(B3:B122,"*Amandeep*",AA3:AA122)</f>
        <v>0</v>
      </c>
      <c r="I130" s="686">
        <f>SUMIF(B3:B122,"*Amandeep*",AB3:AB122)</f>
        <v>0</v>
      </c>
      <c r="J130" s="689">
        <f>SUMIF(B3:B122,"*Amandeep*",AF3:AF122)</f>
        <v>0</v>
      </c>
      <c r="K130" s="686">
        <f>SUMIF(B3:B122,"*Amandeep*",AG3:AG122)</f>
        <v>0</v>
      </c>
      <c r="L130" s="685">
        <f>SUMIF(B3:B122,"*Amandeep*",AK3:AK122)</f>
        <v>0</v>
      </c>
      <c r="M130" s="686">
        <f>SUMIF(B3:B122,"*Amandeep*",AL3:AL122)</f>
        <v>0</v>
      </c>
      <c r="N130" s="709">
        <f>SUM(B130,D130,F130,H130,J130,L130)</f>
        <v>0</v>
      </c>
      <c r="O130" s="710">
        <f>SUM(C130,E130,G130,I130,K130,M130)</f>
        <v>0</v>
      </c>
    </row>
    <row r="131" spans="1:15">
      <c r="A131" s="62" t="s">
        <v>29</v>
      </c>
      <c r="B131" s="685">
        <f>SUMIF(B3:B122,"*Ankur*",G3:G122)</f>
        <v>0</v>
      </c>
      <c r="C131" s="686">
        <f>SUMIF(B3:B122,"*Ankur*",H3:H122)</f>
        <v>0</v>
      </c>
      <c r="D131" s="687">
        <f>SUMIF(B3:B122,"*Ankur*",Q3:Q122)</f>
        <v>0</v>
      </c>
      <c r="E131" s="686">
        <f>SUMIF(B3:B122,"*Ankur",R3:R122)</f>
        <v>0</v>
      </c>
      <c r="F131" s="687">
        <f>SUMIF(B3:B122,"*Ankur*",V3:V122)</f>
        <v>0</v>
      </c>
      <c r="G131" s="688">
        <f>SUMIF(B3:B122,"*Ankur*",W3:W122)</f>
        <v>0</v>
      </c>
      <c r="H131" s="687">
        <f>SUMIF(B3:B122,"*Ankur*",AA3:AA122)</f>
        <v>0</v>
      </c>
      <c r="I131" s="686">
        <f>SUMIF(B3:B122,"*Ankur*",AB3:AB122)</f>
        <v>0</v>
      </c>
      <c r="J131" s="689">
        <f>SUMIF(B3:B122,"*Ankur*",AF3:AF122)</f>
        <v>0</v>
      </c>
      <c r="K131" s="686">
        <f>SUMIF(B3:B122,"*Ankur*",AG3:AG122)</f>
        <v>0</v>
      </c>
      <c r="L131" s="687">
        <f>SUMIF(B3:B122,"*Ankur*",AK3:AK122)</f>
        <v>0</v>
      </c>
      <c r="M131" s="686">
        <f>SUMIF(B3:B122,"*Ankur*",AL3:AL122)</f>
        <v>0</v>
      </c>
      <c r="N131" s="709">
        <f t="shared" ref="N131:N144" si="92">SUM(B131,D131,F131,H131,J131,L131)</f>
        <v>0</v>
      </c>
      <c r="O131" s="710">
        <f t="shared" ref="O131:O144" si="93">SUM(C131,E131,G131,I131,K131,M131)</f>
        <v>0</v>
      </c>
    </row>
    <row r="132" spans="1:15">
      <c r="A132" s="62" t="s">
        <v>23</v>
      </c>
      <c r="B132" s="685">
        <f>SUMIF(B3:B122,"*Ashwin*",G3:G122)</f>
        <v>1</v>
      </c>
      <c r="C132" s="686">
        <f>SUMIF(B3:B122,"*Ashwin*",H3:H122)</f>
        <v>8</v>
      </c>
      <c r="D132" s="687">
        <f>SUMIF(B3:B122,"*Ashwin*",Q3:Q122)</f>
        <v>0</v>
      </c>
      <c r="E132" s="686">
        <f>SUMIF(B3:B122,"*Ashwin",R3:R122)</f>
        <v>4</v>
      </c>
      <c r="F132" s="687">
        <f>SUMIF(B3:B122,"*Ashwin*",V3:V122)</f>
        <v>0</v>
      </c>
      <c r="G132" s="688">
        <f>SUMIF(B3:B122,"*Ashwin*",W3:W122)</f>
        <v>0</v>
      </c>
      <c r="H132" s="687">
        <f>SUMIF(B3:B122,"*Ashwin*",AA3:AA122)</f>
        <v>0</v>
      </c>
      <c r="I132" s="686">
        <f>SUMIF(B3:B122,"*Ashwin*",AB3:AB122)</f>
        <v>0</v>
      </c>
      <c r="J132" s="689">
        <f>SUMIF(B3:B122,"*Ashwin*",AF3:AF122)</f>
        <v>0</v>
      </c>
      <c r="K132" s="686">
        <f>SUMIF(B3:B122,"*Ashwin*",AG3:AG122)</f>
        <v>0</v>
      </c>
      <c r="L132" s="687">
        <f>SUMIF(B3:B122,"*Ashwin*",AK3:AK122)</f>
        <v>0</v>
      </c>
      <c r="M132" s="686">
        <f>SUMIF(B3:B122,"*Ashwin*",AL3:AL122)</f>
        <v>0</v>
      </c>
      <c r="N132" s="709">
        <f t="shared" si="92"/>
        <v>1</v>
      </c>
      <c r="O132" s="710">
        <f t="shared" si="93"/>
        <v>12</v>
      </c>
    </row>
    <row r="133" spans="1:15">
      <c r="A133" s="62" t="s">
        <v>27</v>
      </c>
      <c r="B133" s="685">
        <f>SUMIF(B3:B122,"*Avish*",G3:G122)</f>
        <v>0</v>
      </c>
      <c r="C133" s="686">
        <f>SUMIF(B3:B122,"*Avish*",H3:H122)</f>
        <v>6</v>
      </c>
      <c r="D133" s="687">
        <f>SUMIF(B3:B122,"*Avish*",Q3:Q122)</f>
        <v>0</v>
      </c>
      <c r="E133" s="686">
        <f>SUMIF(B3:B122,"*Avish",R3:R122)</f>
        <v>3</v>
      </c>
      <c r="F133" s="687">
        <f>SUMIF(B3:B122,"*Avish*",V3:V122)</f>
        <v>0</v>
      </c>
      <c r="G133" s="688">
        <f>SUMIF(B3:B122,"*Avish*",W3:W122)</f>
        <v>0</v>
      </c>
      <c r="H133" s="687">
        <f>SUMIF(B3:B122,"*Avish*",AA3:AA122)</f>
        <v>0</v>
      </c>
      <c r="I133" s="686">
        <f>SUMIF(B3:B122,"*Avish*",AB3:AB122)</f>
        <v>0</v>
      </c>
      <c r="J133" s="689">
        <f>SUMIF(B3:B122,"*Avish*",AF3:AF122)</f>
        <v>0</v>
      </c>
      <c r="K133" s="686">
        <f>SUMIF(B3:B122,"*Avish*",AG3:AG122)</f>
        <v>0</v>
      </c>
      <c r="L133" s="687">
        <f>SUMIF(B3:B122,"*Avish*",AK3:AK122)</f>
        <v>0</v>
      </c>
      <c r="M133" s="686">
        <f>SUMIF(B3:B122,"*Avish*",AL3:AL122)</f>
        <v>0</v>
      </c>
      <c r="N133" s="709">
        <f t="shared" si="92"/>
        <v>0</v>
      </c>
      <c r="O133" s="710">
        <f t="shared" si="93"/>
        <v>9</v>
      </c>
    </row>
    <row r="134" spans="1:15">
      <c r="A134" s="62" t="s">
        <v>119</v>
      </c>
      <c r="B134" s="685">
        <f>SUMIF(B3:B122,"*Gaurav*",G3:G122)</f>
        <v>0</v>
      </c>
      <c r="C134" s="686">
        <f>SUMIF(B3:B122,"*Gaurav*",H3:H122)</f>
        <v>0</v>
      </c>
      <c r="D134" s="687">
        <f>SUMIF(B3:B122,"*Gaurav*",Q3:Q122)</f>
        <v>0</v>
      </c>
      <c r="E134" s="686">
        <f>SUMIF(B3:B122,"*Gaurav*",R3:R122)</f>
        <v>0</v>
      </c>
      <c r="F134" s="687">
        <f>SUMIF(B3:B122,"*Gaurav*",V3:V122)</f>
        <v>0</v>
      </c>
      <c r="G134" s="688">
        <f>SUMIF(B3:B122,"*Gaurav*",W3:W122)</f>
        <v>0</v>
      </c>
      <c r="H134" s="687">
        <f>SUMIF(B3:B122,"*Gaurav*",AA3:AA122)</f>
        <v>0</v>
      </c>
      <c r="I134" s="686">
        <f>SUMIF(B3:B122,"*Gaurav*",AB3:AB122)</f>
        <v>0</v>
      </c>
      <c r="J134" s="689">
        <f>SUMIF(B3:B122,"*Gaurav*",AF3:AF122)</f>
        <v>0</v>
      </c>
      <c r="K134" s="686">
        <f>SUMIF(B3:B122,"*Gaurav*",AG3:AG122)</f>
        <v>0</v>
      </c>
      <c r="L134" s="687">
        <f>SUMIF(D3:D122,"*Gaurav*",AK3:AK122)</f>
        <v>0</v>
      </c>
      <c r="M134" s="686">
        <f>SUMIF(B3:B122,"*Gaurav*",AL3:AL122)</f>
        <v>0</v>
      </c>
      <c r="N134" s="709">
        <f t="shared" si="92"/>
        <v>0</v>
      </c>
      <c r="O134" s="710">
        <f t="shared" si="93"/>
        <v>0</v>
      </c>
    </row>
    <row r="135" spans="1:15">
      <c r="A135" s="62" t="s">
        <v>30</v>
      </c>
      <c r="B135" s="685">
        <f>SUMIF(B3:B122,"*Jay*",G3:G122)</f>
        <v>2</v>
      </c>
      <c r="C135" s="686">
        <f>SUMIF(B3:B122,"*Jay*",H3:H122)</f>
        <v>25</v>
      </c>
      <c r="D135" s="687">
        <f>SUMIF(B3:B122,"*Jay*",Q3:Q122)</f>
        <v>0</v>
      </c>
      <c r="E135" s="686">
        <f>SUMIF(B3:B122,"*Jay*",R3:R122)</f>
        <v>21</v>
      </c>
      <c r="F135" s="687">
        <f>SUMIF(B3:B122,"*Jay*",V3:V122)</f>
        <v>0</v>
      </c>
      <c r="G135" s="688">
        <f>SUMIF(B3:B122,"*Jay*",W3:W122)</f>
        <v>8</v>
      </c>
      <c r="H135" s="687">
        <f>SUMIF(B3:B122,"*Jay*",AA3:AA122)</f>
        <v>0</v>
      </c>
      <c r="I135" s="686">
        <f>SUMIF(B3:B122,"*Jay*",AB3:AB122)</f>
        <v>12</v>
      </c>
      <c r="J135" s="689">
        <f>SUMIF(B3:B122,"*Jay*",AF3:AF122)</f>
        <v>0</v>
      </c>
      <c r="K135" s="686">
        <f>SUMIF(B3:B122,"*Jay*",AG3:AG122)</f>
        <v>2</v>
      </c>
      <c r="L135" s="687">
        <f>SUMIF(B3:B122,"*Jay*",AK3:AK122)</f>
        <v>0</v>
      </c>
      <c r="M135" s="686">
        <f>SUMIF(B3:B122,"*Jay*",AL3:AL122)</f>
        <v>11</v>
      </c>
      <c r="N135" s="709">
        <f t="shared" si="92"/>
        <v>2</v>
      </c>
      <c r="O135" s="710">
        <f t="shared" si="93"/>
        <v>79</v>
      </c>
    </row>
    <row r="136" spans="1:15">
      <c r="A136" s="62" t="s">
        <v>24</v>
      </c>
      <c r="B136" s="685">
        <f>SUMIF(B3:B122,"*Venster*",G3:G122)</f>
        <v>0</v>
      </c>
      <c r="C136" s="686">
        <f>SUMIF(B3:B122,"*Venster*",H3:H122)</f>
        <v>6</v>
      </c>
      <c r="D136" s="687">
        <f>SUMIF(B3:B122,"*Venster*",Q3:Q122)</f>
        <v>0</v>
      </c>
      <c r="E136" s="686">
        <f>SUMIF(B3:B122,"*Venster*",R3:R122)</f>
        <v>8</v>
      </c>
      <c r="F136" s="687">
        <f>SUMIF(B3:B122,"*Venster*",V3:V122)</f>
        <v>0</v>
      </c>
      <c r="G136" s="688">
        <f>SUMIF(B3:B122,"*Venster*",W3:W122)</f>
        <v>4</v>
      </c>
      <c r="H136" s="687">
        <f>SUMIF(B3:B122,"*Venster*",AA3:AA122)</f>
        <v>0</v>
      </c>
      <c r="I136" s="686">
        <f>SUMIF(B3:B122,"*Venster*",AB3:AB122)</f>
        <v>5</v>
      </c>
      <c r="J136" s="689">
        <f>SUMIF(B3:B122,"*Venster*",AF3:AF122)</f>
        <v>0</v>
      </c>
      <c r="K136" s="686">
        <f>SUMIF(B3:B122,"*Venster*",AG3:AG122)</f>
        <v>0</v>
      </c>
      <c r="L136" s="687">
        <f>SUMIF(B3:B122,"*Venster*",AK3:AK122)</f>
        <v>0</v>
      </c>
      <c r="M136" s="686">
        <f>SUMIF(B3:B122,"*Venster*",AL3:AL122)</f>
        <v>1</v>
      </c>
      <c r="N136" s="709">
        <f t="shared" si="92"/>
        <v>0</v>
      </c>
      <c r="O136" s="710">
        <f t="shared" si="93"/>
        <v>24</v>
      </c>
    </row>
    <row r="137" spans="1:15">
      <c r="A137" s="62" t="s">
        <v>25</v>
      </c>
      <c r="B137" s="685">
        <f>SUMIF(B3:B122,"*Naveen*",G3:G122)</f>
        <v>0</v>
      </c>
      <c r="C137" s="686">
        <f>SUMIF(B3:B122,"*Naveen*",H3:H122)</f>
        <v>14</v>
      </c>
      <c r="D137" s="687">
        <f>SUMIF(B3:B122,"*Naveen*",Q3:Q122)</f>
        <v>0</v>
      </c>
      <c r="E137" s="686">
        <f>SUMIF(B3:B122,"*Naveen*",R3:R122)</f>
        <v>9</v>
      </c>
      <c r="F137" s="687">
        <f>SUMIF(B3:B122,"*Naveen*",V3:V122)</f>
        <v>0</v>
      </c>
      <c r="G137" s="688">
        <f>SUMIF(B3:B122,"*Naveen*",W3:W122)</f>
        <v>6</v>
      </c>
      <c r="H137" s="687">
        <f>SUMIF(B3:B122,"*Naveen*",AA3:AA122)</f>
        <v>0</v>
      </c>
      <c r="I137" s="686">
        <f>SUMIF(B3:B122,"*Naveen*",AB3:AB122)</f>
        <v>10</v>
      </c>
      <c r="J137" s="689">
        <f>SUMIF(B3:B122,"*Naveen*",AF3:AF122)</f>
        <v>0</v>
      </c>
      <c r="K137" s="686">
        <f>SUMIF(B3:B122,"*Naveen*",AG3:AG122)</f>
        <v>0</v>
      </c>
      <c r="L137" s="687">
        <f>SUMIF(B3:B122,"*Naveen*",AK3:AK122)</f>
        <v>0</v>
      </c>
      <c r="M137" s="686">
        <f>SUMIF(B3:B122,"*Naveen*",AL3:AL122)</f>
        <v>5</v>
      </c>
      <c r="N137" s="709">
        <f t="shared" si="92"/>
        <v>0</v>
      </c>
      <c r="O137" s="710">
        <f t="shared" si="93"/>
        <v>44</v>
      </c>
    </row>
    <row r="138" spans="1:15">
      <c r="A138" s="62" t="s">
        <v>26</v>
      </c>
      <c r="B138" s="685">
        <f>SUMIF(B3:B122,"*Maqsood*",G3:G122)</f>
        <v>0</v>
      </c>
      <c r="C138" s="686">
        <f>SUMIF(B3:B122,"*Maqsood*",H3:H122)</f>
        <v>3</v>
      </c>
      <c r="D138" s="687">
        <f>SUMIF(B3:B122,"*Maqsood*",Q3:Q122)</f>
        <v>0</v>
      </c>
      <c r="E138" s="686">
        <f>SUMIF(B3:B122,"*Maqsood",R3:R122)</f>
        <v>0</v>
      </c>
      <c r="F138" s="687">
        <f>SUMIF(B3:B122,"*Maqsood*",V3:V122)</f>
        <v>0</v>
      </c>
      <c r="G138" s="688">
        <f>SUMIF(B3:B122,"*Maqsood*",W3:W122)</f>
        <v>0</v>
      </c>
      <c r="H138" s="687">
        <f>SUMIF(B3:B122,"*Maqsood*",AA3:AA122)</f>
        <v>0</v>
      </c>
      <c r="I138" s="686">
        <f>SUMIF(B3:B122,"*Maqsood*",AB3:AB122)</f>
        <v>2</v>
      </c>
      <c r="J138" s="689">
        <f>SUMIF(B3:B122,"*Maqsood*",AF3:AF122)</f>
        <v>0</v>
      </c>
      <c r="K138" s="686">
        <f>SUMIF(B3:B122,"*Maqsood*",AG3:AG122)</f>
        <v>0</v>
      </c>
      <c r="L138" s="687">
        <f>SUMIF(B3:B122,"*Maqsood*",AK3:AK122)</f>
        <v>0</v>
      </c>
      <c r="M138" s="686">
        <f>SUMIF(B3:B122,"*Maqsood*",AL3:AL122)</f>
        <v>1</v>
      </c>
      <c r="N138" s="709">
        <f t="shared" si="92"/>
        <v>0</v>
      </c>
      <c r="O138" s="710">
        <f t="shared" si="93"/>
        <v>6</v>
      </c>
    </row>
    <row r="139" spans="1:15">
      <c r="A139" s="70" t="s">
        <v>220</v>
      </c>
      <c r="B139" s="685">
        <f>SUMIF(B3:B122,"*Manpreet*",G3:G122)</f>
        <v>1</v>
      </c>
      <c r="C139" s="688">
        <f>SUMIF(B3:B122,"*Manpreet*",H3:H122)</f>
        <v>5</v>
      </c>
      <c r="D139" s="687">
        <f>SUMIF(B3:B122,"*Manpreet*",Q3:Q122)</f>
        <v>0</v>
      </c>
      <c r="E139" s="686">
        <f>SUMIF(B3:B122,"*Manpreet*",R3:R122)</f>
        <v>0</v>
      </c>
      <c r="F139" s="689">
        <f>SUMIF(B3:B122,"*Manpreet*",V3:V122)</f>
        <v>0</v>
      </c>
      <c r="G139" s="688">
        <f>SUMIF(B3:B122,"*Manpreet*",W3:W122)</f>
        <v>0</v>
      </c>
      <c r="H139" s="687">
        <f>SUMIF(B3:B122,"*Manpreet*",AA3:AA122)</f>
        <v>0</v>
      </c>
      <c r="I139" s="686">
        <f>SUMIF(B3:B122,"*Manpreet*",AB3:AB122)</f>
        <v>0</v>
      </c>
      <c r="J139" s="689">
        <f>SUMIF(B3:B122,"*Manpreet*",AF3:AF122)</f>
        <v>0</v>
      </c>
      <c r="K139" s="688">
        <f>SUMIF(B3:B122,"*Manpreet*",AG3:AG122)</f>
        <v>0</v>
      </c>
      <c r="L139" s="687">
        <f>SUMIF(B3:B122,"*Manpreet*",AK3:AK122)</f>
        <v>0</v>
      </c>
      <c r="M139" s="686">
        <f>SUMIF(B3:B122,"*Manpreet*",AL3:AL122)</f>
        <v>0</v>
      </c>
      <c r="N139" s="709">
        <f t="shared" si="92"/>
        <v>1</v>
      </c>
      <c r="O139" s="710">
        <f t="shared" si="93"/>
        <v>5</v>
      </c>
    </row>
    <row r="140" spans="1:15">
      <c r="A140" s="70" t="s">
        <v>31</v>
      </c>
      <c r="B140" s="685">
        <f>SUMIF(B3:B122,"*Siddharth*",G3:G122)</f>
        <v>3</v>
      </c>
      <c r="C140" s="688">
        <f>SUMIF(B3:B122,"*Siddharth*",H3:H122)</f>
        <v>12</v>
      </c>
      <c r="D140" s="687">
        <f>SUMIF(B3:B122,"*Siddharth*",Q3:Q122)</f>
        <v>0</v>
      </c>
      <c r="E140" s="686">
        <f>SUMIF(B3:B122,"*Siddharth*",R3:R122)</f>
        <v>7</v>
      </c>
      <c r="F140" s="689">
        <f>SUMIF(B3:B122,"*Siddharth*",V3:V122)</f>
        <v>0</v>
      </c>
      <c r="G140" s="688">
        <f>SUMIF(B3:B122,"*Siddharth*",W3:W122)</f>
        <v>7</v>
      </c>
      <c r="H140" s="687">
        <f>SUMIF(B3:B122,"*Siddharth*",AA3:AA122)</f>
        <v>0</v>
      </c>
      <c r="I140" s="686">
        <f>SUMIF(B3:B122,"*Siddharth*",AB3:AB122)</f>
        <v>9</v>
      </c>
      <c r="J140" s="689">
        <f>SUMIF(B3:B122,"*Siddharth*",AF3:AF122)</f>
        <v>0</v>
      </c>
      <c r="K140" s="688">
        <f>SUMIF(B3:B122,"*Siddharth*",AG3:AG122)</f>
        <v>0</v>
      </c>
      <c r="L140" s="687">
        <f>SUMIF(B3:B122,"*Siddharth*",AK3:AK122)</f>
        <v>0</v>
      </c>
      <c r="M140" s="686">
        <f>SUMIF(B3:B122,"*Siddharth*",AL3:AL122)</f>
        <v>5</v>
      </c>
      <c r="N140" s="709">
        <f t="shared" si="92"/>
        <v>3</v>
      </c>
      <c r="O140" s="710">
        <f t="shared" si="93"/>
        <v>40</v>
      </c>
    </row>
    <row r="141" spans="1:15">
      <c r="A141" s="70" t="s">
        <v>323</v>
      </c>
      <c r="B141" s="685">
        <f>SUMIF(B3:B122,"*Kaustabh*",G3:G122)</f>
        <v>0</v>
      </c>
      <c r="C141" s="688">
        <f>SUMIF(B3:B122,"*Kaustabh*",H3:H122)</f>
        <v>0</v>
      </c>
      <c r="D141" s="687">
        <f>SUMIF(B3:B122,"*Kaustabh*",Q3:Q122)</f>
        <v>0</v>
      </c>
      <c r="E141" s="686">
        <f>SUMIF(B3:B122,"*Kaustabh*",R3:R122)</f>
        <v>0</v>
      </c>
      <c r="F141" s="689">
        <f>SUMIF(B3:B122,"*Kaustabh*",V3:V122)</f>
        <v>0</v>
      </c>
      <c r="G141" s="688">
        <f>SUMIF(B3:B122,"*Kaustabh*",W3:W122)</f>
        <v>0</v>
      </c>
      <c r="H141" s="687">
        <f>SUMIF(B3:B122,"*Kaustabh*",AA3:AA122)</f>
        <v>0</v>
      </c>
      <c r="I141" s="686">
        <f>SUMIF(B3:B122,"*Kaustubh*",AB3:AB122)</f>
        <v>9</v>
      </c>
      <c r="J141" s="689">
        <f>SUMIF(B3:B122,"*Kaustubh*",AF3:AF122)</f>
        <v>0</v>
      </c>
      <c r="K141" s="688">
        <f>SUMIF(B3:B122,"*Kaustabh*",AG3:AG122)</f>
        <v>0</v>
      </c>
      <c r="L141" s="687">
        <f>SUMIF(B3:B122,"*Kaustabh*",AK3:AK122)</f>
        <v>0</v>
      </c>
      <c r="M141" s="686">
        <f>SUMIF(B3:B122,"*Kaustabh*",AL3:AL122)</f>
        <v>0</v>
      </c>
      <c r="N141" s="709">
        <f t="shared" ref="N141" si="94">SUM(B141,D141,F141,H141,J141,L141)</f>
        <v>0</v>
      </c>
      <c r="O141" s="710">
        <f t="shared" ref="O141" si="95">SUM(C141,E141,G141,I141,K141,M141)</f>
        <v>9</v>
      </c>
    </row>
    <row r="142" spans="1:15">
      <c r="A142" s="70" t="s">
        <v>33</v>
      </c>
      <c r="B142" s="685">
        <f>SUMIF(B3:B122,"*Lalit*",G3:G122)</f>
        <v>1</v>
      </c>
      <c r="C142" s="688">
        <f>SUMIF(B3:B122,"*Lalit*",H4:H123)</f>
        <v>0</v>
      </c>
      <c r="D142" s="687">
        <f>SUMIF(B3:B122,"*Lalit*",Q3:Q122)</f>
        <v>1</v>
      </c>
      <c r="E142" s="686">
        <f>SUMIF(B3:B122,"*Lalit*",R3:R122)</f>
        <v>3</v>
      </c>
      <c r="F142" s="689">
        <f>SUMIF(B3:B122,"*Lalit*",V3:V122)</f>
        <v>1</v>
      </c>
      <c r="G142" s="688">
        <f>SUMIF(B3:B122,"*Lalit*",W3:W122)</f>
        <v>2</v>
      </c>
      <c r="H142" s="687">
        <f>SUMIF(B3:B122,"*Lalit*",AA3:AA122)</f>
        <v>0</v>
      </c>
      <c r="I142" s="686">
        <f>SUMIF(B3:B122,"*Lalit*",AB3:AB122)</f>
        <v>2</v>
      </c>
      <c r="J142" s="689">
        <f>SUMIF(B3:B122,"*Lalit*",AF3:AF122)</f>
        <v>0</v>
      </c>
      <c r="K142" s="688">
        <f>SUMIF(B3:B122,"*Lalit*",AG3:AG122)</f>
        <v>0</v>
      </c>
      <c r="L142" s="687">
        <f>SUMIF(B3:B122,"*Lalit*",AK3:AK122)</f>
        <v>1</v>
      </c>
      <c r="M142" s="686">
        <f>SUMIF(B3:B122,"*Lalit*",AL3:AL122)</f>
        <v>2</v>
      </c>
      <c r="N142" s="709">
        <f t="shared" ref="N142" si="96">SUM(B142,D142,F142,H142,J142,L142)</f>
        <v>4</v>
      </c>
      <c r="O142" s="710">
        <f t="shared" ref="O142" si="97">SUM(C142,E142,G142,I142,K142,M142)</f>
        <v>9</v>
      </c>
    </row>
    <row r="143" spans="1:15">
      <c r="A143" s="70" t="s">
        <v>34</v>
      </c>
      <c r="B143" s="685">
        <f>SUMIF(B3:B122,"*Rajneesh*",G3:G122)</f>
        <v>0</v>
      </c>
      <c r="C143" s="688">
        <f>SUMIF(B3:B122,"*Rajneesh*",H3:H122)</f>
        <v>17</v>
      </c>
      <c r="D143" s="687">
        <f>SUMIF(B3:B122,"*Rajneesh*",Q3:Q122)</f>
        <v>0</v>
      </c>
      <c r="E143" s="686">
        <f>SUMIF(B3:B122,"*Rajneesh*",R3:R122)</f>
        <v>10</v>
      </c>
      <c r="F143" s="689">
        <f>SUMIF(B3:B122,"*Rajneesh*",V3:V122)</f>
        <v>0</v>
      </c>
      <c r="G143" s="688">
        <f>SUMIF(B3:B122,"*Rajneesh*",W3:W122)</f>
        <v>19</v>
      </c>
      <c r="H143" s="687">
        <f>SUMIF(B3:B122,"*Rajneesh*",AA3:AA122)</f>
        <v>0</v>
      </c>
      <c r="I143" s="686">
        <f>SUMIF(B3:B122,"*Rajneesh*",AB3:AB122)</f>
        <v>16</v>
      </c>
      <c r="J143" s="689">
        <f>SUMIF(B3:B122,"*Rajneesh*",AF3:AF122)</f>
        <v>0</v>
      </c>
      <c r="K143" s="688">
        <f>SUMIF(B3:B122,"*Rajneesh*",AG3:AG122)</f>
        <v>0</v>
      </c>
      <c r="L143" s="687">
        <f>SUMIF(B3:B122,"*Rajneesh*",AK3:AK122)</f>
        <v>0</v>
      </c>
      <c r="M143" s="686">
        <f>SUMIF(B3:B122,"*Rajneesh*",AL3:AL122)</f>
        <v>7</v>
      </c>
      <c r="N143" s="709">
        <f t="shared" ref="N143" si="98">SUM(B143,D143,F143,H143,J143,L143)</f>
        <v>0</v>
      </c>
      <c r="O143" s="710">
        <f t="shared" ref="O143" si="99">SUM(C143,E143,G143,I143,K143,M143)</f>
        <v>69</v>
      </c>
    </row>
    <row r="144" ht="15.75" spans="1:15">
      <c r="A144" s="94" t="s">
        <v>221</v>
      </c>
      <c r="B144" s="690">
        <f>SUMIF(B3:B122,"*Other*",G3:G122)</f>
        <v>0</v>
      </c>
      <c r="C144" s="691">
        <f>SUMIF(B3:B122,"*Other*",H3:H122)</f>
        <v>0</v>
      </c>
      <c r="D144" s="692">
        <f>SUMIF(B3:B122,"*Other*",Q3:Q122)</f>
        <v>0</v>
      </c>
      <c r="E144" s="691">
        <f>SUMIF(B3:B122,"*Other*",R3:R122)</f>
        <v>0</v>
      </c>
      <c r="F144" s="692">
        <f>SUMIF(B3:B122,"*Other*",V3:V122)</f>
        <v>0</v>
      </c>
      <c r="G144" s="693">
        <f>SUMIF(B3:B122,"*Other*",W3:W122)</f>
        <v>0</v>
      </c>
      <c r="H144" s="692">
        <f>SUMIF(B3:B122,"*Other*",AA3:AA122)</f>
        <v>0</v>
      </c>
      <c r="I144" s="691">
        <f>SUMIF(B3:B122,"*Other*",AB3:AB122)</f>
        <v>0</v>
      </c>
      <c r="J144" s="711">
        <f>SUMIF(B3:B122,"*Other*",AF3:AF122)</f>
        <v>0</v>
      </c>
      <c r="K144" s="691">
        <f>SUMIF(B3:B122,"*Other*",AG3:AG122)</f>
        <v>0</v>
      </c>
      <c r="L144" s="692">
        <f>SUMIF(B3:B122,"*Other*",AK3:AK122)</f>
        <v>0</v>
      </c>
      <c r="M144" s="691">
        <f>SUMIF(B3:B122,"*Other*",AL3:AL122)</f>
        <v>0</v>
      </c>
      <c r="N144" s="709">
        <f t="shared" si="92"/>
        <v>0</v>
      </c>
      <c r="O144" s="710">
        <f t="shared" si="93"/>
        <v>0</v>
      </c>
    </row>
    <row r="145" ht="15.75" spans="1:15">
      <c r="A145" s="694"/>
      <c r="B145" s="695"/>
      <c r="C145" s="696"/>
      <c r="D145" s="697"/>
      <c r="E145" s="697"/>
      <c r="F145" s="616"/>
      <c r="G145" s="616"/>
      <c r="H145" s="616"/>
      <c r="I145" s="697"/>
      <c r="J145" s="697"/>
      <c r="K145" s="712"/>
      <c r="L145" s="713"/>
      <c r="M145" s="712" t="s">
        <v>222</v>
      </c>
      <c r="N145" s="713">
        <f>SUM(N130:N144)</f>
        <v>11</v>
      </c>
      <c r="O145" s="714">
        <f>SUM(O130:O144)</f>
        <v>306</v>
      </c>
    </row>
    <row r="147" ht="15.75"/>
    <row r="148" spans="1:3">
      <c r="A148" s="667" t="s">
        <v>223</v>
      </c>
      <c r="B148" s="668"/>
      <c r="C148" s="669"/>
    </row>
    <row r="149" spans="1:3">
      <c r="A149" s="681" t="s">
        <v>164</v>
      </c>
      <c r="B149" s="682" t="s">
        <v>172</v>
      </c>
      <c r="C149" s="683" t="s">
        <v>170</v>
      </c>
    </row>
    <row r="150" spans="1:3">
      <c r="A150" s="62" t="s">
        <v>28</v>
      </c>
      <c r="B150" s="685">
        <f>SUMIF(B3:B122,"*Amandeep*",L3:L122)</f>
        <v>0</v>
      </c>
      <c r="C150" s="686">
        <f>SUMIF(B3:B122,"*Amandeep*",M3:M122)</f>
        <v>0</v>
      </c>
    </row>
    <row r="151" spans="1:3">
      <c r="A151" s="62" t="s">
        <v>29</v>
      </c>
      <c r="B151" s="685">
        <f>SUMIF(B3:B122,"*Ankur*",L3:L122)</f>
        <v>0</v>
      </c>
      <c r="C151" s="686">
        <f>SUMIF(B3:B122,"*Ankur*",M3:M122)</f>
        <v>0</v>
      </c>
    </row>
    <row r="152" spans="1:3">
      <c r="A152" s="62" t="s">
        <v>23</v>
      </c>
      <c r="B152" s="685">
        <f>SUMIF(B3:B122,"*Ashwin*",L3:L122)</f>
        <v>0</v>
      </c>
      <c r="C152" s="686">
        <f>SUMIF(B3:B122,"*Ashwin",M3:M122)</f>
        <v>10</v>
      </c>
    </row>
    <row r="153" spans="1:3">
      <c r="A153" s="62" t="s">
        <v>27</v>
      </c>
      <c r="B153" s="685">
        <f>SUMIF(B3:B122,"*Avish*",L3:L122)</f>
        <v>0</v>
      </c>
      <c r="C153" s="686">
        <f>SUMIF(B3:B122,"*Avish",M3:M122)</f>
        <v>6</v>
      </c>
    </row>
    <row r="154" spans="1:3">
      <c r="A154" s="62" t="s">
        <v>30</v>
      </c>
      <c r="B154" s="685">
        <f>SUMIF(B3:B122,"*Jay*",L3:L122)</f>
        <v>1</v>
      </c>
      <c r="C154" s="686">
        <f>SUMIF(B3:B122,"*Jay",M3:M122)</f>
        <v>38</v>
      </c>
    </row>
    <row r="155" spans="1:3">
      <c r="A155" s="62" t="s">
        <v>24</v>
      </c>
      <c r="B155" s="685">
        <f>SUMIF(B3:B122,"*Venster*",L3:L122)</f>
        <v>0</v>
      </c>
      <c r="C155" s="686">
        <f>SUMIF(B3:B122,"*Venster*",M3:M122)</f>
        <v>9</v>
      </c>
    </row>
    <row r="156" spans="1:3">
      <c r="A156" s="62" t="s">
        <v>25</v>
      </c>
      <c r="B156" s="685">
        <f>SUMIF(B3:B122,"*Naveen*",L3:L122)</f>
        <v>0</v>
      </c>
      <c r="C156" s="686">
        <f>SUMIF(B3:B122,"*Naveen*",M3:M122)</f>
        <v>17</v>
      </c>
    </row>
    <row r="157" spans="1:3">
      <c r="A157" s="62" t="s">
        <v>26</v>
      </c>
      <c r="B157" s="685">
        <f>SUMIF(B3:B122,"*Maqsood*",L3:L122)</f>
        <v>0</v>
      </c>
      <c r="C157" s="686">
        <f>SUMIF(B3:B122,"*Maqsood*",M3:M122)</f>
        <v>0</v>
      </c>
    </row>
    <row r="158" spans="1:3">
      <c r="A158" s="70" t="s">
        <v>220</v>
      </c>
      <c r="B158" s="685">
        <f>SUMIF(B3:B122,"*Manpreet*",L3:L122)</f>
        <v>0</v>
      </c>
      <c r="C158" s="686">
        <f>SUMIF(B3:B122,"*Manpreet*",M3:M122)</f>
        <v>0</v>
      </c>
    </row>
    <row r="159" spans="1:3">
      <c r="A159" s="70" t="s">
        <v>31</v>
      </c>
      <c r="B159" s="685">
        <f>SUMIF(B3:B122,"*Siddharth*",L3:L122)</f>
        <v>0</v>
      </c>
      <c r="C159" s="686">
        <f>SUMIF(B3:B122,"*Siddharth*",M3:M122)</f>
        <v>11</v>
      </c>
    </row>
    <row r="160" spans="1:3">
      <c r="A160" s="70" t="s">
        <v>323</v>
      </c>
      <c r="B160" s="685">
        <f>SUMIF(B3:B122,"*Kaustabh*",L3:L122)</f>
        <v>0</v>
      </c>
      <c r="C160" s="686">
        <f>SUMIF(B3:B122,"*Kaustabh*",M3:M122)</f>
        <v>0</v>
      </c>
    </row>
    <row r="161" spans="1:3">
      <c r="A161" s="70" t="s">
        <v>33</v>
      </c>
      <c r="B161" s="685">
        <f>SUMIF(B3:B122,"*Lalit*",L3:L122)</f>
        <v>2</v>
      </c>
      <c r="C161" s="686">
        <f>SUMIF(B3:B122,"*Lalit*",M3:M122)</f>
        <v>9</v>
      </c>
    </row>
    <row r="162" spans="1:3">
      <c r="A162" s="70" t="s">
        <v>34</v>
      </c>
      <c r="B162" s="685">
        <f>SUMIF(B3:B122,"*Rajneesh*",L3:L122)</f>
        <v>1</v>
      </c>
      <c r="C162" s="686">
        <f>SUMIF(B3:B122,"*Rajneesh*",M3:M122)</f>
        <v>18</v>
      </c>
    </row>
    <row r="163" ht="15.75" spans="1:3">
      <c r="A163" s="94" t="s">
        <v>221</v>
      </c>
      <c r="B163" s="690">
        <f>SUMIF(B3:B122,"*Other*",L3:L122)</f>
        <v>0</v>
      </c>
      <c r="C163" s="691">
        <f>SUMIF(B3:B122,"*Other*",M3:M122)</f>
        <v>0</v>
      </c>
    </row>
    <row r="169" spans="1:8">
      <c r="A169" s="698" t="s">
        <v>214</v>
      </c>
      <c r="B169" s="698"/>
      <c r="C169" s="698"/>
      <c r="D169" s="698"/>
      <c r="E169" s="698"/>
      <c r="F169" s="698"/>
      <c r="G169" s="698"/>
      <c r="H169" s="698"/>
    </row>
    <row r="170" ht="30" spans="1:9">
      <c r="A170" s="699"/>
      <c r="B170" s="700" t="s">
        <v>168</v>
      </c>
      <c r="C170" s="701" t="s">
        <v>224</v>
      </c>
      <c r="D170" s="701" t="s">
        <v>225</v>
      </c>
      <c r="E170" s="702" t="s">
        <v>226</v>
      </c>
      <c r="F170" s="703" t="s">
        <v>227</v>
      </c>
      <c r="G170" s="701" t="s">
        <v>228</v>
      </c>
      <c r="H170" s="703" t="s">
        <v>229</v>
      </c>
      <c r="I170" s="503"/>
    </row>
    <row r="171" spans="1:11">
      <c r="A171" s="704" t="str">
        <f>'IA-SI  TANKER'!B4</f>
        <v>Alpine Pembroke (Sold)</v>
      </c>
      <c r="B171" s="705">
        <f>SUM(U3:U6)</f>
        <v>0</v>
      </c>
      <c r="C171" s="705">
        <f>SUM(V3:V6)</f>
        <v>0</v>
      </c>
      <c r="D171" s="705">
        <f>SUM(W3:W6)</f>
        <v>0</v>
      </c>
      <c r="E171" s="706">
        <f>COUNTIF(S3:S6,"*")</f>
        <v>0</v>
      </c>
      <c r="F171" s="706" t="e">
        <f>B171/E171</f>
        <v>#DIV/0!</v>
      </c>
      <c r="G171" s="707" t="e">
        <f>C171/E171</f>
        <v>#DIV/0!</v>
      </c>
      <c r="H171" s="707" t="e">
        <f>D171/E171</f>
        <v>#DIV/0!</v>
      </c>
      <c r="I171" s="715"/>
      <c r="J171" s="715"/>
      <c r="K171" s="715"/>
    </row>
    <row r="172" spans="1:8">
      <c r="A172" s="704" t="str">
        <f>'IA-SI  TANKER'!B5</f>
        <v>Alpine Pioneer (Sold)</v>
      </c>
      <c r="B172" s="706">
        <f>SUM(U7:U10)</f>
        <v>0</v>
      </c>
      <c r="C172" s="706">
        <f>SUM(V7:V10)</f>
        <v>0</v>
      </c>
      <c r="D172" s="706">
        <f>SUM(W7:W10)</f>
        <v>0</v>
      </c>
      <c r="E172" s="706">
        <f>COUNTIF(S7:S10,"*")</f>
        <v>0</v>
      </c>
      <c r="F172" s="706" t="e">
        <f>B172/E172</f>
        <v>#DIV/0!</v>
      </c>
      <c r="G172" s="707" t="e">
        <f>C172/E172</f>
        <v>#DIV/0!</v>
      </c>
      <c r="H172" s="707" t="e">
        <f>D172/E172</f>
        <v>#DIV/0!</v>
      </c>
    </row>
    <row r="173" spans="1:8">
      <c r="A173" s="704" t="str">
        <f>'IA-SI  TANKER'!B6</f>
        <v>Bagheera</v>
      </c>
      <c r="B173" s="706">
        <f>SUM(U11:U14)</f>
        <v>2</v>
      </c>
      <c r="C173" s="706">
        <f>SUM(V11:V14)</f>
        <v>0</v>
      </c>
      <c r="D173" s="706">
        <f>SUM(W11:W14)</f>
        <v>2</v>
      </c>
      <c r="E173" s="706">
        <f>COUNTIF(S11:S14,"*")</f>
        <v>1</v>
      </c>
      <c r="F173" s="706">
        <f>B173/E173</f>
        <v>2</v>
      </c>
      <c r="G173" s="707">
        <f>C173/E173</f>
        <v>0</v>
      </c>
      <c r="H173" s="707">
        <f>D173/E173</f>
        <v>2</v>
      </c>
    </row>
    <row r="174" spans="1:8">
      <c r="A174" s="704" t="str">
        <f>'IA-SI  TANKER'!B7</f>
        <v>Bantry Bay</v>
      </c>
      <c r="B174" s="706">
        <f>SUM(U15:U18)</f>
        <v>6</v>
      </c>
      <c r="C174" s="706">
        <f>SUM(V15:V18)</f>
        <v>0</v>
      </c>
      <c r="D174" s="706">
        <f>SUM(W15:W18)</f>
        <v>6</v>
      </c>
      <c r="E174" s="706">
        <f>COUNTIF(S15:S18,"*")</f>
        <v>1</v>
      </c>
      <c r="F174" s="706">
        <f>B174/E174</f>
        <v>6</v>
      </c>
      <c r="G174" s="707">
        <f>C174/E174</f>
        <v>0</v>
      </c>
      <c r="H174" s="707">
        <f t="shared" ref="H174:H200" si="100">D174/E174</f>
        <v>6</v>
      </c>
    </row>
    <row r="175" spans="1:8">
      <c r="A175" s="704" t="str">
        <f>'IA-SI  TANKER'!B8</f>
        <v>Bright Future</v>
      </c>
      <c r="B175" s="706">
        <f>SUM(U19:U22)</f>
        <v>0</v>
      </c>
      <c r="C175" s="706">
        <f>SUM(V19:V22)</f>
        <v>0</v>
      </c>
      <c r="D175" s="706">
        <f>SUM(W19:W22)</f>
        <v>0</v>
      </c>
      <c r="E175" s="706">
        <f>COUNTIF(S19:S22,"*")</f>
        <v>0</v>
      </c>
      <c r="F175" s="706" t="e">
        <f t="shared" ref="F175:F201" si="101">B175/E175</f>
        <v>#DIV/0!</v>
      </c>
      <c r="G175" s="707" t="e">
        <f t="shared" ref="G175:G200" si="102">C175/E175</f>
        <v>#DIV/0!</v>
      </c>
      <c r="H175" s="707" t="e">
        <f t="shared" si="100"/>
        <v>#DIV/0!</v>
      </c>
    </row>
    <row r="176" spans="1:8">
      <c r="A176" s="704" t="str">
        <f>'IA-SI  TANKER'!B9</f>
        <v>Cielo di Houston</v>
      </c>
      <c r="B176" s="706">
        <f>SUM(U23:U26)</f>
        <v>1</v>
      </c>
      <c r="C176" s="706">
        <f>SUM(V23:V26)</f>
        <v>0</v>
      </c>
      <c r="D176" s="706">
        <f>SUM(W23:W26)</f>
        <v>1</v>
      </c>
      <c r="E176" s="706">
        <f>COUNTIF(S23:S26,"*")</f>
        <v>1</v>
      </c>
      <c r="F176" s="706">
        <f t="shared" ref="F176" si="103">B176/E176</f>
        <v>1</v>
      </c>
      <c r="G176" s="707">
        <f t="shared" ref="G176" si="104">C176/E176</f>
        <v>0</v>
      </c>
      <c r="H176" s="707">
        <f t="shared" ref="H176" si="105">D176/E176</f>
        <v>1</v>
      </c>
    </row>
    <row r="177" spans="1:8">
      <c r="A177" s="704" t="str">
        <f>'IA-SI  TANKER'!B10</f>
        <v>Cielo Rosso</v>
      </c>
      <c r="B177" s="706">
        <f>SUM(U27:U30)</f>
        <v>0</v>
      </c>
      <c r="C177" s="706">
        <f>SUM(V27:V30)</f>
        <v>0</v>
      </c>
      <c r="D177" s="706">
        <f>SUM(W27:W30)</f>
        <v>0</v>
      </c>
      <c r="E177" s="706">
        <f>COUNTIF(S27:S30,"*")</f>
        <v>0</v>
      </c>
      <c r="F177" s="706" t="e">
        <f t="shared" si="101"/>
        <v>#DIV/0!</v>
      </c>
      <c r="G177" s="707" t="e">
        <f t="shared" si="102"/>
        <v>#DIV/0!</v>
      </c>
      <c r="H177" s="707" t="e">
        <f t="shared" si="100"/>
        <v>#DIV/0!</v>
      </c>
    </row>
    <row r="178" spans="1:8">
      <c r="A178" s="704" t="str">
        <f>'IA-SI  TANKER'!B11</f>
        <v>Clearocean Maria</v>
      </c>
      <c r="B178" s="706">
        <f>SUM(U31:U34)</f>
        <v>0</v>
      </c>
      <c r="C178" s="706">
        <f>SUM(V31:V34)</f>
        <v>0</v>
      </c>
      <c r="D178" s="706">
        <f>SUM(W31:W34)</f>
        <v>0</v>
      </c>
      <c r="E178" s="706">
        <f>COUNTIF(S31:S34,"*")</f>
        <v>0</v>
      </c>
      <c r="F178" s="706" t="e">
        <f t="shared" si="101"/>
        <v>#DIV/0!</v>
      </c>
      <c r="G178" s="707" t="e">
        <f t="shared" si="102"/>
        <v>#DIV/0!</v>
      </c>
      <c r="H178" s="707" t="e">
        <f t="shared" si="100"/>
        <v>#DIV/0!</v>
      </c>
    </row>
    <row r="179" spans="1:8">
      <c r="A179" s="704" t="str">
        <f>'IA-SI  TANKER'!B12</f>
        <v>Clearocean Mary</v>
      </c>
      <c r="B179" s="706">
        <f>SUM(U35:U38)</f>
        <v>6</v>
      </c>
      <c r="C179" s="706">
        <f>SUM(V35:V38)</f>
        <v>0</v>
      </c>
      <c r="D179" s="706">
        <f>SUM(W35:W38)</f>
        <v>6</v>
      </c>
      <c r="E179" s="706">
        <f>COUNTIF(S35:S38,"*")</f>
        <v>1</v>
      </c>
      <c r="F179" s="706">
        <f t="shared" si="101"/>
        <v>6</v>
      </c>
      <c r="G179" s="707">
        <f t="shared" si="102"/>
        <v>0</v>
      </c>
      <c r="H179" s="707">
        <f t="shared" si="100"/>
        <v>6</v>
      </c>
    </row>
    <row r="180" spans="1:8">
      <c r="A180" s="704" t="str">
        <f>'IA-SI  TANKER'!B13</f>
        <v>Clearocean Mathilde</v>
      </c>
      <c r="B180" s="706">
        <f>SUM(U39:U42)</f>
        <v>2</v>
      </c>
      <c r="C180" s="706">
        <f>SUM(V39:V42)</f>
        <v>0</v>
      </c>
      <c r="D180" s="706">
        <f>SUM(W39:W42)</f>
        <v>2</v>
      </c>
      <c r="E180" s="706">
        <f>COUNTIF(S39:S42,"*")</f>
        <v>1</v>
      </c>
      <c r="F180" s="706">
        <f t="shared" si="101"/>
        <v>2</v>
      </c>
      <c r="G180" s="707">
        <f t="shared" si="102"/>
        <v>0</v>
      </c>
      <c r="H180" s="707">
        <f t="shared" si="100"/>
        <v>2</v>
      </c>
    </row>
    <row r="181" spans="1:8">
      <c r="A181" s="704" t="str">
        <f>'IA-SI  TANKER'!B14</f>
        <v>Clearocean Music</v>
      </c>
      <c r="B181" s="706">
        <f>SUM(U43:U46)</f>
        <v>2</v>
      </c>
      <c r="C181" s="706">
        <f>SUM(V43:V46)</f>
        <v>0</v>
      </c>
      <c r="D181" s="706">
        <f>SUM(W43:W46)</f>
        <v>2</v>
      </c>
      <c r="E181" s="706">
        <f>COUNTIF(S43:S46,"*")</f>
        <v>1</v>
      </c>
      <c r="F181" s="706">
        <f t="shared" si="101"/>
        <v>2</v>
      </c>
      <c r="G181" s="707">
        <f t="shared" si="102"/>
        <v>0</v>
      </c>
      <c r="H181" s="707">
        <f t="shared" si="100"/>
        <v>2</v>
      </c>
    </row>
    <row r="182" spans="1:8">
      <c r="A182" s="704" t="str">
        <f>'IA-SI  TANKER'!B15</f>
        <v>Rui Fu Xing (Glenda Melanie)</v>
      </c>
      <c r="B182" s="706">
        <f>SUM(U47:U50)</f>
        <v>4</v>
      </c>
      <c r="C182" s="706">
        <f>SUM(V47:V50)</f>
        <v>0</v>
      </c>
      <c r="D182" s="706">
        <f>SUM(W47:W50)</f>
        <v>4</v>
      </c>
      <c r="E182" s="706">
        <f>COUNTIF(S47:S50,"*")</f>
        <v>1</v>
      </c>
      <c r="F182" s="706">
        <f t="shared" si="101"/>
        <v>4</v>
      </c>
      <c r="G182" s="707">
        <f t="shared" si="102"/>
        <v>0</v>
      </c>
      <c r="H182" s="707">
        <f t="shared" si="100"/>
        <v>4</v>
      </c>
    </row>
    <row r="183" spans="1:8">
      <c r="A183" s="704" t="str">
        <f>'IA-SI  TANKER'!B16</f>
        <v>Glenda Melissa</v>
      </c>
      <c r="B183" s="706">
        <f>SUM(U51:U54)</f>
        <v>0</v>
      </c>
      <c r="C183" s="706">
        <f>SUM(V51:V54)</f>
        <v>0</v>
      </c>
      <c r="D183" s="706">
        <f>SUM(W51:W54)</f>
        <v>0</v>
      </c>
      <c r="E183" s="706">
        <f>COUNTIF(S51:S54,"*")</f>
        <v>0</v>
      </c>
      <c r="F183" s="706" t="e">
        <f t="shared" si="101"/>
        <v>#DIV/0!</v>
      </c>
      <c r="G183" s="707" t="e">
        <f t="shared" si="102"/>
        <v>#DIV/0!</v>
      </c>
      <c r="H183" s="707" t="e">
        <f t="shared" si="100"/>
        <v>#DIV/0!</v>
      </c>
    </row>
    <row r="184" spans="1:8">
      <c r="A184" s="704" t="str">
        <f>'IA-SI  TANKER'!B17</f>
        <v>Glenda Melody</v>
      </c>
      <c r="B184" s="706">
        <f>SUM(U55:U58)</f>
        <v>0</v>
      </c>
      <c r="C184" s="706">
        <f>SUM(V55:V58)</f>
        <v>0</v>
      </c>
      <c r="D184" s="706">
        <f>SUM(W55:W58)</f>
        <v>0</v>
      </c>
      <c r="E184" s="706">
        <f>COUNTIF(S55:S58,"*")</f>
        <v>0</v>
      </c>
      <c r="F184" s="706" t="e">
        <f t="shared" si="101"/>
        <v>#DIV/0!</v>
      </c>
      <c r="G184" s="707" t="e">
        <f t="shared" si="102"/>
        <v>#DIV/0!</v>
      </c>
      <c r="H184" s="707" t="e">
        <f t="shared" si="100"/>
        <v>#DIV/0!</v>
      </c>
    </row>
    <row r="185" spans="1:8">
      <c r="A185" s="704" t="str">
        <f>'IA-SI  TANKER'!B18</f>
        <v>Glenda Meryl</v>
      </c>
      <c r="B185" s="706">
        <f>SUM(U59:U62)</f>
        <v>0</v>
      </c>
      <c r="C185" s="706">
        <f>SUM(V59:V62)</f>
        <v>0</v>
      </c>
      <c r="D185" s="706">
        <f>SUM(W59:W62)</f>
        <v>0</v>
      </c>
      <c r="E185" s="706">
        <f>COUNTIF(S59:S62,"*")</f>
        <v>0</v>
      </c>
      <c r="F185" s="706" t="e">
        <f t="shared" si="101"/>
        <v>#DIV/0!</v>
      </c>
      <c r="G185" s="707" t="e">
        <f t="shared" si="102"/>
        <v>#DIV/0!</v>
      </c>
      <c r="H185" s="707" t="e">
        <f t="shared" si="100"/>
        <v>#DIV/0!</v>
      </c>
    </row>
    <row r="186" spans="1:8">
      <c r="A186" s="704" t="str">
        <f>'IA-SI  TANKER'!B19</f>
        <v>Herolds Bay</v>
      </c>
      <c r="B186" s="706">
        <f>SUM(U63:U66)</f>
        <v>4</v>
      </c>
      <c r="C186" s="706">
        <f>SUM(V63:V66)</f>
        <v>0</v>
      </c>
      <c r="D186" s="706">
        <f>SUM(W63:W66)</f>
        <v>4</v>
      </c>
      <c r="E186" s="706">
        <f>COUNTIF(S63:S66,"*")</f>
        <v>1</v>
      </c>
      <c r="F186" s="706">
        <f t="shared" si="101"/>
        <v>4</v>
      </c>
      <c r="G186" s="707">
        <f t="shared" si="102"/>
        <v>0</v>
      </c>
      <c r="H186" s="707">
        <f t="shared" si="100"/>
        <v>4</v>
      </c>
    </row>
    <row r="187" spans="1:8">
      <c r="A187" s="704" t="str">
        <f>'IA-SI  TANKER'!B20</f>
        <v>High Explorer</v>
      </c>
      <c r="B187" s="706">
        <f>SUM(U67:U70)</f>
        <v>3</v>
      </c>
      <c r="C187" s="706">
        <f>SUM(V67:V70)</f>
        <v>1</v>
      </c>
      <c r="D187" s="706">
        <f>SUM(W67:W70)</f>
        <v>2</v>
      </c>
      <c r="E187" s="706">
        <f>COUNTIF(S67:S70,"*")</f>
        <v>1</v>
      </c>
      <c r="F187" s="706">
        <f t="shared" ref="F187" si="106">B187/E187</f>
        <v>3</v>
      </c>
      <c r="G187" s="707">
        <f t="shared" ref="G187" si="107">C187/E187</f>
        <v>1</v>
      </c>
      <c r="H187" s="707">
        <f t="shared" ref="H187" si="108">D187/E187</f>
        <v>2</v>
      </c>
    </row>
    <row r="188" spans="1:8">
      <c r="A188" s="704" t="str">
        <f>'IA-SI  TANKER'!B21</f>
        <v>High Mariner</v>
      </c>
      <c r="B188" s="706">
        <f>SUM(U71:U74)</f>
        <v>0</v>
      </c>
      <c r="C188" s="706">
        <f>SUM(V71:V74)</f>
        <v>0</v>
      </c>
      <c r="D188" s="706">
        <f>SUM(W71:W74)</f>
        <v>0</v>
      </c>
      <c r="E188" s="706">
        <f>COUNTIF(S71:S74,"*")</f>
        <v>0</v>
      </c>
      <c r="F188" s="706" t="e">
        <f t="shared" ref="F188" si="109">B188/E188</f>
        <v>#DIV/0!</v>
      </c>
      <c r="G188" s="707" t="e">
        <f t="shared" ref="G188" si="110">C188/E188</f>
        <v>#DIV/0!</v>
      </c>
      <c r="H188" s="707" t="e">
        <f t="shared" ref="H188" si="111">D188/E188</f>
        <v>#DIV/0!</v>
      </c>
    </row>
    <row r="189" spans="1:8">
      <c r="A189" s="704" t="str">
        <f>'IA-SI  TANKER'!B22</f>
        <v>High Transporter</v>
      </c>
      <c r="B189" s="706">
        <f>SUM(U75:U78)</f>
        <v>7</v>
      </c>
      <c r="C189" s="706">
        <f>SUM(V75:V78)</f>
        <v>0</v>
      </c>
      <c r="D189" s="706">
        <f>SUM(W75:W78)</f>
        <v>7</v>
      </c>
      <c r="E189" s="706">
        <f>COUNTIF(S75:S78,"*")</f>
        <v>1</v>
      </c>
      <c r="F189" s="706">
        <f t="shared" ref="F189" si="112">B189/E189</f>
        <v>7</v>
      </c>
      <c r="G189" s="707">
        <f t="shared" ref="G189" si="113">C189/E189</f>
        <v>0</v>
      </c>
      <c r="H189" s="707">
        <f t="shared" ref="H189" si="114">D189/E189</f>
        <v>7</v>
      </c>
    </row>
    <row r="190" spans="1:8">
      <c r="A190" s="704" t="str">
        <f>'IA-SI  TANKER'!B$23</f>
        <v>Kalk Bay</v>
      </c>
      <c r="B190" s="706">
        <f>SUM(U79:U82)</f>
        <v>3</v>
      </c>
      <c r="C190" s="706">
        <f t="shared" ref="C190:D190" si="115">SUM(V79:V82)</f>
        <v>0</v>
      </c>
      <c r="D190" s="706">
        <f t="shared" si="115"/>
        <v>3</v>
      </c>
      <c r="E190" s="706">
        <f>COUNTIF(S79:S82,"*")</f>
        <v>1</v>
      </c>
      <c r="F190" s="706">
        <f t="shared" ref="F190:F194" si="116">B190/E190</f>
        <v>3</v>
      </c>
      <c r="G190" s="707">
        <f t="shared" ref="G190:G192" si="117">C190/E190</f>
        <v>0</v>
      </c>
      <c r="H190" s="707">
        <f t="shared" ref="H190:H192" si="118">D190/E190</f>
        <v>3</v>
      </c>
    </row>
    <row r="191" spans="1:8">
      <c r="A191" s="704" t="str">
        <f>'IA-SI  TANKER'!B$24</f>
        <v>Mossel Bay</v>
      </c>
      <c r="B191" s="706">
        <f>SUM(U83:U86)</f>
        <v>3</v>
      </c>
      <c r="C191" s="706">
        <f t="shared" ref="C191:D191" si="119">SUM(V83:V86)</f>
        <v>0</v>
      </c>
      <c r="D191" s="706">
        <f t="shared" si="119"/>
        <v>3</v>
      </c>
      <c r="E191" s="706">
        <f>COUNTIF(S83:S86,"*")</f>
        <v>1</v>
      </c>
      <c r="F191" s="706">
        <f t="shared" si="116"/>
        <v>3</v>
      </c>
      <c r="G191" s="707">
        <f t="shared" si="117"/>
        <v>0</v>
      </c>
      <c r="H191" s="707">
        <f t="shared" si="118"/>
        <v>3</v>
      </c>
    </row>
    <row r="192" spans="1:8">
      <c r="A192" s="704" t="str">
        <f>'IA-SI  TANKER'!B25</f>
        <v>Philotimos</v>
      </c>
      <c r="B192" s="706">
        <f>SUM(U87:U90)</f>
        <v>0</v>
      </c>
      <c r="C192" s="706">
        <f>SUM(V87:V90)</f>
        <v>0</v>
      </c>
      <c r="D192" s="706">
        <f>SUM(W87:W90)</f>
        <v>0</v>
      </c>
      <c r="E192" s="706">
        <f>COUNTIF(S87:S90,"*")</f>
        <v>0</v>
      </c>
      <c r="F192" s="706" t="e">
        <f t="shared" si="116"/>
        <v>#DIV/0!</v>
      </c>
      <c r="G192" s="707" t="e">
        <f t="shared" si="117"/>
        <v>#DIV/0!</v>
      </c>
      <c r="H192" s="707" t="e">
        <f t="shared" si="118"/>
        <v>#DIV/0!</v>
      </c>
    </row>
    <row r="193" spans="1:8">
      <c r="A193" s="704" t="str">
        <f>'IA-SI  TANKER'!B26</f>
        <v>Philoxenia</v>
      </c>
      <c r="B193" s="706">
        <f>SUM(U91:U94)</f>
        <v>1</v>
      </c>
      <c r="C193" s="706">
        <f t="shared" ref="C193:D193" si="120">SUM(V91:V94)</f>
        <v>0</v>
      </c>
      <c r="D193" s="706">
        <f t="shared" si="120"/>
        <v>1</v>
      </c>
      <c r="E193" s="706">
        <f>COUNTIF(S91:S94,"*")</f>
        <v>1</v>
      </c>
      <c r="F193" s="706">
        <f t="shared" si="116"/>
        <v>1</v>
      </c>
      <c r="G193" s="707">
        <f t="shared" si="102"/>
        <v>0</v>
      </c>
      <c r="H193" s="707">
        <f t="shared" si="100"/>
        <v>1</v>
      </c>
    </row>
    <row r="194" spans="1:8">
      <c r="A194" s="704" t="str">
        <f>'IA-SI  TANKER'!B27</f>
        <v>PNX Conqueror</v>
      </c>
      <c r="B194" s="706">
        <f>SUM(U95:U98)</f>
        <v>2</v>
      </c>
      <c r="C194" s="706">
        <f t="shared" ref="C194:D194" si="121">SUM(V95:V98)</f>
        <v>0</v>
      </c>
      <c r="D194" s="706">
        <f t="shared" si="121"/>
        <v>2</v>
      </c>
      <c r="E194" s="706">
        <f>COUNTIF(S95:S98,"*")</f>
        <v>1</v>
      </c>
      <c r="F194" s="706">
        <f t="shared" si="116"/>
        <v>2</v>
      </c>
      <c r="G194" s="707">
        <f t="shared" ref="G194" si="122">C194/E194</f>
        <v>0</v>
      </c>
      <c r="H194" s="707">
        <f t="shared" ref="H194" si="123">D194/E194</f>
        <v>2</v>
      </c>
    </row>
    <row r="195" spans="1:8">
      <c r="A195" s="704" t="str">
        <f>'IA-SI  TANKER'!B28</f>
        <v>PS Tokyo (Gone)</v>
      </c>
      <c r="B195" s="706">
        <f>SUM(U99:U102)</f>
        <v>1</v>
      </c>
      <c r="C195" s="706">
        <f t="shared" ref="C195:D195" si="124">SUM(V99:V102)</f>
        <v>0</v>
      </c>
      <c r="D195" s="706">
        <f t="shared" si="124"/>
        <v>1</v>
      </c>
      <c r="E195" s="706">
        <f>COUNTIF(S99:S102,"*")</f>
        <v>1</v>
      </c>
      <c r="F195" s="706">
        <f t="shared" si="101"/>
        <v>1</v>
      </c>
      <c r="G195" s="707">
        <f t="shared" si="102"/>
        <v>0</v>
      </c>
      <c r="H195" s="707">
        <f t="shared" si="100"/>
        <v>1</v>
      </c>
    </row>
    <row r="196" spans="1:8">
      <c r="A196" s="704" t="str">
        <f>'IA-SI  TANKER'!B29</f>
        <v>PS Vancouver</v>
      </c>
      <c r="B196" s="706">
        <f>SUM(U103:U106)</f>
        <v>2</v>
      </c>
      <c r="C196" s="706">
        <f t="shared" ref="C196:D196" si="125">SUM(V103:V106)</f>
        <v>0</v>
      </c>
      <c r="D196" s="706">
        <f t="shared" si="125"/>
        <v>2</v>
      </c>
      <c r="E196" s="706">
        <f>COUNTIF(S103:S106,"*")</f>
        <v>1</v>
      </c>
      <c r="F196" s="706">
        <f t="shared" ref="F196:F198" si="126">B196/E196</f>
        <v>2</v>
      </c>
      <c r="G196" s="707">
        <f t="shared" ref="G196:G198" si="127">C196/E196</f>
        <v>0</v>
      </c>
      <c r="H196" s="707">
        <f t="shared" ref="H196:H198" si="128">D196/E196</f>
        <v>2</v>
      </c>
    </row>
    <row r="197" spans="1:8">
      <c r="A197" s="704" t="str">
        <f>'IA-SI  TANKER'!B30</f>
        <v>Table Bay</v>
      </c>
      <c r="B197" s="706">
        <f>SUM(U107:U110)</f>
        <v>0</v>
      </c>
      <c r="C197" s="706">
        <f t="shared" ref="C197:D197" si="129">SUM(V107:V110)</f>
        <v>0</v>
      </c>
      <c r="D197" s="706">
        <f t="shared" si="129"/>
        <v>0</v>
      </c>
      <c r="E197" s="706">
        <f>COUNTIF(S107:S110,"*")</f>
        <v>0</v>
      </c>
      <c r="F197" s="706" t="e">
        <f t="shared" ref="F197" si="130">B197/E197</f>
        <v>#DIV/0!</v>
      </c>
      <c r="G197" s="707" t="e">
        <f t="shared" ref="G197" si="131">C197/E197</f>
        <v>#DIV/0!</v>
      </c>
      <c r="H197" s="707" t="e">
        <f t="shared" ref="H197" si="132">D197/E197</f>
        <v>#DIV/0!</v>
      </c>
    </row>
    <row r="198" spans="1:8">
      <c r="A198" s="704" t="str">
        <f>'IA-SI  TANKER'!B31</f>
        <v>Rui Fu Sheng</v>
      </c>
      <c r="B198" s="706">
        <f>SUM(U111:U114)</f>
        <v>0</v>
      </c>
      <c r="C198" s="706">
        <f t="shared" ref="C198:D198" si="133">SUM(V111:V114)</f>
        <v>0</v>
      </c>
      <c r="D198" s="706">
        <f t="shared" si="133"/>
        <v>0</v>
      </c>
      <c r="E198" s="706">
        <f>COUNTIF(S111:S114,"*")</f>
        <v>0</v>
      </c>
      <c r="F198" s="706" t="e">
        <f t="shared" si="126"/>
        <v>#DIV/0!</v>
      </c>
      <c r="G198" s="707" t="e">
        <f t="shared" si="127"/>
        <v>#DIV/0!</v>
      </c>
      <c r="H198" s="707" t="e">
        <f t="shared" si="128"/>
        <v>#DIV/0!</v>
      </c>
    </row>
    <row r="199" spans="1:8">
      <c r="A199" s="704" t="str">
        <f>'IA-SI  TANKER'!B32</f>
        <v>Vialli</v>
      </c>
      <c r="B199" s="706">
        <f>SUM(U115:U118)</f>
        <v>2</v>
      </c>
      <c r="C199" s="706">
        <f t="shared" ref="C199:D199" si="134">SUM(V115:V118)</f>
        <v>0</v>
      </c>
      <c r="D199" s="706">
        <f t="shared" si="134"/>
        <v>2</v>
      </c>
      <c r="E199" s="706">
        <f>COUNTIF(S115:S118,"*")</f>
        <v>1</v>
      </c>
      <c r="F199" s="706">
        <f t="shared" ref="F199" si="135">B199/E199</f>
        <v>2</v>
      </c>
      <c r="G199" s="707">
        <f t="shared" ref="G199" si="136">C199/E199</f>
        <v>0</v>
      </c>
      <c r="H199" s="707">
        <f t="shared" ref="H199" si="137">D199/E199</f>
        <v>2</v>
      </c>
    </row>
    <row r="200" spans="1:8">
      <c r="A200" s="704" t="str">
        <f>'IA-SI  TANKER'!B33</f>
        <v>Victoria Bay</v>
      </c>
      <c r="B200" s="706">
        <f>SUM(U119:U122)</f>
        <v>0</v>
      </c>
      <c r="C200" s="706">
        <f>SUM(V119:V122)</f>
        <v>0</v>
      </c>
      <c r="D200" s="706">
        <f>SUM(W119:W122)</f>
        <v>0</v>
      </c>
      <c r="E200" s="706">
        <f>COUNTIF(S119:S122,"*")</f>
        <v>0</v>
      </c>
      <c r="F200" s="706" t="e">
        <f t="shared" si="101"/>
        <v>#DIV/0!</v>
      </c>
      <c r="G200" s="707" t="e">
        <f t="shared" si="102"/>
        <v>#DIV/0!</v>
      </c>
      <c r="H200" s="707" t="e">
        <f t="shared" si="100"/>
        <v>#DIV/0!</v>
      </c>
    </row>
    <row r="201" spans="2:6">
      <c r="B201" s="504">
        <f>SUM(B171:B200)</f>
        <v>51</v>
      </c>
      <c r="D201" s="504">
        <f>SUM(D171:D200)</f>
        <v>50</v>
      </c>
      <c r="E201" s="504">
        <f>SUM(E171:E200)</f>
        <v>17</v>
      </c>
      <c r="F201" s="716">
        <f t="shared" si="101"/>
        <v>3</v>
      </c>
    </row>
    <row r="203" spans="1:8">
      <c r="A203" s="698" t="s">
        <v>215</v>
      </c>
      <c r="B203" s="698"/>
      <c r="C203" s="698"/>
      <c r="D203" s="698"/>
      <c r="E203" s="698"/>
      <c r="F203" s="698"/>
      <c r="G203" s="698"/>
      <c r="H203" s="698"/>
    </row>
    <row r="204" ht="30.75" spans="1:9">
      <c r="A204" s="717"/>
      <c r="B204" s="718" t="s">
        <v>168</v>
      </c>
      <c r="C204" s="719" t="s">
        <v>224</v>
      </c>
      <c r="D204" s="719" t="s">
        <v>225</v>
      </c>
      <c r="E204" s="720" t="s">
        <v>226</v>
      </c>
      <c r="F204" s="721" t="s">
        <v>227</v>
      </c>
      <c r="G204" s="719" t="s">
        <v>228</v>
      </c>
      <c r="H204" s="721" t="s">
        <v>229</v>
      </c>
      <c r="I204" s="503"/>
    </row>
    <row r="205" ht="15.75" spans="1:11">
      <c r="A205" s="704" t="str">
        <f>'IA-SI  TANKER'!B4</f>
        <v>Alpine Pembroke (Sold)</v>
      </c>
      <c r="B205" s="705">
        <f>SUM(Z3:Z6)</f>
        <v>0</v>
      </c>
      <c r="C205" s="705">
        <f>SUM(AA3:AA6)</f>
        <v>0</v>
      </c>
      <c r="D205" s="705">
        <f>SUM(AB3:AB6)</f>
        <v>0</v>
      </c>
      <c r="E205" s="706">
        <f>COUNTIF(X3:X6,"*")</f>
        <v>0</v>
      </c>
      <c r="F205" s="706" t="e">
        <f t="shared" ref="F205:F234" si="138">B205/E205</f>
        <v>#DIV/0!</v>
      </c>
      <c r="G205" s="707" t="e">
        <f t="shared" ref="G205:G234" si="139">C205/E205</f>
        <v>#DIV/0!</v>
      </c>
      <c r="H205" s="707" t="e">
        <f t="shared" ref="H205:H234" si="140">D205/E205</f>
        <v>#DIV/0!</v>
      </c>
      <c r="I205" s="715"/>
      <c r="J205" s="715"/>
      <c r="K205" s="715"/>
    </row>
    <row r="206" spans="1:8">
      <c r="A206" s="704" t="str">
        <f>'IA-SI  TANKER'!B5</f>
        <v>Alpine Pioneer (Sold)</v>
      </c>
      <c r="B206" s="706">
        <f>SUM(Z7:Z10)</f>
        <v>0</v>
      </c>
      <c r="C206" s="706">
        <f>SUM(AA7:AA10)</f>
        <v>0</v>
      </c>
      <c r="D206" s="706">
        <f>SUM(AB7:AB10)</f>
        <v>0</v>
      </c>
      <c r="E206" s="706">
        <f>COUNTIF(X7:X10,"*")</f>
        <v>0</v>
      </c>
      <c r="F206" s="706" t="e">
        <f t="shared" si="138"/>
        <v>#DIV/0!</v>
      </c>
      <c r="G206" s="707" t="e">
        <f t="shared" si="139"/>
        <v>#DIV/0!</v>
      </c>
      <c r="H206" s="707" t="e">
        <f t="shared" si="140"/>
        <v>#DIV/0!</v>
      </c>
    </row>
    <row r="207" spans="1:8">
      <c r="A207" s="704" t="str">
        <f>'IA-SI  TANKER'!B6</f>
        <v>Bagheera</v>
      </c>
      <c r="B207" s="706">
        <f>SUM(Z11:Z14)</f>
        <v>4</v>
      </c>
      <c r="C207" s="706">
        <f>SUM(AA11:AA14)</f>
        <v>0</v>
      </c>
      <c r="D207" s="706">
        <f>SUM(AB11:AB14)</f>
        <v>4</v>
      </c>
      <c r="E207" s="706">
        <f>COUNTIF(X11:X14,"*")</f>
        <v>1</v>
      </c>
      <c r="F207" s="706">
        <f t="shared" si="138"/>
        <v>4</v>
      </c>
      <c r="G207" s="707">
        <f t="shared" si="139"/>
        <v>0</v>
      </c>
      <c r="H207" s="707">
        <f t="shared" si="140"/>
        <v>4</v>
      </c>
    </row>
    <row r="208" spans="1:8">
      <c r="A208" s="704" t="str">
        <f>'IA-SI  TANKER'!B7</f>
        <v>Bantry Bay</v>
      </c>
      <c r="B208" s="706">
        <f>SUM(Z15:Z18)</f>
        <v>6</v>
      </c>
      <c r="C208" s="706">
        <f>SUM(AA15:AA18)</f>
        <v>0</v>
      </c>
      <c r="D208" s="706">
        <f>SUM(AB15:AB18)</f>
        <v>6</v>
      </c>
      <c r="E208" s="706">
        <f>COUNTIF(X15:X18,"*")</f>
        <v>1</v>
      </c>
      <c r="F208" s="706">
        <f t="shared" ref="F208" si="141">B208/E208</f>
        <v>6</v>
      </c>
      <c r="G208" s="707">
        <f t="shared" ref="G208" si="142">C208/E208</f>
        <v>0</v>
      </c>
      <c r="H208" s="707">
        <f t="shared" ref="H208" si="143">D208/E208</f>
        <v>6</v>
      </c>
    </row>
    <row r="209" spans="1:8">
      <c r="A209" s="704" t="str">
        <f>'IA-SI  TANKER'!B8</f>
        <v>Bright Future</v>
      </c>
      <c r="B209" s="706">
        <f>SUM(Z19:Z22)</f>
        <v>0</v>
      </c>
      <c r="C209" s="706">
        <f>SUM(AA19:AA22)</f>
        <v>0</v>
      </c>
      <c r="D209" s="706">
        <f>SUM(AB19:AB22)</f>
        <v>0</v>
      </c>
      <c r="E209" s="706">
        <f>COUNTIF(X19:X22,"*")</f>
        <v>0</v>
      </c>
      <c r="F209" s="706" t="e">
        <f t="shared" si="138"/>
        <v>#DIV/0!</v>
      </c>
      <c r="G209" s="707" t="e">
        <f t="shared" si="139"/>
        <v>#DIV/0!</v>
      </c>
      <c r="H209" s="707" t="e">
        <f t="shared" si="140"/>
        <v>#DIV/0!</v>
      </c>
    </row>
    <row r="210" spans="1:8">
      <c r="A210" s="704" t="str">
        <f>'IA-SI  TANKER'!B9</f>
        <v>Cielo di Houston</v>
      </c>
      <c r="B210" s="706">
        <f>SUM(Z23:Z26)</f>
        <v>2</v>
      </c>
      <c r="C210" s="706">
        <f>SUM(AA23:AA26)</f>
        <v>0</v>
      </c>
      <c r="D210" s="706">
        <f>SUM(AB23:AB26)</f>
        <v>2</v>
      </c>
      <c r="E210" s="706">
        <f>COUNTIF(X23:X26,"*")</f>
        <v>1</v>
      </c>
      <c r="F210" s="706">
        <f t="shared" ref="F210" si="144">B210/E210</f>
        <v>2</v>
      </c>
      <c r="G210" s="707">
        <f t="shared" ref="G210" si="145">C210/E210</f>
        <v>0</v>
      </c>
      <c r="H210" s="707">
        <f t="shared" ref="H210" si="146">D210/E210</f>
        <v>2</v>
      </c>
    </row>
    <row r="211" spans="1:8">
      <c r="A211" s="704" t="str">
        <f>'IA-SI  TANKER'!B10</f>
        <v>Cielo Rosso</v>
      </c>
      <c r="B211" s="706">
        <f>SUM(Z27:Z30)</f>
        <v>0</v>
      </c>
      <c r="C211" s="706">
        <f>SUM(AA27:AA30)</f>
        <v>0</v>
      </c>
      <c r="D211" s="706">
        <f>SUM(AB27:AB30)</f>
        <v>0</v>
      </c>
      <c r="E211" s="706">
        <f>COUNTIF(X27:X30,"*")</f>
        <v>1</v>
      </c>
      <c r="F211" s="706">
        <f t="shared" si="138"/>
        <v>0</v>
      </c>
      <c r="G211" s="707">
        <f t="shared" si="139"/>
        <v>0</v>
      </c>
      <c r="H211" s="707">
        <f t="shared" si="140"/>
        <v>0</v>
      </c>
    </row>
    <row r="212" spans="1:8">
      <c r="A212" s="704" t="str">
        <f>'IA-SI  TANKER'!B11</f>
        <v>Clearocean Maria</v>
      </c>
      <c r="B212" s="706">
        <f>SUM(Z31:Z34)</f>
        <v>0</v>
      </c>
      <c r="C212" s="706">
        <f>SUM(AA31:AA34)</f>
        <v>0</v>
      </c>
      <c r="D212" s="706">
        <f>SUM(AB31:AB34)</f>
        <v>0</v>
      </c>
      <c r="E212" s="706">
        <f>COUNTIF(X31:X34,"*")</f>
        <v>0</v>
      </c>
      <c r="F212" s="706" t="e">
        <f t="shared" si="138"/>
        <v>#DIV/0!</v>
      </c>
      <c r="G212" s="707" t="e">
        <f t="shared" si="139"/>
        <v>#DIV/0!</v>
      </c>
      <c r="H212" s="707" t="e">
        <f t="shared" si="140"/>
        <v>#DIV/0!</v>
      </c>
    </row>
    <row r="213" spans="1:8">
      <c r="A213" s="704" t="str">
        <f>'IA-SI  TANKER'!B12</f>
        <v>Clearocean Mary</v>
      </c>
      <c r="B213" s="706">
        <f>SUM(Z35:Z38)</f>
        <v>4</v>
      </c>
      <c r="C213" s="706">
        <f>SUM(AA35:AA38)</f>
        <v>0</v>
      </c>
      <c r="D213" s="706">
        <f>SUM(AB35:AB38)</f>
        <v>4</v>
      </c>
      <c r="E213" s="706">
        <f>COUNTIF(X35:X38,"*")</f>
        <v>1</v>
      </c>
      <c r="F213" s="706">
        <f t="shared" si="138"/>
        <v>4</v>
      </c>
      <c r="G213" s="707">
        <f t="shared" si="139"/>
        <v>0</v>
      </c>
      <c r="H213" s="707">
        <f t="shared" si="140"/>
        <v>4</v>
      </c>
    </row>
    <row r="214" spans="1:8">
      <c r="A214" s="704" t="str">
        <f>'IA-SI  TANKER'!B13</f>
        <v>Clearocean Mathilde</v>
      </c>
      <c r="B214" s="706">
        <f>SUM(Z39:Z42)</f>
        <v>2</v>
      </c>
      <c r="C214" s="706">
        <f>SUM(AA39:AA42)</f>
        <v>0</v>
      </c>
      <c r="D214" s="706">
        <f>SUM(AB39:AB42)</f>
        <v>2</v>
      </c>
      <c r="E214" s="706">
        <f>COUNTIF(X39:X42,"*")</f>
        <v>1</v>
      </c>
      <c r="F214" s="706">
        <f t="shared" si="138"/>
        <v>2</v>
      </c>
      <c r="G214" s="707">
        <f t="shared" si="139"/>
        <v>0</v>
      </c>
      <c r="H214" s="707">
        <f t="shared" si="140"/>
        <v>2</v>
      </c>
    </row>
    <row r="215" spans="1:8">
      <c r="A215" s="704" t="str">
        <f>'IA-SI  TANKER'!B14</f>
        <v>Clearocean Music</v>
      </c>
      <c r="B215" s="706">
        <f>SUM(Z43:Z46)</f>
        <v>4</v>
      </c>
      <c r="C215" s="706">
        <f>SUM(AA43:AA46)</f>
        <v>0</v>
      </c>
      <c r="D215" s="706">
        <f>SUM(AB43:AB46)</f>
        <v>4</v>
      </c>
      <c r="E215" s="706">
        <f>COUNTIF(X43:X46,"*")</f>
        <v>1</v>
      </c>
      <c r="F215" s="706">
        <f t="shared" si="138"/>
        <v>4</v>
      </c>
      <c r="G215" s="707">
        <f t="shared" si="139"/>
        <v>0</v>
      </c>
      <c r="H215" s="707">
        <f t="shared" si="140"/>
        <v>4</v>
      </c>
    </row>
    <row r="216" spans="1:8">
      <c r="A216" s="704" t="str">
        <f>'IA-SI  TANKER'!B15</f>
        <v>Rui Fu Xing (Glenda Melanie)</v>
      </c>
      <c r="B216" s="706">
        <f>SUM(Z47:Z50)</f>
        <v>1</v>
      </c>
      <c r="C216" s="706">
        <f>SUM(AA47:AA50)</f>
        <v>0</v>
      </c>
      <c r="D216" s="706">
        <f>SUM(AB47:AB50)</f>
        <v>1</v>
      </c>
      <c r="E216" s="706">
        <f>COUNTIF(X47:X50,"*")</f>
        <v>1</v>
      </c>
      <c r="F216" s="706">
        <f t="shared" si="138"/>
        <v>1</v>
      </c>
      <c r="G216" s="707">
        <f t="shared" si="139"/>
        <v>0</v>
      </c>
      <c r="H216" s="707">
        <f t="shared" si="140"/>
        <v>1</v>
      </c>
    </row>
    <row r="217" spans="1:8">
      <c r="A217" s="704" t="str">
        <f>'IA-SI  TANKER'!B16</f>
        <v>Glenda Melissa</v>
      </c>
      <c r="B217" s="706">
        <f>SUM(Z51:Z54)</f>
        <v>0</v>
      </c>
      <c r="C217" s="706">
        <f>SUM(AA51:AA54)</f>
        <v>0</v>
      </c>
      <c r="D217" s="706">
        <f>SUM(AB51:AB54)</f>
        <v>0</v>
      </c>
      <c r="E217" s="706">
        <f>COUNTIF(X51:X54,"*")</f>
        <v>0</v>
      </c>
      <c r="F217" s="706" t="e">
        <f t="shared" si="138"/>
        <v>#DIV/0!</v>
      </c>
      <c r="G217" s="707" t="e">
        <f t="shared" si="139"/>
        <v>#DIV/0!</v>
      </c>
      <c r="H217" s="707" t="e">
        <f t="shared" si="140"/>
        <v>#DIV/0!</v>
      </c>
    </row>
    <row r="218" spans="1:8">
      <c r="A218" s="704" t="str">
        <f>'IA-SI  TANKER'!B17</f>
        <v>Glenda Melody</v>
      </c>
      <c r="B218" s="706">
        <f>SUM(Z55:Z58)</f>
        <v>6</v>
      </c>
      <c r="C218" s="706">
        <f>SUM(AA55:AA58)</f>
        <v>0</v>
      </c>
      <c r="D218" s="706">
        <f>SUM(AB55:AB58)</f>
        <v>6</v>
      </c>
      <c r="E218" s="706">
        <f>COUNTIF(X55:X58,"*")</f>
        <v>1</v>
      </c>
      <c r="F218" s="706">
        <f t="shared" si="138"/>
        <v>6</v>
      </c>
      <c r="G218" s="707">
        <f t="shared" si="139"/>
        <v>0</v>
      </c>
      <c r="H218" s="707">
        <f t="shared" si="140"/>
        <v>6</v>
      </c>
    </row>
    <row r="219" spans="1:8">
      <c r="A219" s="704" t="str">
        <f>'IA-SI  TANKER'!B18</f>
        <v>Glenda Meryl</v>
      </c>
      <c r="B219" s="706">
        <f>SUM(Z59:Z62)</f>
        <v>7</v>
      </c>
      <c r="C219" s="706">
        <f>SUM(AA59:AA62)</f>
        <v>0</v>
      </c>
      <c r="D219" s="706">
        <f>SUM(AB59:AB62)</f>
        <v>7</v>
      </c>
      <c r="E219" s="706">
        <f>COUNTIF(X59:X62,"*")</f>
        <v>2</v>
      </c>
      <c r="F219" s="706">
        <f t="shared" si="138"/>
        <v>3.5</v>
      </c>
      <c r="G219" s="707">
        <f t="shared" si="139"/>
        <v>0</v>
      </c>
      <c r="H219" s="707">
        <f t="shared" si="140"/>
        <v>3.5</v>
      </c>
    </row>
    <row r="220" spans="1:8">
      <c r="A220" s="704" t="str">
        <f>'IA-SI  TANKER'!B19</f>
        <v>Herolds Bay</v>
      </c>
      <c r="B220" s="706">
        <f>SUM(Z63:Z66)</f>
        <v>4</v>
      </c>
      <c r="C220" s="706">
        <f>SUM(AA63:AA66)</f>
        <v>0</v>
      </c>
      <c r="D220" s="706">
        <f>SUM(AB63:AB66)</f>
        <v>4</v>
      </c>
      <c r="E220" s="706">
        <f>COUNTIF(X63:X66,"*")</f>
        <v>1</v>
      </c>
      <c r="F220" s="706">
        <f t="shared" ref="F220" si="147">B220/E220</f>
        <v>4</v>
      </c>
      <c r="G220" s="707">
        <f t="shared" ref="G220" si="148">C220/E220</f>
        <v>0</v>
      </c>
      <c r="H220" s="707">
        <f t="shared" ref="H220" si="149">D220/E220</f>
        <v>4</v>
      </c>
    </row>
    <row r="221" spans="1:8">
      <c r="A221" s="704" t="str">
        <f>'IA-SI  TANKER'!B20</f>
        <v>High Explorer</v>
      </c>
      <c r="B221" s="706">
        <f>SUM(Z67:Z70)</f>
        <v>2</v>
      </c>
      <c r="C221" s="706">
        <f>SUM(AA67:AA70)</f>
        <v>0</v>
      </c>
      <c r="D221" s="706">
        <f>SUM(AB67:AB70)</f>
        <v>2</v>
      </c>
      <c r="E221" s="706">
        <f>COUNTIF(X67:X70,"*")</f>
        <v>1</v>
      </c>
      <c r="F221" s="706">
        <f t="shared" ref="F221" si="150">B221/E221</f>
        <v>2</v>
      </c>
      <c r="G221" s="707">
        <f t="shared" ref="G221" si="151">C221/E221</f>
        <v>0</v>
      </c>
      <c r="H221" s="707">
        <f t="shared" ref="H221" si="152">D221/E221</f>
        <v>2</v>
      </c>
    </row>
    <row r="222" spans="1:8">
      <c r="A222" s="704" t="str">
        <f>'IA-SI  TANKER'!B21</f>
        <v>High Mariner</v>
      </c>
      <c r="B222" s="706">
        <f>SUM(Z71:Z74)</f>
        <v>0</v>
      </c>
      <c r="C222" s="706">
        <f>SUM(AA71:AA74)</f>
        <v>0</v>
      </c>
      <c r="D222" s="706">
        <f>SUM(AB71:AB74)</f>
        <v>0</v>
      </c>
      <c r="E222" s="706">
        <f>COUNTIF(X71:X74,"*")</f>
        <v>0</v>
      </c>
      <c r="F222" s="706" t="e">
        <f t="shared" ref="F222" si="153">B222/E222</f>
        <v>#DIV/0!</v>
      </c>
      <c r="G222" s="707" t="e">
        <f t="shared" ref="G222" si="154">C222/E222</f>
        <v>#DIV/0!</v>
      </c>
      <c r="H222" s="707" t="e">
        <f t="shared" ref="H222" si="155">D222/E222</f>
        <v>#DIV/0!</v>
      </c>
    </row>
    <row r="223" spans="1:8">
      <c r="A223" s="704" t="str">
        <f>'IA-SI  TANKER'!B22</f>
        <v>High Transporter</v>
      </c>
      <c r="B223" s="706">
        <f>SUM(Z75:Z78)</f>
        <v>6</v>
      </c>
      <c r="C223" s="706">
        <f>SUM(AA75:AA78)</f>
        <v>0</v>
      </c>
      <c r="D223" s="706">
        <f>SUM(AB75:AB78)</f>
        <v>6</v>
      </c>
      <c r="E223" s="706">
        <f>COUNTIF(X75:X78,"*")</f>
        <v>1</v>
      </c>
      <c r="F223" s="706">
        <f t="shared" ref="F223" si="156">B223/E223</f>
        <v>6</v>
      </c>
      <c r="G223" s="707">
        <f t="shared" ref="G223" si="157">C223/E223</f>
        <v>0</v>
      </c>
      <c r="H223" s="707">
        <f t="shared" ref="H223" si="158">D223/E223</f>
        <v>6</v>
      </c>
    </row>
    <row r="224" spans="1:8">
      <c r="A224" s="704" t="str">
        <f>'IA-SI  TANKER'!B$23</f>
        <v>Kalk Bay</v>
      </c>
      <c r="B224" s="706">
        <f>SUM(Z79:Z82)</f>
        <v>4</v>
      </c>
      <c r="C224" s="706">
        <f t="shared" ref="C224:D224" si="159">SUM(AA79:AA82)</f>
        <v>0</v>
      </c>
      <c r="D224" s="706">
        <f t="shared" si="159"/>
        <v>4</v>
      </c>
      <c r="E224" s="706">
        <f>COUNTIF(X79:X82,"*")</f>
        <v>1</v>
      </c>
      <c r="F224" s="706">
        <f t="shared" ref="F224:F225" si="160">B224/E224</f>
        <v>4</v>
      </c>
      <c r="G224" s="707">
        <f t="shared" ref="G224:G225" si="161">C224/E224</f>
        <v>0</v>
      </c>
      <c r="H224" s="707">
        <f t="shared" ref="H224:H225" si="162">D224/E224</f>
        <v>4</v>
      </c>
    </row>
    <row r="225" spans="1:8">
      <c r="A225" s="704" t="str">
        <f>'IA-SI  TANKER'!B$24</f>
        <v>Mossel Bay</v>
      </c>
      <c r="B225" s="706">
        <f>SUM(Z83:Z86)</f>
        <v>2</v>
      </c>
      <c r="C225" s="706">
        <f t="shared" ref="C225:D225" si="163">SUM(AA83:AA86)</f>
        <v>0</v>
      </c>
      <c r="D225" s="706">
        <f t="shared" si="163"/>
        <v>2</v>
      </c>
      <c r="E225" s="706">
        <f>COUNTIF(X83:X86,"*")</f>
        <v>1</v>
      </c>
      <c r="F225" s="706">
        <f t="shared" si="160"/>
        <v>2</v>
      </c>
      <c r="G225" s="707">
        <f t="shared" si="161"/>
        <v>0</v>
      </c>
      <c r="H225" s="707">
        <f t="shared" si="162"/>
        <v>2</v>
      </c>
    </row>
    <row r="226" spans="1:8">
      <c r="A226" s="704" t="str">
        <f>'IA-SI  TANKER'!B25</f>
        <v>Philotimos</v>
      </c>
      <c r="B226" s="706">
        <f>SUM(Z87:Z90)</f>
        <v>0</v>
      </c>
      <c r="C226" s="706">
        <f>SUM(AA87:AA90)</f>
        <v>0</v>
      </c>
      <c r="D226" s="706">
        <f>SUM(AB87:AB90)</f>
        <v>0</v>
      </c>
      <c r="E226" s="706">
        <f>COUNTIF(X87:X90,"*")</f>
        <v>0</v>
      </c>
      <c r="F226" s="706" t="e">
        <f t="shared" ref="F226" si="164">B226/E226</f>
        <v>#DIV/0!</v>
      </c>
      <c r="G226" s="707" t="e">
        <f t="shared" ref="G226" si="165">C226/E226</f>
        <v>#DIV/0!</v>
      </c>
      <c r="H226" s="707" t="e">
        <f t="shared" ref="H226" si="166">D226/E226</f>
        <v>#DIV/0!</v>
      </c>
    </row>
    <row r="227" spans="1:8">
      <c r="A227" s="704" t="str">
        <f>'IA-SI  TANKER'!B26</f>
        <v>Philoxenia</v>
      </c>
      <c r="B227" s="706">
        <f>SUM(Z91:Z94)</f>
        <v>1</v>
      </c>
      <c r="C227" s="706">
        <f t="shared" ref="C227:D227" si="167">SUM(AA91:AA94)</f>
        <v>0</v>
      </c>
      <c r="D227" s="706">
        <f t="shared" si="167"/>
        <v>1</v>
      </c>
      <c r="E227" s="706">
        <f>COUNTIF(X91:X94,"*")</f>
        <v>1</v>
      </c>
      <c r="F227" s="706">
        <f t="shared" si="138"/>
        <v>1</v>
      </c>
      <c r="G227" s="707">
        <f t="shared" si="139"/>
        <v>0</v>
      </c>
      <c r="H227" s="707">
        <f t="shared" si="140"/>
        <v>1</v>
      </c>
    </row>
    <row r="228" spans="1:8">
      <c r="A228" s="704" t="str">
        <f>'IA-SI  TANKER'!B27</f>
        <v>PNX Conqueror</v>
      </c>
      <c r="B228" s="706">
        <f>SUM(Z95:Z98)</f>
        <v>2</v>
      </c>
      <c r="C228" s="706">
        <f t="shared" ref="C228:D228" si="168">SUM(AA95:AA98)</f>
        <v>0</v>
      </c>
      <c r="D228" s="706">
        <f t="shared" si="168"/>
        <v>2</v>
      </c>
      <c r="E228" s="706">
        <f>COUNTIF(X95:X98,"*")</f>
        <v>1</v>
      </c>
      <c r="F228" s="706">
        <f t="shared" ref="F228" si="169">B228/E228</f>
        <v>2</v>
      </c>
      <c r="G228" s="707">
        <f t="shared" ref="G228" si="170">C228/E228</f>
        <v>0</v>
      </c>
      <c r="H228" s="707">
        <f t="shared" ref="H228" si="171">D228/E228</f>
        <v>2</v>
      </c>
    </row>
    <row r="229" spans="1:8">
      <c r="A229" s="704" t="str">
        <f>'IA-SI  TANKER'!B28</f>
        <v>PS Tokyo (Gone)</v>
      </c>
      <c r="B229" s="706">
        <f>SUM(Z99:Z102)</f>
        <v>2</v>
      </c>
      <c r="C229" s="706">
        <f t="shared" ref="C229:D229" si="172">SUM(AA99:AA102)</f>
        <v>0</v>
      </c>
      <c r="D229" s="706">
        <f t="shared" si="172"/>
        <v>2</v>
      </c>
      <c r="E229" s="706">
        <f>COUNTIF(X99:X102,"*")</f>
        <v>1</v>
      </c>
      <c r="F229" s="706">
        <f t="shared" si="138"/>
        <v>2</v>
      </c>
      <c r="G229" s="707">
        <f t="shared" si="139"/>
        <v>0</v>
      </c>
      <c r="H229" s="707">
        <f t="shared" si="140"/>
        <v>2</v>
      </c>
    </row>
    <row r="230" spans="1:8">
      <c r="A230" s="704" t="str">
        <f>'IA-SI  TANKER'!B29</f>
        <v>PS Vancouver</v>
      </c>
      <c r="B230" s="706">
        <f>SUM(Z103:Z106)</f>
        <v>4</v>
      </c>
      <c r="C230" s="706">
        <f t="shared" ref="C230:D230" si="173">SUM(AA103:AA106)</f>
        <v>0</v>
      </c>
      <c r="D230" s="706">
        <f t="shared" si="173"/>
        <v>4</v>
      </c>
      <c r="E230" s="706">
        <f>COUNTIF(X103:X106,"*")</f>
        <v>1</v>
      </c>
      <c r="F230" s="706">
        <f t="shared" ref="F230" si="174">B230/E230</f>
        <v>4</v>
      </c>
      <c r="G230" s="707">
        <f t="shared" ref="G230" si="175">C230/E230</f>
        <v>0</v>
      </c>
      <c r="H230" s="707">
        <f t="shared" ref="H230" si="176">D230/E230</f>
        <v>4</v>
      </c>
    </row>
    <row r="231" spans="1:8">
      <c r="A231" s="704" t="str">
        <f>'IA-SI  TANKER'!B30</f>
        <v>Table Bay</v>
      </c>
      <c r="B231" s="706">
        <f>SUM(Z107:Z110)</f>
        <v>0</v>
      </c>
      <c r="C231" s="706">
        <f t="shared" ref="C231:D231" si="177">SUM(AA107:AA110)</f>
        <v>0</v>
      </c>
      <c r="D231" s="706">
        <f t="shared" si="177"/>
        <v>0</v>
      </c>
      <c r="E231" s="706">
        <f>COUNTIF(X107:X110,"*")</f>
        <v>0</v>
      </c>
      <c r="F231" s="706" t="e">
        <f t="shared" ref="F231:F233" si="178">B231/E231</f>
        <v>#DIV/0!</v>
      </c>
      <c r="G231" s="707" t="e">
        <f t="shared" ref="G231" si="179">C231/E231</f>
        <v>#DIV/0!</v>
      </c>
      <c r="H231" s="707" t="e">
        <f t="shared" ref="H231" si="180">D231/E231</f>
        <v>#DIV/0!</v>
      </c>
    </row>
    <row r="232" spans="1:8">
      <c r="A232" s="704" t="str">
        <f>'IA-SI  TANKER'!B31</f>
        <v>Rui Fu Sheng</v>
      </c>
      <c r="B232" s="706">
        <f>SUM(Z111:Z114)</f>
        <v>0</v>
      </c>
      <c r="C232" s="706">
        <f t="shared" ref="C232:D232" si="181">SUM(AA111:AA114)</f>
        <v>0</v>
      </c>
      <c r="D232" s="706">
        <f t="shared" si="181"/>
        <v>0</v>
      </c>
      <c r="E232" s="706">
        <f>COUNTIF(X111:X114,"*")</f>
        <v>0</v>
      </c>
      <c r="F232" s="706" t="e">
        <f t="shared" si="178"/>
        <v>#DIV/0!</v>
      </c>
      <c r="G232" s="707" t="e">
        <f t="shared" ref="G232" si="182">C232/E232</f>
        <v>#DIV/0!</v>
      </c>
      <c r="H232" s="707" t="e">
        <f t="shared" ref="H232" si="183">D232/E232</f>
        <v>#DIV/0!</v>
      </c>
    </row>
    <row r="233" spans="1:8">
      <c r="A233" s="704" t="str">
        <f>'IA-SI  TANKER'!B32</f>
        <v>Vialli</v>
      </c>
      <c r="B233" s="706">
        <f>SUM(Z115:Z118)</f>
        <v>2</v>
      </c>
      <c r="C233" s="706">
        <f t="shared" ref="C233" si="184">SUM(AA112:AA115)</f>
        <v>0</v>
      </c>
      <c r="D233" s="706">
        <f t="shared" ref="D233" si="185">SUM(AB112:AB115)</f>
        <v>2</v>
      </c>
      <c r="E233" s="706">
        <f>COUNTIF(X115:X118,"*")</f>
        <v>1</v>
      </c>
      <c r="F233" s="706">
        <f t="shared" si="178"/>
        <v>2</v>
      </c>
      <c r="G233" s="707">
        <f t="shared" ref="G233" si="186">C233/E233</f>
        <v>0</v>
      </c>
      <c r="H233" s="707">
        <f t="shared" ref="H233" si="187">D233/E233</f>
        <v>2</v>
      </c>
    </row>
    <row r="234" spans="1:8">
      <c r="A234" s="704" t="str">
        <f>'IA-SI  TANKER'!B33</f>
        <v>Victoria Bay</v>
      </c>
      <c r="B234" s="706">
        <f>SUM(Z119:Z122)</f>
        <v>0</v>
      </c>
      <c r="C234" s="706">
        <f>SUM(AA119:AA122)</f>
        <v>0</v>
      </c>
      <c r="D234" s="706">
        <f>SUM(AB119:AB122)</f>
        <v>0</v>
      </c>
      <c r="E234" s="706">
        <f>COUNTIF(X119:X122,"*")</f>
        <v>0</v>
      </c>
      <c r="F234" s="706" t="e">
        <f t="shared" si="138"/>
        <v>#DIV/0!</v>
      </c>
      <c r="G234" s="707" t="e">
        <f t="shared" si="139"/>
        <v>#DIV/0!</v>
      </c>
      <c r="H234" s="707" t="e">
        <f t="shared" si="140"/>
        <v>#DIV/0!</v>
      </c>
    </row>
    <row r="237" spans="1:8">
      <c r="A237" s="698" t="s">
        <v>212</v>
      </c>
      <c r="B237" s="698"/>
      <c r="C237" s="698"/>
      <c r="D237" s="698"/>
      <c r="E237" s="698"/>
      <c r="F237" s="698"/>
      <c r="G237" s="698"/>
      <c r="H237" s="698"/>
    </row>
    <row r="238" ht="30.75" spans="1:8">
      <c r="A238" s="717"/>
      <c r="B238" s="718" t="s">
        <v>168</v>
      </c>
      <c r="C238" s="719" t="s">
        <v>224</v>
      </c>
      <c r="D238" s="719" t="s">
        <v>225</v>
      </c>
      <c r="E238" s="720" t="s">
        <v>226</v>
      </c>
      <c r="F238" s="721" t="s">
        <v>227</v>
      </c>
      <c r="G238" s="719" t="s">
        <v>228</v>
      </c>
      <c r="H238" s="721" t="s">
        <v>229</v>
      </c>
    </row>
    <row r="239" ht="15.75" spans="1:8">
      <c r="A239" s="722" t="str">
        <f>'IA-SI  TANKER'!B4</f>
        <v>Alpine Pembroke (Sold)</v>
      </c>
      <c r="B239" s="705">
        <f>SUM(F3:F6)</f>
        <v>0</v>
      </c>
      <c r="C239" s="705">
        <f>SUM(G3:G6)</f>
        <v>0</v>
      </c>
      <c r="D239" s="705">
        <f>SUM(H3:H6)</f>
        <v>0</v>
      </c>
      <c r="E239" s="706">
        <f>COUNTIF(D3:D6,"*")</f>
        <v>0</v>
      </c>
      <c r="F239" s="706" t="e">
        <f t="shared" ref="F239:F268" si="188">B239/E239</f>
        <v>#DIV/0!</v>
      </c>
      <c r="G239" s="707" t="e">
        <f t="shared" ref="G239:G268" si="189">C239/E239</f>
        <v>#DIV/0!</v>
      </c>
      <c r="H239" s="707" t="e">
        <f t="shared" ref="H239:H268" si="190">D239/E239</f>
        <v>#DIV/0!</v>
      </c>
    </row>
    <row r="240" spans="1:8">
      <c r="A240" s="722" t="str">
        <f>'IA-SI  TANKER'!B5</f>
        <v>Alpine Pioneer (Sold)</v>
      </c>
      <c r="B240" s="706">
        <f>SUM(F7:F10)</f>
        <v>0</v>
      </c>
      <c r="C240" s="706">
        <f>SUM(G7:G10)</f>
        <v>0</v>
      </c>
      <c r="D240" s="706">
        <f>SUM(H7:H10)</f>
        <v>0</v>
      </c>
      <c r="E240" s="706">
        <f>COUNTIF(D7:D10,"*")</f>
        <v>0</v>
      </c>
      <c r="F240" s="706" t="e">
        <f t="shared" si="188"/>
        <v>#DIV/0!</v>
      </c>
      <c r="G240" s="707" t="e">
        <f t="shared" si="189"/>
        <v>#DIV/0!</v>
      </c>
      <c r="H240" s="707" t="e">
        <f t="shared" si="190"/>
        <v>#DIV/0!</v>
      </c>
    </row>
    <row r="241" spans="1:8">
      <c r="A241" s="722" t="str">
        <f>'IA-SI  TANKER'!B6</f>
        <v>Bagheera</v>
      </c>
      <c r="B241" s="706">
        <f>SUM(F11:F14)</f>
        <v>5</v>
      </c>
      <c r="C241" s="706">
        <f>SUM(G11:G14)</f>
        <v>0</v>
      </c>
      <c r="D241" s="706">
        <f>SUM(H11:H14)</f>
        <v>5</v>
      </c>
      <c r="E241" s="706">
        <f>COUNTIF(D11:D14,"*")</f>
        <v>1</v>
      </c>
      <c r="F241" s="706">
        <f t="shared" si="188"/>
        <v>5</v>
      </c>
      <c r="G241" s="707">
        <f t="shared" ref="G241" si="191">C241/E241</f>
        <v>0</v>
      </c>
      <c r="H241" s="707">
        <f t="shared" ref="H241" si="192">D241/E241</f>
        <v>5</v>
      </c>
    </row>
    <row r="242" spans="1:8">
      <c r="A242" s="722" t="str">
        <f>'IA-SI  TANKER'!B7</f>
        <v>Bantry Bay</v>
      </c>
      <c r="B242" s="706">
        <f>SUM(F15:F18)</f>
        <v>6</v>
      </c>
      <c r="C242" s="706">
        <f>SUM(G15:G18)</f>
        <v>0</v>
      </c>
      <c r="D242" s="706">
        <f>SUM(H15:H18)</f>
        <v>6</v>
      </c>
      <c r="E242" s="706">
        <f>COUNTIF(D15:D18,"*")</f>
        <v>1</v>
      </c>
      <c r="F242" s="706">
        <f t="shared" si="188"/>
        <v>6</v>
      </c>
      <c r="G242" s="707">
        <f t="shared" si="189"/>
        <v>0</v>
      </c>
      <c r="H242" s="707">
        <f t="shared" si="190"/>
        <v>6</v>
      </c>
    </row>
    <row r="243" spans="1:8">
      <c r="A243" s="722" t="str">
        <f>'IA-SI  TANKER'!B8</f>
        <v>Bright Future</v>
      </c>
      <c r="B243" s="706">
        <f>SUM(F19:F22)</f>
        <v>5</v>
      </c>
      <c r="C243" s="706">
        <f>SUM(G19:G22)</f>
        <v>1</v>
      </c>
      <c r="D243" s="706">
        <f>SUM(H19:H22)</f>
        <v>4</v>
      </c>
      <c r="E243" s="706">
        <f>COUNTIF(D19:D22,"*")</f>
        <v>0</v>
      </c>
      <c r="F243" s="706" t="e">
        <f t="shared" si="188"/>
        <v>#DIV/0!</v>
      </c>
      <c r="G243" s="707" t="e">
        <f t="shared" si="189"/>
        <v>#DIV/0!</v>
      </c>
      <c r="H243" s="707" t="e">
        <f t="shared" si="190"/>
        <v>#DIV/0!</v>
      </c>
    </row>
    <row r="244" spans="1:8">
      <c r="A244" s="722" t="str">
        <f>'IA-SI  TANKER'!B9</f>
        <v>Cielo di Houston</v>
      </c>
      <c r="B244" s="706">
        <f>SUM(F23:F26)</f>
        <v>6</v>
      </c>
      <c r="C244" s="706">
        <f>SUM(G23:G26)</f>
        <v>0</v>
      </c>
      <c r="D244" s="706">
        <f>SUM(H23:H26)</f>
        <v>6</v>
      </c>
      <c r="E244" s="706">
        <f>COUNTIF(D23:D26,"*")</f>
        <v>1</v>
      </c>
      <c r="F244" s="706">
        <f t="shared" ref="F244" si="193">B244/E244</f>
        <v>6</v>
      </c>
      <c r="G244" s="707">
        <f t="shared" ref="G244" si="194">C244/E244</f>
        <v>0</v>
      </c>
      <c r="H244" s="707">
        <f t="shared" ref="H244" si="195">D244/E244</f>
        <v>6</v>
      </c>
    </row>
    <row r="245" spans="1:8">
      <c r="A245" s="722" t="str">
        <f>'IA-SI  TANKER'!B10</f>
        <v>Cielo Rosso</v>
      </c>
      <c r="B245" s="706">
        <f>SUM(F27:F30)</f>
        <v>5</v>
      </c>
      <c r="C245" s="706">
        <f>SUM(G27:G30)</f>
        <v>0</v>
      </c>
      <c r="D245" s="706">
        <f>SUM(H27:H30)</f>
        <v>5</v>
      </c>
      <c r="E245" s="706">
        <f>COUNTIF(D27:D30,"*")</f>
        <v>2</v>
      </c>
      <c r="F245" s="706">
        <f t="shared" si="188"/>
        <v>2.5</v>
      </c>
      <c r="G245" s="707">
        <f t="shared" si="189"/>
        <v>0</v>
      </c>
      <c r="H245" s="707">
        <f t="shared" si="190"/>
        <v>2.5</v>
      </c>
    </row>
    <row r="246" spans="1:8">
      <c r="A246" s="722" t="str">
        <f>'IA-SI  TANKER'!B11</f>
        <v>Clearocean Maria</v>
      </c>
      <c r="B246" s="706">
        <f>SUM(F31:F34)</f>
        <v>6</v>
      </c>
      <c r="C246" s="706">
        <f>SUM(G31:G34)</f>
        <v>0</v>
      </c>
      <c r="D246" s="706">
        <f>SUM(H31:H34)</f>
        <v>6</v>
      </c>
      <c r="E246" s="706">
        <f>COUNTIF(D31:D34,"*")</f>
        <v>1</v>
      </c>
      <c r="F246" s="706">
        <f t="shared" si="188"/>
        <v>6</v>
      </c>
      <c r="G246" s="707">
        <f t="shared" si="189"/>
        <v>0</v>
      </c>
      <c r="H246" s="707">
        <f t="shared" si="190"/>
        <v>6</v>
      </c>
    </row>
    <row r="247" spans="1:8">
      <c r="A247" s="722" t="str">
        <f>'IA-SI  TANKER'!B12</f>
        <v>Clearocean Mary</v>
      </c>
      <c r="B247" s="706">
        <f>SUM(F35:F38)</f>
        <v>4</v>
      </c>
      <c r="C247" s="706">
        <f>SUM(G35:G38)</f>
        <v>0</v>
      </c>
      <c r="D247" s="706">
        <f>SUM(H35:H38)</f>
        <v>4</v>
      </c>
      <c r="E247" s="706">
        <f>COUNTIF(D35:D38,"*")</f>
        <v>1</v>
      </c>
      <c r="F247" s="706">
        <f t="shared" si="188"/>
        <v>4</v>
      </c>
      <c r="G247" s="707">
        <f t="shared" si="189"/>
        <v>0</v>
      </c>
      <c r="H247" s="707">
        <f t="shared" si="190"/>
        <v>4</v>
      </c>
    </row>
    <row r="248" spans="1:8">
      <c r="A248" s="722" t="str">
        <f>'IA-SI  TANKER'!B13</f>
        <v>Clearocean Mathilde</v>
      </c>
      <c r="B248" s="706">
        <f>SUM(F39:F42)</f>
        <v>3</v>
      </c>
      <c r="C248" s="706">
        <f>SUM(G39:G42)</f>
        <v>0</v>
      </c>
      <c r="D248" s="706">
        <f>SUM(H39:H42)</f>
        <v>3</v>
      </c>
      <c r="E248" s="706">
        <f>COUNTIF(D39:D42,"*")</f>
        <v>1</v>
      </c>
      <c r="F248" s="706">
        <f t="shared" si="188"/>
        <v>3</v>
      </c>
      <c r="G248" s="707">
        <f t="shared" si="189"/>
        <v>0</v>
      </c>
      <c r="H248" s="707">
        <f t="shared" si="190"/>
        <v>3</v>
      </c>
    </row>
    <row r="249" spans="1:8">
      <c r="A249" s="722" t="str">
        <f>'IA-SI  TANKER'!B14</f>
        <v>Clearocean Music</v>
      </c>
      <c r="B249" s="706">
        <f>SUM(F43:F46)</f>
        <v>3</v>
      </c>
      <c r="C249" s="706">
        <f>SUM(G43:G46)</f>
        <v>1</v>
      </c>
      <c r="D249" s="706">
        <f>SUM(H43:H46)</f>
        <v>2</v>
      </c>
      <c r="E249" s="706">
        <f>COUNTIF(D43:D46,"*")</f>
        <v>1</v>
      </c>
      <c r="F249" s="706">
        <f t="shared" si="188"/>
        <v>3</v>
      </c>
      <c r="G249" s="707">
        <f t="shared" si="189"/>
        <v>1</v>
      </c>
      <c r="H249" s="707">
        <f t="shared" si="190"/>
        <v>2</v>
      </c>
    </row>
    <row r="250" spans="1:8">
      <c r="A250" s="722" t="str">
        <f>'IA-SI  TANKER'!B15</f>
        <v>Rui Fu Xing (Glenda Melanie)</v>
      </c>
      <c r="B250" s="706">
        <f>SUM(F47:F50)</f>
        <v>4</v>
      </c>
      <c r="C250" s="706">
        <f>SUM(G47:G50)</f>
        <v>1</v>
      </c>
      <c r="D250" s="706">
        <f>SUM(H47:H50)</f>
        <v>3</v>
      </c>
      <c r="E250" s="706">
        <f>COUNTIF(D47:D50,"*")</f>
        <v>1</v>
      </c>
      <c r="F250" s="706">
        <f t="shared" si="188"/>
        <v>4</v>
      </c>
      <c r="G250" s="707">
        <f t="shared" si="189"/>
        <v>1</v>
      </c>
      <c r="H250" s="707">
        <f t="shared" si="190"/>
        <v>3</v>
      </c>
    </row>
    <row r="251" spans="1:8">
      <c r="A251" s="722" t="str">
        <f>'IA-SI  TANKER'!B16</f>
        <v>Glenda Melissa</v>
      </c>
      <c r="B251" s="706">
        <f>SUM(F51:F54)</f>
        <v>4</v>
      </c>
      <c r="C251" s="706">
        <f>SUM(G51:G54)</f>
        <v>0</v>
      </c>
      <c r="D251" s="706">
        <f>SUM(H51:H54)</f>
        <v>4</v>
      </c>
      <c r="E251" s="706">
        <f>COUNTIF(D51:D54,"*")</f>
        <v>1</v>
      </c>
      <c r="F251" s="706">
        <f t="shared" si="188"/>
        <v>4</v>
      </c>
      <c r="G251" s="707">
        <f t="shared" si="189"/>
        <v>0</v>
      </c>
      <c r="H251" s="707">
        <f t="shared" si="190"/>
        <v>4</v>
      </c>
    </row>
    <row r="252" spans="1:8">
      <c r="A252" s="722" t="str">
        <f>'IA-SI  TANKER'!B17</f>
        <v>Glenda Melody</v>
      </c>
      <c r="B252" s="706">
        <f>SUM(F55:F58)</f>
        <v>6</v>
      </c>
      <c r="C252" s="706">
        <f>SUM(G55:G58)</f>
        <v>1</v>
      </c>
      <c r="D252" s="706">
        <f>SUM(H55:H58)</f>
        <v>5</v>
      </c>
      <c r="E252" s="706">
        <f>COUNTIF(D55:D58,"*")</f>
        <v>1</v>
      </c>
      <c r="F252" s="706">
        <f t="shared" si="188"/>
        <v>6</v>
      </c>
      <c r="G252" s="707">
        <f t="shared" si="189"/>
        <v>1</v>
      </c>
      <c r="H252" s="707">
        <f t="shared" si="190"/>
        <v>5</v>
      </c>
    </row>
    <row r="253" spans="1:8">
      <c r="A253" s="722" t="str">
        <f>'IA-SI  TANKER'!B18</f>
        <v>Glenda Meryl</v>
      </c>
      <c r="B253" s="706">
        <f>SUM(F59:F62)</f>
        <v>9</v>
      </c>
      <c r="C253" s="706">
        <f>SUM(G59:G62)</f>
        <v>1</v>
      </c>
      <c r="D253" s="706">
        <f>SUM(H59:H62)</f>
        <v>8</v>
      </c>
      <c r="E253" s="706">
        <f>COUNTIF(D59:D62,"*")</f>
        <v>2</v>
      </c>
      <c r="F253" s="706">
        <f t="shared" si="188"/>
        <v>4.5</v>
      </c>
      <c r="G253" s="707">
        <f t="shared" si="189"/>
        <v>0.5</v>
      </c>
      <c r="H253" s="707">
        <f t="shared" si="190"/>
        <v>4</v>
      </c>
    </row>
    <row r="254" spans="1:8">
      <c r="A254" s="722" t="str">
        <f>'IA-SI  TANKER'!B19</f>
        <v>Herolds Bay</v>
      </c>
      <c r="B254" s="706">
        <f>SUM(F63:F66)</f>
        <v>4</v>
      </c>
      <c r="C254" s="706">
        <f>SUM(G63:G66)</f>
        <v>0</v>
      </c>
      <c r="D254" s="706">
        <f>SUM(H63:H66)</f>
        <v>4</v>
      </c>
      <c r="E254" s="706">
        <f>COUNTIF(D63:D66,"*")</f>
        <v>1</v>
      </c>
      <c r="F254" s="706">
        <f t="shared" ref="F254" si="196">B254/E254</f>
        <v>4</v>
      </c>
      <c r="G254" s="707">
        <f t="shared" ref="G254" si="197">C254/E254</f>
        <v>0</v>
      </c>
      <c r="H254" s="707">
        <f t="shared" ref="H254" si="198">D254/E254</f>
        <v>4</v>
      </c>
    </row>
    <row r="255" spans="1:8">
      <c r="A255" s="722" t="str">
        <f>'IA-SI  TANKER'!B20</f>
        <v>High Explorer</v>
      </c>
      <c r="B255" s="706">
        <f>SUM(F67:F70)</f>
        <v>5</v>
      </c>
      <c r="C255" s="706">
        <f>SUM(G67:G70)</f>
        <v>1</v>
      </c>
      <c r="D255" s="706">
        <f>SUM(H67:H70)</f>
        <v>4</v>
      </c>
      <c r="E255" s="706">
        <f>COUNTIF(D66:D69,"*")</f>
        <v>1</v>
      </c>
      <c r="F255" s="706">
        <f t="shared" ref="F255:F260" si="199">B255/E255</f>
        <v>5</v>
      </c>
      <c r="G255" s="707">
        <f t="shared" ref="G255:G260" si="200">C255/E255</f>
        <v>1</v>
      </c>
      <c r="H255" s="707">
        <f t="shared" ref="H255:H260" si="201">D255/E255</f>
        <v>4</v>
      </c>
    </row>
    <row r="256" spans="1:8">
      <c r="A256" s="723" t="str">
        <f>'IA-SI  TANKER'!B21</f>
        <v>High Mariner</v>
      </c>
      <c r="B256" s="706">
        <f>SUM(F71:F74)</f>
        <v>0</v>
      </c>
      <c r="C256" s="706">
        <f>SUM(G71:G74)</f>
        <v>0</v>
      </c>
      <c r="D256" s="706">
        <f>SUM(H71:H74)</f>
        <v>0</v>
      </c>
      <c r="E256" s="706">
        <f>COUNTIF(D71:D74,"*")</f>
        <v>0</v>
      </c>
      <c r="F256" s="706" t="e">
        <f t="shared" si="199"/>
        <v>#DIV/0!</v>
      </c>
      <c r="G256" s="707" t="e">
        <f t="shared" si="200"/>
        <v>#DIV/0!</v>
      </c>
      <c r="H256" s="707" t="e">
        <f t="shared" si="201"/>
        <v>#DIV/0!</v>
      </c>
    </row>
    <row r="257" spans="1:8">
      <c r="A257" s="723" t="str">
        <f>'IA-SI  TANKER'!B22</f>
        <v>High Transporter</v>
      </c>
      <c r="B257" s="706">
        <f>SUM(F75:F78)</f>
        <v>7</v>
      </c>
      <c r="C257" s="706">
        <f>SUM(G75:G78)</f>
        <v>0</v>
      </c>
      <c r="D257" s="706">
        <f>SUM(H75:H78)</f>
        <v>7</v>
      </c>
      <c r="E257" s="706">
        <f>COUNTIF(D75:D78,"*")</f>
        <v>1</v>
      </c>
      <c r="F257" s="706">
        <f t="shared" si="199"/>
        <v>7</v>
      </c>
      <c r="G257" s="707">
        <f t="shared" si="200"/>
        <v>0</v>
      </c>
      <c r="H257" s="707">
        <f t="shared" si="201"/>
        <v>7</v>
      </c>
    </row>
    <row r="258" spans="1:8">
      <c r="A258" s="704" t="str">
        <f>'IA-SI  TANKER'!B$23</f>
        <v>Kalk Bay</v>
      </c>
      <c r="B258" s="706">
        <f>SUM(F79:F82)</f>
        <v>4</v>
      </c>
      <c r="C258" s="706">
        <f t="shared" ref="C258:D258" si="202">SUM(G79:G82)</f>
        <v>0</v>
      </c>
      <c r="D258" s="706">
        <f t="shared" si="202"/>
        <v>4</v>
      </c>
      <c r="E258" s="706">
        <f>COUNTIF(D79:D82,"*")</f>
        <v>1</v>
      </c>
      <c r="F258" s="706">
        <f t="shared" si="199"/>
        <v>4</v>
      </c>
      <c r="G258" s="707">
        <f t="shared" si="200"/>
        <v>0</v>
      </c>
      <c r="H258" s="707">
        <f t="shared" si="201"/>
        <v>4</v>
      </c>
    </row>
    <row r="259" spans="1:8">
      <c r="A259" s="704" t="str">
        <f>'IA-SI  TANKER'!B$24</f>
        <v>Mossel Bay</v>
      </c>
      <c r="B259" s="706">
        <f>SUM(F83:F86)</f>
        <v>5</v>
      </c>
      <c r="C259" s="706">
        <f>SUM(G83:G86)</f>
        <v>1</v>
      </c>
      <c r="D259" s="706">
        <f>SUM(H83:H86)</f>
        <v>4</v>
      </c>
      <c r="E259" s="706">
        <f>COUNTIF(D83:D86,"*")</f>
        <v>1</v>
      </c>
      <c r="F259" s="706">
        <f t="shared" si="199"/>
        <v>5</v>
      </c>
      <c r="G259" s="707">
        <f t="shared" si="200"/>
        <v>1</v>
      </c>
      <c r="H259" s="707">
        <f t="shared" si="201"/>
        <v>4</v>
      </c>
    </row>
    <row r="260" spans="1:8">
      <c r="A260" s="723" t="str">
        <f>'IA-SI  TANKER'!B25</f>
        <v>Philotimos</v>
      </c>
      <c r="B260" s="706">
        <f>SUM(F84:F87)</f>
        <v>3</v>
      </c>
      <c r="C260" s="706">
        <f>SUM(G84:G87)</f>
        <v>0</v>
      </c>
      <c r="D260" s="706">
        <f>SUM(H87:H90)</f>
        <v>3</v>
      </c>
      <c r="E260" s="706">
        <f>COUNTIF(D87:D90,"*")</f>
        <v>1</v>
      </c>
      <c r="F260" s="706">
        <f t="shared" si="199"/>
        <v>3</v>
      </c>
      <c r="G260" s="707">
        <f t="shared" si="200"/>
        <v>0</v>
      </c>
      <c r="H260" s="707">
        <f t="shared" si="201"/>
        <v>3</v>
      </c>
    </row>
    <row r="261" spans="1:8">
      <c r="A261" s="722" t="str">
        <f>'IA-SI  TANKER'!B26</f>
        <v>Philoxenia</v>
      </c>
      <c r="B261" s="706">
        <f>SUM(F91:F94)</f>
        <v>5</v>
      </c>
      <c r="C261" s="706">
        <f t="shared" ref="C261:D261" si="203">SUM(G91:G94)</f>
        <v>0</v>
      </c>
      <c r="D261" s="706">
        <f t="shared" si="203"/>
        <v>5</v>
      </c>
      <c r="E261" s="706">
        <f>COUNTIF(D91:D94,"*")</f>
        <v>2</v>
      </c>
      <c r="F261" s="706">
        <f t="shared" si="188"/>
        <v>2.5</v>
      </c>
      <c r="G261" s="707">
        <f t="shared" si="189"/>
        <v>0</v>
      </c>
      <c r="H261" s="707">
        <f t="shared" si="190"/>
        <v>2.5</v>
      </c>
    </row>
    <row r="262" spans="1:8">
      <c r="A262" s="722" t="str">
        <f>'IA-SI  TANKER'!B27</f>
        <v>PNX Conqueror</v>
      </c>
      <c r="B262" s="706">
        <f>SUM(F95:F98)</f>
        <v>2</v>
      </c>
      <c r="C262" s="706">
        <f t="shared" ref="C262:D262" si="204">SUM(G95:G98)</f>
        <v>0</v>
      </c>
      <c r="D262" s="706">
        <f t="shared" si="204"/>
        <v>2</v>
      </c>
      <c r="E262" s="706">
        <f>COUNTIF(D95:D98,"*")</f>
        <v>1</v>
      </c>
      <c r="F262" s="706">
        <f t="shared" ref="F262" si="205">B262/E262</f>
        <v>2</v>
      </c>
      <c r="G262" s="707">
        <f t="shared" ref="G262" si="206">C262/E262</f>
        <v>0</v>
      </c>
      <c r="H262" s="707">
        <f t="shared" ref="H262" si="207">D262/E262</f>
        <v>2</v>
      </c>
    </row>
    <row r="263" spans="1:8">
      <c r="A263" s="722" t="str">
        <f>'IA-SI  TANKER'!B28</f>
        <v>PS Tokyo (Gone)</v>
      </c>
      <c r="B263" s="706">
        <f>SUM(F99:F102)</f>
        <v>0</v>
      </c>
      <c r="C263" s="706">
        <f t="shared" ref="C263:D263" si="208">SUM(G99:G102)</f>
        <v>0</v>
      </c>
      <c r="D263" s="706">
        <f t="shared" si="208"/>
        <v>0</v>
      </c>
      <c r="E263" s="706">
        <f>COUNTIF(D99:D102,"*")</f>
        <v>0</v>
      </c>
      <c r="F263" s="706" t="e">
        <f t="shared" si="188"/>
        <v>#DIV/0!</v>
      </c>
      <c r="G263" s="707" t="e">
        <f t="shared" si="189"/>
        <v>#DIV/0!</v>
      </c>
      <c r="H263" s="707" t="e">
        <f t="shared" si="190"/>
        <v>#DIV/0!</v>
      </c>
    </row>
    <row r="264" spans="1:8">
      <c r="A264" s="722" t="str">
        <f>'IA-SI  TANKER'!B29</f>
        <v>PS Vancouver</v>
      </c>
      <c r="B264" s="706">
        <f>SUM(F103:F106)</f>
        <v>3</v>
      </c>
      <c r="C264" s="706">
        <f t="shared" ref="C264:D264" si="209">SUM(G103:G106)</f>
        <v>1</v>
      </c>
      <c r="D264" s="706">
        <f t="shared" si="209"/>
        <v>2</v>
      </c>
      <c r="E264" s="706">
        <f>COUNTIF(D103:D106,"*")</f>
        <v>1</v>
      </c>
      <c r="F264" s="706">
        <f t="shared" ref="F264" si="210">B264/E264</f>
        <v>3</v>
      </c>
      <c r="G264" s="707">
        <f t="shared" ref="G264" si="211">C264/E264</f>
        <v>1</v>
      </c>
      <c r="H264" s="707">
        <f t="shared" ref="H264" si="212">D264/E264</f>
        <v>2</v>
      </c>
    </row>
    <row r="265" spans="1:8">
      <c r="A265" s="722" t="str">
        <f>'IA-SI  TANKER'!B30</f>
        <v>Table Bay</v>
      </c>
      <c r="B265" s="706">
        <f>SUM(F107:F110)</f>
        <v>3</v>
      </c>
      <c r="C265" s="706">
        <f t="shared" ref="C265:D265" si="213">SUM(G107:G110)</f>
        <v>0</v>
      </c>
      <c r="D265" s="706">
        <f t="shared" si="213"/>
        <v>3</v>
      </c>
      <c r="E265" s="706">
        <f>COUNTIF(D107:D110,"*")</f>
        <v>1</v>
      </c>
      <c r="F265" s="706">
        <f t="shared" ref="F265" si="214">B265/E265</f>
        <v>3</v>
      </c>
      <c r="G265" s="707">
        <f t="shared" ref="G265" si="215">C265/E265</f>
        <v>0</v>
      </c>
      <c r="H265" s="707">
        <f t="shared" ref="H265" si="216">D265/E265</f>
        <v>3</v>
      </c>
    </row>
    <row r="266" spans="1:8">
      <c r="A266" s="722" t="str">
        <f>'IA-SI  TANKER'!B31</f>
        <v>Rui Fu Sheng</v>
      </c>
      <c r="B266" s="706">
        <f>SUM(F111:F114)</f>
        <v>6</v>
      </c>
      <c r="C266" s="706">
        <f t="shared" ref="C266:D266" si="217">SUM(G111:G114)</f>
        <v>1</v>
      </c>
      <c r="D266" s="706">
        <f t="shared" si="217"/>
        <v>5</v>
      </c>
      <c r="E266" s="706">
        <f>COUNTIF(D111:D114,"*")</f>
        <v>1</v>
      </c>
      <c r="F266" s="706">
        <f t="shared" ref="F266" si="218">B266/E266</f>
        <v>6</v>
      </c>
      <c r="G266" s="707">
        <f t="shared" ref="G266" si="219">C266/E266</f>
        <v>1</v>
      </c>
      <c r="H266" s="707">
        <f t="shared" ref="H266" si="220">D266/E266</f>
        <v>5</v>
      </c>
    </row>
    <row r="267" spans="1:8">
      <c r="A267" s="722" t="s">
        <v>154</v>
      </c>
      <c r="B267" s="706">
        <f>SUM(F115:F118)</f>
        <v>1</v>
      </c>
      <c r="C267" s="706">
        <f t="shared" ref="C267:D267" si="221">SUM(G115:G118)</f>
        <v>0</v>
      </c>
      <c r="D267" s="706">
        <f t="shared" si="221"/>
        <v>1</v>
      </c>
      <c r="E267" s="706">
        <f>COUNTIF(D115:D118,"*")</f>
        <v>1</v>
      </c>
      <c r="F267" s="706">
        <f t="shared" ref="F267" si="222">B267/E267</f>
        <v>1</v>
      </c>
      <c r="G267" s="707">
        <f t="shared" ref="G267" si="223">C267/E267</f>
        <v>0</v>
      </c>
      <c r="H267" s="707">
        <f t="shared" ref="H267" si="224">D267/E267</f>
        <v>1</v>
      </c>
    </row>
    <row r="268" spans="1:8">
      <c r="A268" s="722" t="str">
        <f>'IA-SI  TANKER'!B33</f>
        <v>Victoria Bay</v>
      </c>
      <c r="B268" s="706">
        <f>SUM(F119:F122)</f>
        <v>4</v>
      </c>
      <c r="C268" s="706">
        <f>SUM(G119:G122)</f>
        <v>0</v>
      </c>
      <c r="D268" s="706">
        <f>SUM(H119:H122)</f>
        <v>4</v>
      </c>
      <c r="E268" s="706">
        <f>COUNTIF(D119:D122,"*")</f>
        <v>1</v>
      </c>
      <c r="F268" s="706">
        <f t="shared" si="188"/>
        <v>4</v>
      </c>
      <c r="G268" s="707">
        <f t="shared" si="189"/>
        <v>0</v>
      </c>
      <c r="H268" s="707">
        <f t="shared" si="190"/>
        <v>4</v>
      </c>
    </row>
    <row r="271" spans="1:8">
      <c r="A271" s="698" t="s">
        <v>232</v>
      </c>
      <c r="B271" s="698"/>
      <c r="C271" s="698"/>
      <c r="D271" s="698"/>
      <c r="E271" s="698"/>
      <c r="F271" s="698"/>
      <c r="G271" s="698"/>
      <c r="H271" s="698"/>
    </row>
    <row r="272" ht="30.75" spans="1:8">
      <c r="A272" s="717"/>
      <c r="B272" s="718" t="s">
        <v>168</v>
      </c>
      <c r="C272" s="719" t="s">
        <v>224</v>
      </c>
      <c r="D272" s="719" t="s">
        <v>225</v>
      </c>
      <c r="E272" s="720" t="s">
        <v>226</v>
      </c>
      <c r="F272" s="721" t="s">
        <v>227</v>
      </c>
      <c r="G272" s="719" t="s">
        <v>228</v>
      </c>
      <c r="H272" s="721" t="s">
        <v>229</v>
      </c>
    </row>
    <row r="273" ht="15.75" spans="1:8">
      <c r="A273" s="722" t="str">
        <f>'IA-SI  TANKER'!B4</f>
        <v>Alpine Pembroke (Sold)</v>
      </c>
      <c r="B273" s="705">
        <f>SUM(P3:P6)</f>
        <v>0</v>
      </c>
      <c r="C273" s="705">
        <f>SUM(Q3:Q6)</f>
        <v>0</v>
      </c>
      <c r="D273" s="705">
        <f>SUM(R3:R6)</f>
        <v>0</v>
      </c>
      <c r="E273" s="706">
        <f>COUNTIF(N3:N6,"*")</f>
        <v>0</v>
      </c>
      <c r="F273" s="706" t="e">
        <f t="shared" ref="F273:F302" si="225">B273/E273</f>
        <v>#DIV/0!</v>
      </c>
      <c r="G273" s="707" t="e">
        <f t="shared" ref="G273:G302" si="226">C273/E273</f>
        <v>#DIV/0!</v>
      </c>
      <c r="H273" s="707" t="e">
        <f t="shared" ref="H273:H302" si="227">D273/E273</f>
        <v>#DIV/0!</v>
      </c>
    </row>
    <row r="274" spans="1:8">
      <c r="A274" s="722" t="str">
        <f>'IA-SI  TANKER'!B5</f>
        <v>Alpine Pioneer (Sold)</v>
      </c>
      <c r="B274" s="706">
        <f>SUM(P7:P10)</f>
        <v>0</v>
      </c>
      <c r="C274" s="706">
        <f>SUM(Q7:Q10)</f>
        <v>0</v>
      </c>
      <c r="D274" s="706">
        <f>SUM(R7:R10)</f>
        <v>0</v>
      </c>
      <c r="E274" s="706">
        <f>COUNTIF(N7:N10,"*")</f>
        <v>0</v>
      </c>
      <c r="F274" s="706" t="e">
        <f t="shared" si="225"/>
        <v>#DIV/0!</v>
      </c>
      <c r="G274" s="707" t="e">
        <f t="shared" si="226"/>
        <v>#DIV/0!</v>
      </c>
      <c r="H274" s="707" t="e">
        <f t="shared" si="227"/>
        <v>#DIV/0!</v>
      </c>
    </row>
    <row r="275" spans="1:8">
      <c r="A275" s="722" t="str">
        <f>'IA-SI  TANKER'!B6</f>
        <v>Bagheera</v>
      </c>
      <c r="B275" s="706">
        <f>SUM(P11:P14)</f>
        <v>3</v>
      </c>
      <c r="C275" s="706">
        <f>SUM(Q11:Q14)</f>
        <v>0</v>
      </c>
      <c r="D275" s="706">
        <f>SUM(R11:R14)</f>
        <v>3</v>
      </c>
      <c r="E275" s="706">
        <f>COUNTIF(N11:N14,"*")</f>
        <v>1</v>
      </c>
      <c r="F275" s="706">
        <f t="shared" ref="F275" si="228">B275/E275</f>
        <v>3</v>
      </c>
      <c r="G275" s="707">
        <f t="shared" ref="G275" si="229">C275/E275</f>
        <v>0</v>
      </c>
      <c r="H275" s="707">
        <f t="shared" ref="H275" si="230">D275/E275</f>
        <v>3</v>
      </c>
    </row>
    <row r="276" spans="1:8">
      <c r="A276" s="722" t="str">
        <f>'IA-SI  TANKER'!B7</f>
        <v>Bantry Bay</v>
      </c>
      <c r="B276" s="706">
        <f>SUM(P15:P18)</f>
        <v>3</v>
      </c>
      <c r="C276" s="706">
        <f>SUM(Q15:Q18)</f>
        <v>0</v>
      </c>
      <c r="D276" s="706">
        <f>SUM(R15:R18)</f>
        <v>3</v>
      </c>
      <c r="E276" s="706">
        <f>COUNTIF(N15:N18,"*")</f>
        <v>1</v>
      </c>
      <c r="F276" s="706">
        <f t="shared" si="225"/>
        <v>3</v>
      </c>
      <c r="G276" s="707">
        <f t="shared" si="226"/>
        <v>0</v>
      </c>
      <c r="H276" s="707">
        <f t="shared" si="227"/>
        <v>3</v>
      </c>
    </row>
    <row r="277" spans="1:8">
      <c r="A277" s="722" t="str">
        <f>'IA-SI  TANKER'!B8</f>
        <v>Bright Future</v>
      </c>
      <c r="B277" s="706">
        <f>SUM(P19:P22)</f>
        <v>4</v>
      </c>
      <c r="C277" s="706">
        <f>SUM(Q19:Q22)</f>
        <v>0</v>
      </c>
      <c r="D277" s="706">
        <f>SUM(R19:R22)</f>
        <v>4</v>
      </c>
      <c r="E277" s="706">
        <f>COUNTIF(N19:N22,"*")</f>
        <v>0</v>
      </c>
      <c r="F277" s="706" t="e">
        <f t="shared" si="225"/>
        <v>#DIV/0!</v>
      </c>
      <c r="G277" s="707" t="e">
        <f t="shared" si="226"/>
        <v>#DIV/0!</v>
      </c>
      <c r="H277" s="707" t="e">
        <f t="shared" si="227"/>
        <v>#DIV/0!</v>
      </c>
    </row>
    <row r="278" spans="1:8">
      <c r="A278" s="722" t="str">
        <f>'IA-SI  TANKER'!B9</f>
        <v>Cielo di Houston</v>
      </c>
      <c r="B278" s="706">
        <f>SUM(P23:P26)</f>
        <v>2</v>
      </c>
      <c r="C278" s="706">
        <f>SUM(Q23:Q26)</f>
        <v>0</v>
      </c>
      <c r="D278" s="706">
        <f>SUM(R23:R26)</f>
        <v>2</v>
      </c>
      <c r="E278" s="706">
        <f>COUNTIF(N23:N26,"*")</f>
        <v>1</v>
      </c>
      <c r="F278" s="706">
        <f t="shared" ref="F278" si="231">B278/E278</f>
        <v>2</v>
      </c>
      <c r="G278" s="707">
        <f t="shared" ref="G278" si="232">C278/E278</f>
        <v>0</v>
      </c>
      <c r="H278" s="707">
        <f t="shared" ref="H278" si="233">D278/E278</f>
        <v>2</v>
      </c>
    </row>
    <row r="279" spans="1:8">
      <c r="A279" s="722" t="str">
        <f>'IA-SI  TANKER'!B10</f>
        <v>Cielo Rosso</v>
      </c>
      <c r="B279" s="706">
        <f>SUM(P27:P30)</f>
        <v>1</v>
      </c>
      <c r="C279" s="706">
        <f>SUM(Q27:Q30)</f>
        <v>0</v>
      </c>
      <c r="D279" s="706">
        <f>SUM(R27:R30)</f>
        <v>1</v>
      </c>
      <c r="E279" s="706">
        <f>COUNTIF(N27:N30,"*")</f>
        <v>1</v>
      </c>
      <c r="F279" s="706">
        <f t="shared" si="225"/>
        <v>1</v>
      </c>
      <c r="G279" s="707">
        <f t="shared" si="226"/>
        <v>0</v>
      </c>
      <c r="H279" s="707">
        <f t="shared" si="227"/>
        <v>1</v>
      </c>
    </row>
    <row r="280" spans="1:8">
      <c r="A280" s="722" t="str">
        <f>'IA-SI  TANKER'!B11</f>
        <v>Clearocean Maria</v>
      </c>
      <c r="B280" s="706">
        <f>SUM(P31:P34)</f>
        <v>3</v>
      </c>
      <c r="C280" s="706">
        <f>SUM(Q31:Q34)</f>
        <v>0</v>
      </c>
      <c r="D280" s="706">
        <f>SUM(R31:R34)</f>
        <v>3</v>
      </c>
      <c r="E280" s="706">
        <f>COUNTIF(N31:N34,"*")</f>
        <v>1</v>
      </c>
      <c r="F280" s="706">
        <f t="shared" si="225"/>
        <v>3</v>
      </c>
      <c r="G280" s="707">
        <f t="shared" si="226"/>
        <v>0</v>
      </c>
      <c r="H280" s="707">
        <f t="shared" si="227"/>
        <v>3</v>
      </c>
    </row>
    <row r="281" spans="1:8">
      <c r="A281" s="722" t="str">
        <f>'IA-SI  TANKER'!B12</f>
        <v>Clearocean Mary</v>
      </c>
      <c r="B281" s="706">
        <f>SUM(P35:P38)</f>
        <v>7</v>
      </c>
      <c r="C281" s="706">
        <f>SUM(Q35:Q38)</f>
        <v>0</v>
      </c>
      <c r="D281" s="706">
        <f>SUM(R35:R38)</f>
        <v>7</v>
      </c>
      <c r="E281" s="706">
        <f>COUNTIF(N35:N38,"*")</f>
        <v>1</v>
      </c>
      <c r="F281" s="706">
        <f t="shared" si="225"/>
        <v>7</v>
      </c>
      <c r="G281" s="707">
        <f t="shared" si="226"/>
        <v>0</v>
      </c>
      <c r="H281" s="707">
        <f t="shared" si="227"/>
        <v>7</v>
      </c>
    </row>
    <row r="282" spans="1:8">
      <c r="A282" s="722" t="str">
        <f>'IA-SI  TANKER'!B13</f>
        <v>Clearocean Mathilde</v>
      </c>
      <c r="B282" s="706">
        <f>SUM(P39:P42)</f>
        <v>2</v>
      </c>
      <c r="C282" s="706">
        <f>SUM(Q39:Q42)</f>
        <v>0</v>
      </c>
      <c r="D282" s="706">
        <f>SUM(R39:R42)</f>
        <v>2</v>
      </c>
      <c r="E282" s="706">
        <f>COUNTIF(N39:N42,"*")</f>
        <v>1</v>
      </c>
      <c r="F282" s="706">
        <f t="shared" si="225"/>
        <v>2</v>
      </c>
      <c r="G282" s="707">
        <f t="shared" si="226"/>
        <v>0</v>
      </c>
      <c r="H282" s="707">
        <f t="shared" si="227"/>
        <v>2</v>
      </c>
    </row>
    <row r="283" spans="1:8">
      <c r="A283" s="722" t="str">
        <f>'IA-SI  TANKER'!B14</f>
        <v>Clearocean Music</v>
      </c>
      <c r="B283" s="706">
        <f>SUM(P43:P46)</f>
        <v>6</v>
      </c>
      <c r="C283" s="706">
        <f>SUM(Q43:Q46)</f>
        <v>0</v>
      </c>
      <c r="D283" s="706">
        <f>SUM(R43:R46)</f>
        <v>6</v>
      </c>
      <c r="E283" s="706">
        <f>COUNTIF(N43:N46,"*")</f>
        <v>1</v>
      </c>
      <c r="F283" s="706">
        <f t="shared" si="225"/>
        <v>6</v>
      </c>
      <c r="G283" s="707">
        <f t="shared" si="226"/>
        <v>0</v>
      </c>
      <c r="H283" s="707">
        <f t="shared" si="227"/>
        <v>6</v>
      </c>
    </row>
    <row r="284" spans="1:8">
      <c r="A284" s="722" t="str">
        <f>'IA-SI  TANKER'!B15</f>
        <v>Rui Fu Xing (Glenda Melanie)</v>
      </c>
      <c r="B284" s="706">
        <f>SUM(P47:P50)</f>
        <v>2</v>
      </c>
      <c r="C284" s="706">
        <f>SUM(Q47:Q50)</f>
        <v>0</v>
      </c>
      <c r="D284" s="706">
        <f>SUM(R47:R50)</f>
        <v>2</v>
      </c>
      <c r="E284" s="706">
        <f>COUNTIF(N47:N50,"*")</f>
        <v>1</v>
      </c>
      <c r="F284" s="706">
        <f t="shared" si="225"/>
        <v>2</v>
      </c>
      <c r="G284" s="707">
        <f t="shared" si="226"/>
        <v>0</v>
      </c>
      <c r="H284" s="707">
        <f t="shared" si="227"/>
        <v>2</v>
      </c>
    </row>
    <row r="285" spans="1:8">
      <c r="A285" s="722" t="str">
        <f>'IA-SI  TANKER'!B16</f>
        <v>Glenda Melissa</v>
      </c>
      <c r="B285" s="706">
        <f>SUM(P51:P54)</f>
        <v>0</v>
      </c>
      <c r="C285" s="706">
        <f>SUM(Q51:Q54)</f>
        <v>0</v>
      </c>
      <c r="D285" s="706">
        <f>SUM(R51:R54)</f>
        <v>0</v>
      </c>
      <c r="E285" s="706">
        <f>COUNTIF(N51:N54,"*")</f>
        <v>0</v>
      </c>
      <c r="F285" s="706" t="e">
        <f t="shared" si="225"/>
        <v>#DIV/0!</v>
      </c>
      <c r="G285" s="707" t="e">
        <f t="shared" si="226"/>
        <v>#DIV/0!</v>
      </c>
      <c r="H285" s="707" t="e">
        <f t="shared" si="227"/>
        <v>#DIV/0!</v>
      </c>
    </row>
    <row r="286" spans="1:8">
      <c r="A286" s="722" t="str">
        <f>'IA-SI  TANKER'!B17</f>
        <v>Glenda Melody</v>
      </c>
      <c r="B286" s="706">
        <f>SUM(P55:P58)</f>
        <v>4</v>
      </c>
      <c r="C286" s="706">
        <f>SUM(Q55:Q58)</f>
        <v>0</v>
      </c>
      <c r="D286" s="706">
        <f>SUM(R55:R58)</f>
        <v>4</v>
      </c>
      <c r="E286" s="706">
        <f>COUNTIF(N55:N58,"*")</f>
        <v>1</v>
      </c>
      <c r="F286" s="706">
        <f t="shared" si="225"/>
        <v>4</v>
      </c>
      <c r="G286" s="707">
        <f t="shared" si="226"/>
        <v>0</v>
      </c>
      <c r="H286" s="707">
        <f t="shared" si="227"/>
        <v>4</v>
      </c>
    </row>
    <row r="287" spans="1:8">
      <c r="A287" s="722" t="str">
        <f>'IA-SI  TANKER'!B18</f>
        <v>Glenda Meryl</v>
      </c>
      <c r="B287" s="706">
        <f>SUM(P59:P62)</f>
        <v>3</v>
      </c>
      <c r="C287" s="706">
        <f>SUM(Q59:Q62)</f>
        <v>0</v>
      </c>
      <c r="D287" s="706">
        <f>SUM(R59:R62)</f>
        <v>3</v>
      </c>
      <c r="E287" s="706">
        <f>COUNTIF(N59:N62,"*")</f>
        <v>1</v>
      </c>
      <c r="F287" s="706">
        <f t="shared" si="225"/>
        <v>3</v>
      </c>
      <c r="G287" s="707">
        <f t="shared" si="226"/>
        <v>0</v>
      </c>
      <c r="H287" s="707">
        <f t="shared" si="227"/>
        <v>3</v>
      </c>
    </row>
    <row r="288" spans="1:8">
      <c r="A288" s="722" t="str">
        <f>'IA-SI  TANKER'!B19</f>
        <v>Herolds Bay</v>
      </c>
      <c r="B288" s="706">
        <f>SUM(P63:P66)</f>
        <v>2</v>
      </c>
      <c r="C288" s="706">
        <f>SUM(Q63:Q66)</f>
        <v>0</v>
      </c>
      <c r="D288" s="706">
        <f>SUM(R63:R66)</f>
        <v>2</v>
      </c>
      <c r="E288" s="706">
        <f>COUNTIF(N63:N66,"*")</f>
        <v>1</v>
      </c>
      <c r="F288" s="706">
        <f t="shared" ref="F288" si="234">B288/E288</f>
        <v>2</v>
      </c>
      <c r="G288" s="707">
        <f t="shared" ref="G288" si="235">C288/E288</f>
        <v>0</v>
      </c>
      <c r="H288" s="707">
        <f t="shared" ref="H288" si="236">D288/E288</f>
        <v>2</v>
      </c>
    </row>
    <row r="289" spans="1:8">
      <c r="A289" s="722" t="str">
        <f>'IA-SI  TANKER'!B20</f>
        <v>High Explorer</v>
      </c>
      <c r="B289" s="706">
        <f>SUM(P67:P70)</f>
        <v>4</v>
      </c>
      <c r="C289" s="706">
        <f>SUM(Q67:Q70)</f>
        <v>1</v>
      </c>
      <c r="D289" s="706">
        <f>SUM(R67:R70)</f>
        <v>3</v>
      </c>
      <c r="E289" s="706">
        <f>COUNTIF(N67:N70,"*")</f>
        <v>1</v>
      </c>
      <c r="F289" s="706">
        <f t="shared" ref="F289" si="237">B289/E289</f>
        <v>4</v>
      </c>
      <c r="G289" s="707">
        <f t="shared" ref="G289" si="238">C289/E289</f>
        <v>1</v>
      </c>
      <c r="H289" s="707">
        <f t="shared" ref="H289" si="239">D289/E289</f>
        <v>3</v>
      </c>
    </row>
    <row r="290" spans="1:8">
      <c r="A290" s="723" t="str">
        <f>'IA-SI  TANKER'!B21</f>
        <v>High Mariner</v>
      </c>
      <c r="B290" s="706">
        <f>SUM(P71:P74)</f>
        <v>0</v>
      </c>
      <c r="C290" s="706">
        <f>SUM(Q71:Q74)</f>
        <v>0</v>
      </c>
      <c r="D290" s="706">
        <f>SUM(R71:R74)</f>
        <v>0</v>
      </c>
      <c r="E290" s="706">
        <f>COUNTIF(N71:N74,"*")</f>
        <v>0</v>
      </c>
      <c r="F290" s="706" t="e">
        <f t="shared" ref="F290" si="240">B290/E290</f>
        <v>#DIV/0!</v>
      </c>
      <c r="G290" s="707" t="e">
        <f t="shared" ref="G290" si="241">C290/E290</f>
        <v>#DIV/0!</v>
      </c>
      <c r="H290" s="707" t="e">
        <f t="shared" ref="H290" si="242">D290/E290</f>
        <v>#DIV/0!</v>
      </c>
    </row>
    <row r="291" spans="1:8">
      <c r="A291" s="723" t="str">
        <f>'IA-SI  TANKER'!B22</f>
        <v>High Transporter</v>
      </c>
      <c r="B291" s="706">
        <f>SUM(P75:P78)</f>
        <v>0</v>
      </c>
      <c r="C291" s="706">
        <f>SUM(Q75:Q78)</f>
        <v>0</v>
      </c>
      <c r="D291" s="706">
        <f>SUM(R75:R78)</f>
        <v>0</v>
      </c>
      <c r="E291" s="706">
        <f>COUNTIF(N75:N78,"*")</f>
        <v>0</v>
      </c>
      <c r="F291" s="706" t="e">
        <f t="shared" ref="F291" si="243">B291/E291</f>
        <v>#DIV/0!</v>
      </c>
      <c r="G291" s="707" t="e">
        <f t="shared" ref="G291" si="244">C291/E291</f>
        <v>#DIV/0!</v>
      </c>
      <c r="H291" s="707" t="e">
        <f t="shared" ref="H291" si="245">D291/E291</f>
        <v>#DIV/0!</v>
      </c>
    </row>
    <row r="292" spans="1:8">
      <c r="A292" s="704" t="str">
        <f>'IA-SI  TANKER'!B$23</f>
        <v>Kalk Bay</v>
      </c>
      <c r="B292" s="706">
        <f>SUM(P79:P82)</f>
        <v>4</v>
      </c>
      <c r="C292" s="706">
        <f t="shared" ref="C292:D292" si="246">SUM(Q79:Q82)</f>
        <v>0</v>
      </c>
      <c r="D292" s="706">
        <f t="shared" si="246"/>
        <v>4</v>
      </c>
      <c r="E292" s="706">
        <f>COUNTIF(N79:N82,"*")</f>
        <v>1</v>
      </c>
      <c r="F292" s="706">
        <f t="shared" ref="F292:F293" si="247">B292/E292</f>
        <v>4</v>
      </c>
      <c r="G292" s="707">
        <f t="shared" ref="G292:G293" si="248">C292/E292</f>
        <v>0</v>
      </c>
      <c r="H292" s="707">
        <f t="shared" ref="H292:H293" si="249">D292/E292</f>
        <v>4</v>
      </c>
    </row>
    <row r="293" spans="1:8">
      <c r="A293" s="704" t="str">
        <f>'IA-SI  TANKER'!B$24</f>
        <v>Mossel Bay</v>
      </c>
      <c r="B293" s="706">
        <f>SUM(P83:P86)</f>
        <v>1</v>
      </c>
      <c r="C293" s="706">
        <f t="shared" ref="C293:D293" si="250">SUM(Q83:Q86)</f>
        <v>0</v>
      </c>
      <c r="D293" s="706">
        <f t="shared" si="250"/>
        <v>1</v>
      </c>
      <c r="E293" s="706">
        <f>COUNTIF(N83:N86,"*")</f>
        <v>1</v>
      </c>
      <c r="F293" s="706">
        <f t="shared" si="247"/>
        <v>1</v>
      </c>
      <c r="G293" s="707">
        <f t="shared" si="248"/>
        <v>0</v>
      </c>
      <c r="H293" s="707">
        <f t="shared" si="249"/>
        <v>1</v>
      </c>
    </row>
    <row r="294" spans="1:8">
      <c r="A294" s="723" t="str">
        <f>'IA-SI  TANKER'!B25</f>
        <v>Philotimos</v>
      </c>
      <c r="B294" s="706">
        <f>SUM(P87:P90)</f>
        <v>2</v>
      </c>
      <c r="C294" s="706">
        <f>SUM(Q87:Q90)</f>
        <v>0</v>
      </c>
      <c r="D294" s="706">
        <f>SUM(R87:R90)</f>
        <v>2</v>
      </c>
      <c r="E294" s="706">
        <f>COUNTIF(N87:N90,"*")</f>
        <v>1</v>
      </c>
      <c r="F294" s="706">
        <f t="shared" ref="F294" si="251">B294/E294</f>
        <v>2</v>
      </c>
      <c r="G294" s="707">
        <f t="shared" ref="G294" si="252">C294/E294</f>
        <v>0</v>
      </c>
      <c r="H294" s="707">
        <f t="shared" ref="H294" si="253">D294/E294</f>
        <v>2</v>
      </c>
    </row>
    <row r="295" spans="1:8">
      <c r="A295" s="722" t="str">
        <f>'IA-SI  TANKER'!B26</f>
        <v>Philoxenia</v>
      </c>
      <c r="B295" s="706">
        <f>SUM(P91:P94)</f>
        <v>4</v>
      </c>
      <c r="C295" s="706">
        <f t="shared" ref="C295:D295" si="254">SUM(Q91:Q94)</f>
        <v>0</v>
      </c>
      <c r="D295" s="706">
        <f t="shared" si="254"/>
        <v>4</v>
      </c>
      <c r="E295" s="706">
        <f>COUNTIF(N91:N94,"*")</f>
        <v>1</v>
      </c>
      <c r="F295" s="706">
        <f t="shared" si="225"/>
        <v>4</v>
      </c>
      <c r="G295" s="707">
        <f t="shared" si="226"/>
        <v>0</v>
      </c>
      <c r="H295" s="707">
        <f t="shared" si="227"/>
        <v>4</v>
      </c>
    </row>
    <row r="296" spans="1:8">
      <c r="A296" s="722" t="str">
        <f>'IA-SI  TANKER'!B27</f>
        <v>PNX Conqueror</v>
      </c>
      <c r="B296" s="706">
        <f>SUM(P95:P98)</f>
        <v>3</v>
      </c>
      <c r="C296" s="706">
        <f t="shared" ref="C296:D296" si="255">SUM(Q95:Q98)</f>
        <v>0</v>
      </c>
      <c r="D296" s="706">
        <f t="shared" si="255"/>
        <v>3</v>
      </c>
      <c r="E296" s="706">
        <f>COUNTIF(N95:N98,"*")</f>
        <v>1</v>
      </c>
      <c r="F296" s="706">
        <f t="shared" ref="F296" si="256">B296/E296</f>
        <v>3</v>
      </c>
      <c r="G296" s="707">
        <f t="shared" ref="G296" si="257">C296/E296</f>
        <v>0</v>
      </c>
      <c r="H296" s="707">
        <f t="shared" ref="H296" si="258">D296/E296</f>
        <v>3</v>
      </c>
    </row>
    <row r="297" spans="1:8">
      <c r="A297" s="722" t="str">
        <f>'IA-SI  TANKER'!B28</f>
        <v>PS Tokyo (Gone)</v>
      </c>
      <c r="B297" s="706">
        <f>SUM(P99:P102)</f>
        <v>2</v>
      </c>
      <c r="C297" s="706">
        <f t="shared" ref="C297:D297" si="259">SUM(Q99:Q102)</f>
        <v>0</v>
      </c>
      <c r="D297" s="706">
        <f t="shared" si="259"/>
        <v>2</v>
      </c>
      <c r="E297" s="706">
        <f>COUNTIF(N99:N102,"*")</f>
        <v>1</v>
      </c>
      <c r="F297" s="706">
        <f t="shared" si="225"/>
        <v>2</v>
      </c>
      <c r="G297" s="707">
        <f t="shared" si="226"/>
        <v>0</v>
      </c>
      <c r="H297" s="707">
        <f t="shared" si="227"/>
        <v>2</v>
      </c>
    </row>
    <row r="298" spans="1:8">
      <c r="A298" s="722" t="str">
        <f>'IA-SI  TANKER'!B29</f>
        <v>PS Vancouver</v>
      </c>
      <c r="B298" s="706">
        <f>SUM(P103:P106)</f>
        <v>4</v>
      </c>
      <c r="C298" s="706">
        <f t="shared" ref="C298:D298" si="260">SUM(Q103:Q106)</f>
        <v>0</v>
      </c>
      <c r="D298" s="706">
        <f t="shared" si="260"/>
        <v>4</v>
      </c>
      <c r="E298" s="706">
        <f>COUNTIF(N103:N106,"*")</f>
        <v>1</v>
      </c>
      <c r="F298" s="706">
        <f t="shared" ref="F298" si="261">B298/E298</f>
        <v>4</v>
      </c>
      <c r="G298" s="707">
        <f t="shared" ref="G298" si="262">C298/E298</f>
        <v>0</v>
      </c>
      <c r="H298" s="707">
        <f t="shared" ref="H298" si="263">D298/E298</f>
        <v>4</v>
      </c>
    </row>
    <row r="299" spans="1:8">
      <c r="A299" s="722" t="s">
        <v>152</v>
      </c>
      <c r="B299" s="706">
        <f>SUM(P107:P110)</f>
        <v>0</v>
      </c>
      <c r="C299" s="706">
        <f t="shared" ref="C299:D299" si="264">SUM(Q107:Q110)</f>
        <v>0</v>
      </c>
      <c r="D299" s="706">
        <f t="shared" si="264"/>
        <v>0</v>
      </c>
      <c r="E299" s="706">
        <f>COUNTIF(N107:N110,"*")</f>
        <v>0</v>
      </c>
      <c r="F299" s="706" t="e">
        <f t="shared" ref="F299" si="265">B299/E299</f>
        <v>#DIV/0!</v>
      </c>
      <c r="G299" s="707" t="e">
        <f t="shared" ref="G299" si="266">C299/E299</f>
        <v>#DIV/0!</v>
      </c>
      <c r="H299" s="707" t="e">
        <f t="shared" ref="H299" si="267">D299/E299</f>
        <v>#DIV/0!</v>
      </c>
    </row>
    <row r="300" spans="1:8">
      <c r="A300" s="722" t="str">
        <f>'IA-SI  TANKER'!B31</f>
        <v>Rui Fu Sheng</v>
      </c>
      <c r="B300" s="706">
        <f>SUM(P111:P114)</f>
        <v>0</v>
      </c>
      <c r="C300" s="706">
        <f t="shared" ref="C300:D300" si="268">SUM(Q111:Q114)</f>
        <v>0</v>
      </c>
      <c r="D300" s="706">
        <f t="shared" si="268"/>
        <v>0</v>
      </c>
      <c r="E300" s="706">
        <f>COUNTIF(N111:N114,"*")</f>
        <v>0</v>
      </c>
      <c r="F300" s="706" t="e">
        <f t="shared" ref="F300" si="269">B300/E300</f>
        <v>#DIV/0!</v>
      </c>
      <c r="G300" s="707" t="e">
        <f t="shared" ref="G300" si="270">C300/E300</f>
        <v>#DIV/0!</v>
      </c>
      <c r="H300" s="707" t="e">
        <f t="shared" ref="H300" si="271">D300/E300</f>
        <v>#DIV/0!</v>
      </c>
    </row>
    <row r="301" spans="1:8">
      <c r="A301" s="722" t="str">
        <f>'IA-SI  TANKER'!B32</f>
        <v>Vialli</v>
      </c>
      <c r="B301" s="706">
        <f>SUM(P115:P118)</f>
        <v>2</v>
      </c>
      <c r="C301" s="706">
        <f t="shared" ref="C301:D301" si="272">SUM(Q115:Q118)</f>
        <v>0</v>
      </c>
      <c r="D301" s="706">
        <f t="shared" si="272"/>
        <v>2</v>
      </c>
      <c r="E301" s="706">
        <f>COUNTIF(N115:N118,"*")</f>
        <v>1</v>
      </c>
      <c r="F301" s="706">
        <f t="shared" ref="F301" si="273">B301/E301</f>
        <v>2</v>
      </c>
      <c r="G301" s="707">
        <f t="shared" ref="G301" si="274">C301/E301</f>
        <v>0</v>
      </c>
      <c r="H301" s="707">
        <f t="shared" ref="H301" si="275">D301/E301</f>
        <v>2</v>
      </c>
    </row>
    <row r="302" spans="1:8">
      <c r="A302" s="722" t="str">
        <f>'IA-SI  TANKER'!B33</f>
        <v>Victoria Bay</v>
      </c>
      <c r="B302" s="706">
        <f>SUM(P119:P122)</f>
        <v>3</v>
      </c>
      <c r="C302" s="706">
        <f>SUM(Q119:Q122)</f>
        <v>0</v>
      </c>
      <c r="D302" s="706">
        <f>SUM(R119:R122)</f>
        <v>3</v>
      </c>
      <c r="E302" s="706">
        <f>COUNTIF(N119:N122,"*")</f>
        <v>1</v>
      </c>
      <c r="F302" s="706">
        <f t="shared" si="225"/>
        <v>3</v>
      </c>
      <c r="G302" s="707">
        <f t="shared" si="226"/>
        <v>0</v>
      </c>
      <c r="H302" s="707">
        <f t="shared" si="227"/>
        <v>3</v>
      </c>
    </row>
    <row r="305" spans="1:8">
      <c r="A305" s="698" t="s">
        <v>216</v>
      </c>
      <c r="B305" s="698"/>
      <c r="C305" s="698"/>
      <c r="D305" s="698"/>
      <c r="E305" s="698"/>
      <c r="F305" s="698"/>
      <c r="G305" s="698"/>
      <c r="H305" s="698"/>
    </row>
    <row r="306" ht="30.75" spans="1:8">
      <c r="A306" s="717"/>
      <c r="B306" s="718" t="s">
        <v>168</v>
      </c>
      <c r="C306" s="719" t="s">
        <v>224</v>
      </c>
      <c r="D306" s="719" t="s">
        <v>225</v>
      </c>
      <c r="E306" s="720" t="s">
        <v>226</v>
      </c>
      <c r="F306" s="721" t="s">
        <v>227</v>
      </c>
      <c r="G306" s="719" t="s">
        <v>228</v>
      </c>
      <c r="H306" s="721" t="s">
        <v>229</v>
      </c>
    </row>
    <row r="307" ht="15.75" spans="1:8">
      <c r="A307" s="724" t="str">
        <f>'IA-SI  TANKER'!B4</f>
        <v>Alpine Pembroke (Sold)</v>
      </c>
      <c r="B307" s="705">
        <f>SUM(AE3:AE6)</f>
        <v>0</v>
      </c>
      <c r="C307" s="705">
        <f>SUM(AF3:AF6)</f>
        <v>0</v>
      </c>
      <c r="D307" s="705">
        <f>SUM(AG3:AG6)</f>
        <v>0</v>
      </c>
      <c r="E307" s="706">
        <f>COUNTIF(AC3:AC6,"*")</f>
        <v>0</v>
      </c>
      <c r="F307" s="706" t="e">
        <f t="shared" ref="F307:F336" si="276">B307/E307</f>
        <v>#DIV/0!</v>
      </c>
      <c r="G307" s="707" t="e">
        <f t="shared" ref="G307:G336" si="277">C307/E307</f>
        <v>#DIV/0!</v>
      </c>
      <c r="H307" s="707" t="e">
        <f t="shared" ref="H307:H336" si="278">D307/E307</f>
        <v>#DIV/0!</v>
      </c>
    </row>
    <row r="308" spans="1:8">
      <c r="A308" s="724" t="str">
        <f>'IA-SI  TANKER'!B5</f>
        <v>Alpine Pioneer (Sold)</v>
      </c>
      <c r="B308" s="706">
        <f>SUM(AE7:AE10)</f>
        <v>0</v>
      </c>
      <c r="C308" s="706">
        <f>SUM(AF7:AF10)</f>
        <v>0</v>
      </c>
      <c r="D308" s="706">
        <f>SUM(AG7:AG10)</f>
        <v>0</v>
      </c>
      <c r="E308" s="706">
        <f>COUNTIF(AC7:AC10,"*")</f>
        <v>0</v>
      </c>
      <c r="F308" s="706" t="e">
        <f t="shared" si="276"/>
        <v>#DIV/0!</v>
      </c>
      <c r="G308" s="707" t="e">
        <f t="shared" si="277"/>
        <v>#DIV/0!</v>
      </c>
      <c r="H308" s="707" t="e">
        <f t="shared" si="278"/>
        <v>#DIV/0!</v>
      </c>
    </row>
    <row r="309" spans="1:8">
      <c r="A309" s="724" t="str">
        <f>'IA-SI  TANKER'!B6</f>
        <v>Bagheera</v>
      </c>
      <c r="B309" s="706">
        <f>SUM(AE11:AE14)</f>
        <v>0</v>
      </c>
      <c r="C309" s="706">
        <f>SUM(AF11:AF14)</f>
        <v>0</v>
      </c>
      <c r="D309" s="706">
        <f>SUM(AG11:AG14)</f>
        <v>0</v>
      </c>
      <c r="E309" s="706">
        <f>COUNTIF(AC11:AC14,"*")</f>
        <v>1</v>
      </c>
      <c r="F309" s="706">
        <f t="shared" ref="F309" si="279">B309/E309</f>
        <v>0</v>
      </c>
      <c r="G309" s="707">
        <f t="shared" ref="G309" si="280">C309/E309</f>
        <v>0</v>
      </c>
      <c r="H309" s="707">
        <f t="shared" ref="H309" si="281">D309/E309</f>
        <v>0</v>
      </c>
    </row>
    <row r="310" spans="1:8">
      <c r="A310" s="724" t="str">
        <f>'IA-SI  TANKER'!B7</f>
        <v>Bantry Bay</v>
      </c>
      <c r="B310" s="706">
        <f>SUM(AE15:AE18)</f>
        <v>0</v>
      </c>
      <c r="C310" s="706">
        <f>SUM(AF15:AF18)</f>
        <v>0</v>
      </c>
      <c r="D310" s="706">
        <f>SUM(AG15:AG18)</f>
        <v>0</v>
      </c>
      <c r="E310" s="706">
        <f>COUNTIF(AC15:AC18,"*")</f>
        <v>1</v>
      </c>
      <c r="F310" s="706">
        <f t="shared" si="276"/>
        <v>0</v>
      </c>
      <c r="G310" s="707">
        <f t="shared" si="277"/>
        <v>0</v>
      </c>
      <c r="H310" s="707">
        <f t="shared" si="278"/>
        <v>0</v>
      </c>
    </row>
    <row r="311" spans="1:8">
      <c r="A311" s="724" t="str">
        <f>'IA-SI  TANKER'!B8</f>
        <v>Bright Future</v>
      </c>
      <c r="B311" s="706">
        <f>SUM(AE19:AE22)</f>
        <v>0</v>
      </c>
      <c r="C311" s="706">
        <f>SUM(AF19:AF22)</f>
        <v>0</v>
      </c>
      <c r="D311" s="706">
        <f>SUM(AG19:AG22)</f>
        <v>0</v>
      </c>
      <c r="E311" s="706">
        <f>COUNTIF(AC19:AC22,"*")</f>
        <v>0</v>
      </c>
      <c r="F311" s="706" t="e">
        <f t="shared" si="276"/>
        <v>#DIV/0!</v>
      </c>
      <c r="G311" s="707" t="e">
        <f t="shared" si="277"/>
        <v>#DIV/0!</v>
      </c>
      <c r="H311" s="707" t="e">
        <f t="shared" si="278"/>
        <v>#DIV/0!</v>
      </c>
    </row>
    <row r="312" spans="1:8">
      <c r="A312" s="724" t="str">
        <f>'IA-SI  TANKER'!B9</f>
        <v>Cielo di Houston</v>
      </c>
      <c r="B312" s="706">
        <f>SUM(AE23:AE26)</f>
        <v>0</v>
      </c>
      <c r="C312" s="706">
        <f>SUM(AF23:AF26)</f>
        <v>0</v>
      </c>
      <c r="D312" s="706">
        <f>SUM(AG23:AG26)</f>
        <v>0</v>
      </c>
      <c r="E312" s="706">
        <f>COUNTIF(AC23:AC26,"*")</f>
        <v>1</v>
      </c>
      <c r="F312" s="706">
        <f t="shared" ref="F312" si="282">B312/E312</f>
        <v>0</v>
      </c>
      <c r="G312" s="707">
        <f t="shared" ref="G312" si="283">C312/E312</f>
        <v>0</v>
      </c>
      <c r="H312" s="707">
        <f t="shared" ref="H312" si="284">D312/E312</f>
        <v>0</v>
      </c>
    </row>
    <row r="313" spans="1:8">
      <c r="A313" s="724" t="str">
        <f>'IA-SI  TANKER'!B10</f>
        <v>Cielo Rosso</v>
      </c>
      <c r="B313" s="706">
        <f>SUM(AE27:AE30)</f>
        <v>0</v>
      </c>
      <c r="C313" s="706">
        <f>SUM(AF27:AF30)</f>
        <v>0</v>
      </c>
      <c r="D313" s="706">
        <f>SUM(AG27:AG30)</f>
        <v>0</v>
      </c>
      <c r="E313" s="706">
        <f>COUNTIF(AC27:AC30,"*")</f>
        <v>2</v>
      </c>
      <c r="F313" s="706">
        <f t="shared" si="276"/>
        <v>0</v>
      </c>
      <c r="G313" s="707">
        <f t="shared" si="277"/>
        <v>0</v>
      </c>
      <c r="H313" s="707">
        <f t="shared" si="278"/>
        <v>0</v>
      </c>
    </row>
    <row r="314" spans="1:8">
      <c r="A314" s="724" t="str">
        <f>'IA-SI  TANKER'!B11</f>
        <v>Clearocean Maria</v>
      </c>
      <c r="B314" s="706">
        <f>SUM(AE31:AE34)</f>
        <v>0</v>
      </c>
      <c r="C314" s="706">
        <f>SUM(AF31:AF34)</f>
        <v>0</v>
      </c>
      <c r="D314" s="706">
        <f>SUM(AG31:AG34)</f>
        <v>0</v>
      </c>
      <c r="E314" s="706">
        <f>COUNTIF(AC31:AC34,"*")</f>
        <v>1</v>
      </c>
      <c r="F314" s="706">
        <f t="shared" si="276"/>
        <v>0</v>
      </c>
      <c r="G314" s="707">
        <f t="shared" si="277"/>
        <v>0</v>
      </c>
      <c r="H314" s="707">
        <f t="shared" si="278"/>
        <v>0</v>
      </c>
    </row>
    <row r="315" spans="1:8">
      <c r="A315" s="724" t="str">
        <f>'IA-SI  TANKER'!B12</f>
        <v>Clearocean Mary</v>
      </c>
      <c r="B315" s="706">
        <f>SUM(AE35:AE38)</f>
        <v>0</v>
      </c>
      <c r="C315" s="706">
        <f>SUM(AF35:AF38)</f>
        <v>0</v>
      </c>
      <c r="D315" s="706">
        <f>SUM(AG35:AG38)</f>
        <v>0</v>
      </c>
      <c r="E315" s="706">
        <f>COUNTIF(AC35:AC38,"*")</f>
        <v>1</v>
      </c>
      <c r="F315" s="706">
        <f t="shared" si="276"/>
        <v>0</v>
      </c>
      <c r="G315" s="707">
        <f t="shared" si="277"/>
        <v>0</v>
      </c>
      <c r="H315" s="707">
        <f t="shared" si="278"/>
        <v>0</v>
      </c>
    </row>
    <row r="316" spans="1:8">
      <c r="A316" s="724" t="str">
        <f>'IA-SI  TANKER'!B13</f>
        <v>Clearocean Mathilde</v>
      </c>
      <c r="B316" s="706">
        <f>SUM(AE39:AE42)</f>
        <v>0</v>
      </c>
      <c r="C316" s="706">
        <f>SUM(AF39:AF42)</f>
        <v>0</v>
      </c>
      <c r="D316" s="706">
        <f>SUM(AG39:AG42)</f>
        <v>0</v>
      </c>
      <c r="E316" s="706">
        <f>COUNTIF(AC39:AC42,"*")</f>
        <v>1</v>
      </c>
      <c r="F316" s="706">
        <f t="shared" si="276"/>
        <v>0</v>
      </c>
      <c r="G316" s="707">
        <f t="shared" si="277"/>
        <v>0</v>
      </c>
      <c r="H316" s="707">
        <f t="shared" si="278"/>
        <v>0</v>
      </c>
    </row>
    <row r="317" spans="1:8">
      <c r="A317" s="724" t="str">
        <f>'IA-SI  TANKER'!B14</f>
        <v>Clearocean Music</v>
      </c>
      <c r="B317" s="706">
        <f>SUM(AE43:AE46)</f>
        <v>0</v>
      </c>
      <c r="C317" s="706">
        <f>SUM(AF43:AF46)</f>
        <v>0</v>
      </c>
      <c r="D317" s="706">
        <f>SUM(AG43:AG46)</f>
        <v>0</v>
      </c>
      <c r="E317" s="706">
        <f>COUNTIF(AC43:AC46,"*")</f>
        <v>1</v>
      </c>
      <c r="F317" s="706">
        <f t="shared" si="276"/>
        <v>0</v>
      </c>
      <c r="G317" s="707">
        <f t="shared" si="277"/>
        <v>0</v>
      </c>
      <c r="H317" s="707">
        <f t="shared" si="278"/>
        <v>0</v>
      </c>
    </row>
    <row r="318" spans="1:8">
      <c r="A318" s="724" t="str">
        <f>'IA-SI  TANKER'!B15</f>
        <v>Rui Fu Xing (Glenda Melanie)</v>
      </c>
      <c r="B318" s="706">
        <f>SUM(AE47:AE50)</f>
        <v>0</v>
      </c>
      <c r="C318" s="706">
        <f>SUM(AF47:AF50)</f>
        <v>0</v>
      </c>
      <c r="D318" s="706">
        <f>SUM(AG47:AG50)</f>
        <v>0</v>
      </c>
      <c r="E318" s="706">
        <f>COUNTIF(AC47:AC50,"*")</f>
        <v>1</v>
      </c>
      <c r="F318" s="706">
        <f t="shared" si="276"/>
        <v>0</v>
      </c>
      <c r="G318" s="707">
        <f t="shared" si="277"/>
        <v>0</v>
      </c>
      <c r="H318" s="707">
        <f t="shared" si="278"/>
        <v>0</v>
      </c>
    </row>
    <row r="319" spans="1:8">
      <c r="A319" s="724" t="str">
        <f>'IA-SI  TANKER'!B16</f>
        <v>Glenda Melissa</v>
      </c>
      <c r="B319" s="706">
        <f>SUM(AE51:AE54)</f>
        <v>0</v>
      </c>
      <c r="C319" s="706">
        <f>SUM(AF51:AF54)</f>
        <v>0</v>
      </c>
      <c r="D319" s="706">
        <f>SUM(AG51:AG54)</f>
        <v>0</v>
      </c>
      <c r="E319" s="706">
        <f>COUNTIF(AC51:AC54,"*")</f>
        <v>1</v>
      </c>
      <c r="F319" s="706">
        <f t="shared" si="276"/>
        <v>0</v>
      </c>
      <c r="G319" s="707">
        <f t="shared" si="277"/>
        <v>0</v>
      </c>
      <c r="H319" s="707">
        <f t="shared" si="278"/>
        <v>0</v>
      </c>
    </row>
    <row r="320" spans="1:8">
      <c r="A320" s="724" t="str">
        <f>'IA-SI  TANKER'!B17</f>
        <v>Glenda Melody</v>
      </c>
      <c r="B320" s="706">
        <f>SUM(AE55:AE58)</f>
        <v>0</v>
      </c>
      <c r="C320" s="706">
        <f>SUM(AF55:AF58)</f>
        <v>0</v>
      </c>
      <c r="D320" s="706">
        <f>SUM(AG55:AG58)</f>
        <v>0</v>
      </c>
      <c r="E320" s="706">
        <f>COUNTIF(AC55:AC58,"*")</f>
        <v>1</v>
      </c>
      <c r="F320" s="706">
        <f t="shared" si="276"/>
        <v>0</v>
      </c>
      <c r="G320" s="707">
        <f t="shared" si="277"/>
        <v>0</v>
      </c>
      <c r="H320" s="707">
        <f t="shared" si="278"/>
        <v>0</v>
      </c>
    </row>
    <row r="321" spans="1:8">
      <c r="A321" s="724" t="str">
        <f>'IA-SI  TANKER'!B18</f>
        <v>Glenda Meryl</v>
      </c>
      <c r="B321" s="706">
        <f>SUM(AE59:AE62)</f>
        <v>0</v>
      </c>
      <c r="C321" s="706">
        <f>SUM(AF59:AF62)</f>
        <v>0</v>
      </c>
      <c r="D321" s="706">
        <f>SUM(AG59:AG62)</f>
        <v>0</v>
      </c>
      <c r="E321" s="706">
        <f>COUNTIF(AC59:AC62,"*")</f>
        <v>2</v>
      </c>
      <c r="F321" s="706">
        <f t="shared" si="276"/>
        <v>0</v>
      </c>
      <c r="G321" s="707">
        <f t="shared" si="277"/>
        <v>0</v>
      </c>
      <c r="H321" s="707">
        <f t="shared" si="278"/>
        <v>0</v>
      </c>
    </row>
    <row r="322" spans="1:8">
      <c r="A322" s="724" t="str">
        <f>'IA-SI  TANKER'!B19</f>
        <v>Herolds Bay</v>
      </c>
      <c r="B322" s="706">
        <f>SUM(AE63:AE66)</f>
        <v>0</v>
      </c>
      <c r="C322" s="706">
        <f>SUM(AF63:AF66)</f>
        <v>0</v>
      </c>
      <c r="D322" s="706">
        <f>SUM(AG63:AG66)</f>
        <v>0</v>
      </c>
      <c r="E322" s="706">
        <f>COUNTIF(AC63:AC66,"*")</f>
        <v>1</v>
      </c>
      <c r="F322" s="706">
        <f t="shared" ref="F322" si="285">B322/E322</f>
        <v>0</v>
      </c>
      <c r="G322" s="707">
        <f t="shared" ref="G322" si="286">C322/E322</f>
        <v>0</v>
      </c>
      <c r="H322" s="707">
        <f t="shared" ref="H322" si="287">D322/E322</f>
        <v>0</v>
      </c>
    </row>
    <row r="323" spans="1:8">
      <c r="A323" s="724" t="str">
        <f>'IA-SI  TANKER'!B20</f>
        <v>High Explorer</v>
      </c>
      <c r="B323" s="706">
        <f>SUM(AE67:AE70)</f>
        <v>0</v>
      </c>
      <c r="C323" s="706">
        <f>SUM(AF67:AF70)</f>
        <v>0</v>
      </c>
      <c r="D323" s="706">
        <f>SUM(AG67:AG70)</f>
        <v>0</v>
      </c>
      <c r="E323" s="706">
        <f>COUNTIF(AC67:AC70,"*")</f>
        <v>1</v>
      </c>
      <c r="F323" s="706">
        <f t="shared" ref="F323" si="288">B323/E323</f>
        <v>0</v>
      </c>
      <c r="G323" s="707">
        <f t="shared" ref="G323" si="289">C323/E323</f>
        <v>0</v>
      </c>
      <c r="H323" s="707">
        <f t="shared" ref="H323" si="290">D323/E323</f>
        <v>0</v>
      </c>
    </row>
    <row r="324" spans="1:8">
      <c r="A324" s="725" t="str">
        <f>'IA-SI  TANKER'!B21</f>
        <v>High Mariner</v>
      </c>
      <c r="B324" s="706">
        <f>SUM(AE71:AE74)</f>
        <v>0</v>
      </c>
      <c r="C324" s="706">
        <f>SUM(AF71:AF74)</f>
        <v>0</v>
      </c>
      <c r="D324" s="706">
        <f>SUM(AG71:AG74)</f>
        <v>0</v>
      </c>
      <c r="E324" s="706">
        <f>COUNTIF(AC71:AC74,"*")</f>
        <v>0</v>
      </c>
      <c r="F324" s="706" t="e">
        <f t="shared" ref="F324" si="291">B324/E324</f>
        <v>#DIV/0!</v>
      </c>
      <c r="G324" s="707" t="e">
        <f t="shared" ref="G324" si="292">C324/E324</f>
        <v>#DIV/0!</v>
      </c>
      <c r="H324" s="707" t="e">
        <f t="shared" ref="H324" si="293">D324/E324</f>
        <v>#DIV/0!</v>
      </c>
    </row>
    <row r="325" spans="1:8">
      <c r="A325" s="725" t="str">
        <f>'IA-SI  TANKER'!B22</f>
        <v>High Transporter</v>
      </c>
      <c r="B325" s="706">
        <f>SUM(AE75:AE78)</f>
        <v>0</v>
      </c>
      <c r="C325" s="706">
        <f>SUM(AF75:AF78)</f>
        <v>0</v>
      </c>
      <c r="D325" s="706">
        <f>SUM(AG75:AG78)</f>
        <v>0</v>
      </c>
      <c r="E325" s="706">
        <f>COUNTIF(AC75:AC78,"*")</f>
        <v>1</v>
      </c>
      <c r="F325" s="706">
        <f t="shared" ref="F325" si="294">B325/E325</f>
        <v>0</v>
      </c>
      <c r="G325" s="707">
        <f t="shared" ref="G325" si="295">C325/E325</f>
        <v>0</v>
      </c>
      <c r="H325" s="707">
        <f t="shared" ref="H325" si="296">D325/E325</f>
        <v>0</v>
      </c>
    </row>
    <row r="326" spans="1:8">
      <c r="A326" s="704" t="str">
        <f>'IA-SI  TANKER'!B$23</f>
        <v>Kalk Bay</v>
      </c>
      <c r="B326" s="706">
        <f>SUM(AE79:AE82)</f>
        <v>0</v>
      </c>
      <c r="C326" s="706">
        <f t="shared" ref="C326:D326" si="297">SUM(AF79:AF82)</f>
        <v>0</v>
      </c>
      <c r="D326" s="706">
        <f t="shared" si="297"/>
        <v>0</v>
      </c>
      <c r="E326" s="706">
        <f>COUNTIF(AC79:AC82,"*")</f>
        <v>1</v>
      </c>
      <c r="F326" s="706">
        <f t="shared" ref="F326:F328" si="298">B326/E326</f>
        <v>0</v>
      </c>
      <c r="G326" s="707">
        <f t="shared" ref="G326:G327" si="299">C326/E326</f>
        <v>0</v>
      </c>
      <c r="H326" s="707">
        <f t="shared" ref="H326:H327" si="300">D326/E326</f>
        <v>0</v>
      </c>
    </row>
    <row r="327" spans="1:8">
      <c r="A327" s="704" t="str">
        <f>'IA-SI  TANKER'!B$24</f>
        <v>Mossel Bay</v>
      </c>
      <c r="B327" s="706">
        <f>SUM(AE83:AE86)</f>
        <v>0</v>
      </c>
      <c r="C327" s="706">
        <f t="shared" ref="C327:D327" si="301">SUM(AF83:AF86)</f>
        <v>0</v>
      </c>
      <c r="D327" s="706">
        <f t="shared" si="301"/>
        <v>0</v>
      </c>
      <c r="E327" s="706">
        <f>COUNTIF(AC83:AC86,"*")</f>
        <v>1</v>
      </c>
      <c r="F327" s="706">
        <f t="shared" si="298"/>
        <v>0</v>
      </c>
      <c r="G327" s="707">
        <f t="shared" si="299"/>
        <v>0</v>
      </c>
      <c r="H327" s="707">
        <f t="shared" si="300"/>
        <v>0</v>
      </c>
    </row>
    <row r="328" spans="1:8">
      <c r="A328" s="725" t="str">
        <f>'IA-SI  TANKER'!B25</f>
        <v>Philotimos</v>
      </c>
      <c r="B328" s="706">
        <f>SUM(AE87:AE90)</f>
        <v>1</v>
      </c>
      <c r="C328" s="706">
        <f>SUM(AF87:AF90)</f>
        <v>0</v>
      </c>
      <c r="D328" s="706">
        <f>SUM(AG87:AG90)</f>
        <v>1</v>
      </c>
      <c r="E328" s="706">
        <f>COUNTIF(AC87:AC90,"*")</f>
        <v>1</v>
      </c>
      <c r="F328" s="706">
        <f t="shared" si="298"/>
        <v>1</v>
      </c>
      <c r="G328" s="707">
        <f t="shared" ref="G328" si="302">C328/E328</f>
        <v>0</v>
      </c>
      <c r="H328" s="707">
        <f t="shared" ref="H328" si="303">D328/E328</f>
        <v>1</v>
      </c>
    </row>
    <row r="329" spans="1:8">
      <c r="A329" s="724" t="str">
        <f>'IA-SI  TANKER'!B26</f>
        <v>Philoxenia</v>
      </c>
      <c r="B329" s="706">
        <f>SUM(AE91:AE94)</f>
        <v>0</v>
      </c>
      <c r="C329" s="706">
        <f>SUM(AF91:AF94)</f>
        <v>0</v>
      </c>
      <c r="D329" s="706">
        <f>SUM(AG91:AG94)</f>
        <v>0</v>
      </c>
      <c r="E329" s="706">
        <f>COUNTIF(AC91:AC94,"*")</f>
        <v>2</v>
      </c>
      <c r="F329" s="706">
        <f t="shared" si="276"/>
        <v>0</v>
      </c>
      <c r="G329" s="707">
        <f t="shared" si="277"/>
        <v>0</v>
      </c>
      <c r="H329" s="707">
        <f t="shared" si="278"/>
        <v>0</v>
      </c>
    </row>
    <row r="330" spans="1:8">
      <c r="A330" s="724" t="str">
        <f>'IA-SI  TANKER'!B27</f>
        <v>PNX Conqueror</v>
      </c>
      <c r="B330" s="706">
        <f>SUM(AE95:AE98)</f>
        <v>0</v>
      </c>
      <c r="C330" s="706">
        <f>SUM(AF95:AF98)</f>
        <v>0</v>
      </c>
      <c r="D330" s="706">
        <f>SUM(AG95:AG98)</f>
        <v>0</v>
      </c>
      <c r="E330" s="706">
        <f>COUNTIF(AC95:AC98,"*")</f>
        <v>1</v>
      </c>
      <c r="F330" s="706">
        <f t="shared" ref="F330" si="304">B330/E330</f>
        <v>0</v>
      </c>
      <c r="G330" s="707">
        <f t="shared" ref="G330" si="305">C330/E330</f>
        <v>0</v>
      </c>
      <c r="H330" s="707">
        <f t="shared" ref="H330" si="306">D330/E330</f>
        <v>0</v>
      </c>
    </row>
    <row r="331" spans="1:8">
      <c r="A331" s="724" t="str">
        <f>'IA-SI  TANKER'!B28</f>
        <v>PS Tokyo (Gone)</v>
      </c>
      <c r="B331" s="706">
        <f>SUM(AE99:AE102)</f>
        <v>0</v>
      </c>
      <c r="C331" s="706">
        <f t="shared" ref="C331:D331" si="307">SUM(AF99:AF102)</f>
        <v>0</v>
      </c>
      <c r="D331" s="706">
        <f t="shared" si="307"/>
        <v>0</v>
      </c>
      <c r="E331" s="706">
        <f>COUNTIF(AC99:AC102,"*")</f>
        <v>0</v>
      </c>
      <c r="F331" s="706" t="e">
        <f t="shared" si="276"/>
        <v>#DIV/0!</v>
      </c>
      <c r="G331" s="707" t="e">
        <f t="shared" si="277"/>
        <v>#DIV/0!</v>
      </c>
      <c r="H331" s="707" t="e">
        <f t="shared" si="278"/>
        <v>#DIV/0!</v>
      </c>
    </row>
    <row r="332" spans="1:8">
      <c r="A332" s="724" t="str">
        <f>'IA-SI  TANKER'!B29</f>
        <v>PS Vancouver</v>
      </c>
      <c r="B332" s="706">
        <f>SUM(AE103:AE106)</f>
        <v>1</v>
      </c>
      <c r="C332" s="706">
        <f t="shared" ref="C332:D332" si="308">SUM(AF103:AF106)</f>
        <v>0</v>
      </c>
      <c r="D332" s="706">
        <f t="shared" si="308"/>
        <v>1</v>
      </c>
      <c r="E332" s="706">
        <f>COUNTIF(AC103:AC106,"*")</f>
        <v>1</v>
      </c>
      <c r="F332" s="706">
        <f t="shared" ref="F332:F334" si="309">B332/E332</f>
        <v>1</v>
      </c>
      <c r="G332" s="707">
        <f t="shared" ref="G332:G334" si="310">C332/E332</f>
        <v>0</v>
      </c>
      <c r="H332" s="707">
        <f t="shared" ref="H332:H334" si="311">D332/E332</f>
        <v>1</v>
      </c>
    </row>
    <row r="333" spans="1:8">
      <c r="A333" s="724" t="str">
        <f>'IA-SI  TANKER'!B30</f>
        <v>Table Bay</v>
      </c>
      <c r="B333" s="706">
        <f>SUM(AE107:AE110)</f>
        <v>0</v>
      </c>
      <c r="C333" s="706">
        <f t="shared" ref="C333:D333" si="312">SUM(AF107:AF110)</f>
        <v>0</v>
      </c>
      <c r="D333" s="706">
        <f t="shared" si="312"/>
        <v>0</v>
      </c>
      <c r="E333" s="706">
        <f>COUNTIF(AC107:AC110,"*")</f>
        <v>1</v>
      </c>
      <c r="F333" s="706">
        <f t="shared" ref="F333" si="313">B333/E333</f>
        <v>0</v>
      </c>
      <c r="G333" s="707">
        <f t="shared" ref="G333" si="314">C333/E333</f>
        <v>0</v>
      </c>
      <c r="H333" s="707">
        <f t="shared" ref="H333" si="315">D333/E333</f>
        <v>0</v>
      </c>
    </row>
    <row r="334" spans="1:8">
      <c r="A334" s="724" t="str">
        <f>'IA-SI  TANKER'!B31</f>
        <v>Rui Fu Sheng</v>
      </c>
      <c r="B334" s="706">
        <f>SUM(AE111:AE114)</f>
        <v>0</v>
      </c>
      <c r="C334" s="706">
        <f t="shared" ref="C334:D334" si="316">SUM(AF111:AF114)</f>
        <v>0</v>
      </c>
      <c r="D334" s="706">
        <f t="shared" si="316"/>
        <v>0</v>
      </c>
      <c r="E334" s="706">
        <f>COUNTIF(AC111:AC114,"*")</f>
        <v>1</v>
      </c>
      <c r="F334" s="706">
        <f t="shared" si="309"/>
        <v>0</v>
      </c>
      <c r="G334" s="707">
        <f t="shared" si="310"/>
        <v>0</v>
      </c>
      <c r="H334" s="707">
        <f t="shared" si="311"/>
        <v>0</v>
      </c>
    </row>
    <row r="335" spans="1:8">
      <c r="A335" s="724" t="s">
        <v>154</v>
      </c>
      <c r="B335" s="706">
        <f>SUM(AE115:AE118)</f>
        <v>0</v>
      </c>
      <c r="C335" s="706">
        <f t="shared" ref="C335:D335" si="317">SUM(AF115:AF118)</f>
        <v>0</v>
      </c>
      <c r="D335" s="706">
        <f t="shared" si="317"/>
        <v>0</v>
      </c>
      <c r="E335" s="706">
        <f>COUNTIF(AC115:AC118,"*")</f>
        <v>1</v>
      </c>
      <c r="F335" s="706">
        <f t="shared" ref="F335" si="318">B335/E335</f>
        <v>0</v>
      </c>
      <c r="G335" s="707">
        <f t="shared" ref="G335" si="319">C335/E335</f>
        <v>0</v>
      </c>
      <c r="H335" s="707">
        <f t="shared" ref="H335" si="320">D335/E335</f>
        <v>0</v>
      </c>
    </row>
    <row r="336" spans="1:8">
      <c r="A336" s="722" t="str">
        <f>'IA-SI  TANKER'!B33</f>
        <v>Victoria Bay</v>
      </c>
      <c r="B336" s="706">
        <f>SUM(AE119:AE122)</f>
        <v>0</v>
      </c>
      <c r="C336" s="706">
        <f>SUM(AF119:AF122)</f>
        <v>0</v>
      </c>
      <c r="D336" s="706">
        <f>SUM(AG119:AG122)</f>
        <v>0</v>
      </c>
      <c r="E336" s="706">
        <f>COUNTIF(AC119:AC122,"*")</f>
        <v>1</v>
      </c>
      <c r="F336" s="706">
        <f t="shared" si="276"/>
        <v>0</v>
      </c>
      <c r="G336" s="707">
        <f t="shared" si="277"/>
        <v>0</v>
      </c>
      <c r="H336" s="707">
        <f t="shared" si="278"/>
        <v>0</v>
      </c>
    </row>
    <row r="339" spans="1:8">
      <c r="A339" s="698" t="s">
        <v>223</v>
      </c>
      <c r="B339" s="698"/>
      <c r="C339" s="698"/>
      <c r="D339" s="698"/>
      <c r="E339" s="698"/>
      <c r="F339" s="698"/>
      <c r="G339" s="698"/>
      <c r="H339" s="698"/>
    </row>
    <row r="340" ht="30.75" spans="1:8">
      <c r="A340" s="717"/>
      <c r="B340" s="718" t="s">
        <v>168</v>
      </c>
      <c r="C340" s="719" t="s">
        <v>224</v>
      </c>
      <c r="D340" s="719" t="s">
        <v>225</v>
      </c>
      <c r="E340" s="720" t="s">
        <v>226</v>
      </c>
      <c r="F340" s="721" t="s">
        <v>227</v>
      </c>
      <c r="G340" s="719" t="s">
        <v>228</v>
      </c>
      <c r="H340" s="721" t="s">
        <v>229</v>
      </c>
    </row>
    <row r="341" ht="15.75" spans="1:8">
      <c r="A341" s="722" t="str">
        <f>'IA-SI  TANKER'!B4</f>
        <v>Alpine Pembroke (Sold)</v>
      </c>
      <c r="B341" s="705">
        <f>SUM(K3:K6)</f>
        <v>0</v>
      </c>
      <c r="C341" s="705">
        <f>SUM(L3:L6)</f>
        <v>0</v>
      </c>
      <c r="D341" s="705">
        <f>SUM(M3:M6)</f>
        <v>0</v>
      </c>
      <c r="E341" s="706">
        <v>0</v>
      </c>
      <c r="F341" s="706" t="e">
        <f t="shared" ref="F341:F370" si="321">B341/E341</f>
        <v>#DIV/0!</v>
      </c>
      <c r="G341" s="707" t="e">
        <f t="shared" ref="G341:G370" si="322">C341/E341</f>
        <v>#DIV/0!</v>
      </c>
      <c r="H341" s="707" t="e">
        <f t="shared" ref="H341:H370" si="323">D341/E341</f>
        <v>#DIV/0!</v>
      </c>
    </row>
    <row r="342" spans="1:8">
      <c r="A342" s="722" t="str">
        <f>'IA-SI  TANKER'!B5</f>
        <v>Alpine Pioneer (Sold)</v>
      </c>
      <c r="B342" s="706">
        <f>SUM(K7:K10)</f>
        <v>0</v>
      </c>
      <c r="C342" s="706">
        <f>SUM(L7:L10)</f>
        <v>0</v>
      </c>
      <c r="D342" s="706">
        <f>SUM(M7:M10)</f>
        <v>0</v>
      </c>
      <c r="E342" s="706">
        <v>0</v>
      </c>
      <c r="F342" s="706" t="e">
        <f t="shared" si="321"/>
        <v>#DIV/0!</v>
      </c>
      <c r="G342" s="707" t="e">
        <f t="shared" si="322"/>
        <v>#DIV/0!</v>
      </c>
      <c r="H342" s="707" t="e">
        <f t="shared" si="323"/>
        <v>#DIV/0!</v>
      </c>
    </row>
    <row r="343" spans="1:8">
      <c r="A343" s="722" t="str">
        <f>'IA-SI  TANKER'!B6</f>
        <v>Bagheera</v>
      </c>
      <c r="B343" s="706">
        <f>SUM(K11:K14)</f>
        <v>5</v>
      </c>
      <c r="C343" s="706">
        <f>SUM(L11:L14)</f>
        <v>0</v>
      </c>
      <c r="D343" s="706">
        <f>SUM(M11:M14)</f>
        <v>5</v>
      </c>
      <c r="E343" s="706">
        <f>COUNTIF(I11:I14,"*")</f>
        <v>1</v>
      </c>
      <c r="F343" s="706">
        <f t="shared" ref="F343" si="324">B343/E343</f>
        <v>5</v>
      </c>
      <c r="G343" s="707">
        <f t="shared" ref="G343" si="325">C343/E343</f>
        <v>0</v>
      </c>
      <c r="H343" s="707">
        <f t="shared" ref="H343" si="326">D343/E343</f>
        <v>5</v>
      </c>
    </row>
    <row r="344" spans="1:8">
      <c r="A344" s="722" t="str">
        <f>'IA-SI  TANKER'!B7</f>
        <v>Bantry Bay</v>
      </c>
      <c r="B344" s="706">
        <f>SUM(K15:K18)</f>
        <v>6</v>
      </c>
      <c r="C344" s="706">
        <f>SUM(L15:L18)</f>
        <v>0</v>
      </c>
      <c r="D344" s="706">
        <f>SUM(M15:M18)</f>
        <v>6</v>
      </c>
      <c r="E344" s="706">
        <f>COUNTIF(I15:I18,"*")</f>
        <v>1</v>
      </c>
      <c r="F344" s="706">
        <f t="shared" si="321"/>
        <v>6</v>
      </c>
      <c r="G344" s="707">
        <f t="shared" si="322"/>
        <v>0</v>
      </c>
      <c r="H344" s="707">
        <f t="shared" si="323"/>
        <v>6</v>
      </c>
    </row>
    <row r="345" spans="1:8">
      <c r="A345" s="722" t="str">
        <f>'IA-SI  TANKER'!B8</f>
        <v>Bright Future</v>
      </c>
      <c r="B345" s="706">
        <f>SUM(K19:K22)</f>
        <v>5</v>
      </c>
      <c r="C345" s="706">
        <f>SUM(L19:L22)</f>
        <v>0</v>
      </c>
      <c r="D345" s="706">
        <f>SUM(M19:M22)</f>
        <v>5</v>
      </c>
      <c r="E345" s="706">
        <f>COUNTIF(I19:I22,"*")</f>
        <v>0</v>
      </c>
      <c r="F345" s="706" t="e">
        <f t="shared" si="321"/>
        <v>#DIV/0!</v>
      </c>
      <c r="G345" s="707" t="e">
        <f t="shared" si="322"/>
        <v>#DIV/0!</v>
      </c>
      <c r="H345" s="707" t="e">
        <f t="shared" si="323"/>
        <v>#DIV/0!</v>
      </c>
    </row>
    <row r="346" spans="1:8">
      <c r="A346" s="722" t="str">
        <f>'IA-SI  TANKER'!B9</f>
        <v>Cielo di Houston</v>
      </c>
      <c r="B346" s="706">
        <f>SUM(K23:K26)</f>
        <v>6</v>
      </c>
      <c r="C346" s="706">
        <f>SUM(L23:L26)</f>
        <v>0</v>
      </c>
      <c r="D346" s="706">
        <f>SUM(M23:M26)</f>
        <v>6</v>
      </c>
      <c r="E346" s="706">
        <f>COUNTIF(I23:I26,"*")</f>
        <v>1</v>
      </c>
      <c r="F346" s="706">
        <f t="shared" ref="F346" si="327">B346/E346</f>
        <v>6</v>
      </c>
      <c r="G346" s="707">
        <f t="shared" ref="G346" si="328">C346/E346</f>
        <v>0</v>
      </c>
      <c r="H346" s="707">
        <f t="shared" ref="H346" si="329">D346/E346</f>
        <v>6</v>
      </c>
    </row>
    <row r="347" spans="1:8">
      <c r="A347" s="722" t="str">
        <f>'IA-SI  TANKER'!B10</f>
        <v>Cielo Rosso</v>
      </c>
      <c r="B347" s="706">
        <f>SUM(K27:K30)</f>
        <v>6</v>
      </c>
      <c r="C347" s="706">
        <f>SUM(L27:L30)</f>
        <v>0</v>
      </c>
      <c r="D347" s="706">
        <f>SUM(M27:M30)</f>
        <v>6</v>
      </c>
      <c r="E347" s="706">
        <f>COUNTIF(I27:I30,"*")</f>
        <v>2</v>
      </c>
      <c r="F347" s="706">
        <f t="shared" si="321"/>
        <v>3</v>
      </c>
      <c r="G347" s="707">
        <f t="shared" si="322"/>
        <v>0</v>
      </c>
      <c r="H347" s="707">
        <f t="shared" si="323"/>
        <v>3</v>
      </c>
    </row>
    <row r="348" spans="1:8">
      <c r="A348" s="722" t="str">
        <f>'IA-SI  TANKER'!B11</f>
        <v>Clearocean Maria</v>
      </c>
      <c r="B348" s="706">
        <f>SUM(K31:K34)</f>
        <v>6</v>
      </c>
      <c r="C348" s="706">
        <f>SUM(L31:L34)</f>
        <v>0</v>
      </c>
      <c r="D348" s="706">
        <f>SUM(M31:M34)</f>
        <v>6</v>
      </c>
      <c r="E348" s="706">
        <f>COUNTIF(I31:I34,"*")</f>
        <v>1</v>
      </c>
      <c r="F348" s="706">
        <f t="shared" si="321"/>
        <v>6</v>
      </c>
      <c r="G348" s="707">
        <f t="shared" si="322"/>
        <v>0</v>
      </c>
      <c r="H348" s="707">
        <f t="shared" si="323"/>
        <v>6</v>
      </c>
    </row>
    <row r="349" spans="1:8">
      <c r="A349" s="722" t="str">
        <f>'IA-SI  TANKER'!B12</f>
        <v>Clearocean Mary</v>
      </c>
      <c r="B349" s="706">
        <f>SUM(K35:K38)</f>
        <v>7</v>
      </c>
      <c r="C349" s="706">
        <f>SUM(L35:L38)</f>
        <v>1</v>
      </c>
      <c r="D349" s="706">
        <f>SUM(M35:M38)</f>
        <v>6</v>
      </c>
      <c r="E349" s="706">
        <f>COUNTIF(I35:I38,"*")</f>
        <v>1</v>
      </c>
      <c r="F349" s="706">
        <f t="shared" si="321"/>
        <v>7</v>
      </c>
      <c r="G349" s="707">
        <f t="shared" si="322"/>
        <v>1</v>
      </c>
      <c r="H349" s="707">
        <f t="shared" si="323"/>
        <v>6</v>
      </c>
    </row>
    <row r="350" spans="1:8">
      <c r="A350" s="722" t="str">
        <f>'IA-SI  TANKER'!B13</f>
        <v>Clearocean Mathilde</v>
      </c>
      <c r="B350" s="706">
        <f>SUM(K39:K42)</f>
        <v>3</v>
      </c>
      <c r="C350" s="706">
        <f>SUM(L39:L42)</f>
        <v>0</v>
      </c>
      <c r="D350" s="706">
        <f>SUM(M39:M42)</f>
        <v>3</v>
      </c>
      <c r="E350" s="706">
        <f>COUNTIF(I39:I42,"*")</f>
        <v>1</v>
      </c>
      <c r="F350" s="706">
        <f t="shared" si="321"/>
        <v>3</v>
      </c>
      <c r="G350" s="707">
        <f t="shared" si="322"/>
        <v>0</v>
      </c>
      <c r="H350" s="707">
        <f t="shared" si="323"/>
        <v>3</v>
      </c>
    </row>
    <row r="351" spans="1:8">
      <c r="A351" s="722" t="str">
        <f>'IA-SI  TANKER'!B14</f>
        <v>Clearocean Music</v>
      </c>
      <c r="B351" s="706">
        <f>SUM(K43:K46)</f>
        <v>5</v>
      </c>
      <c r="C351" s="706">
        <f>SUM(L43:L46)</f>
        <v>0</v>
      </c>
      <c r="D351" s="706">
        <f>SUM(M43:M46)</f>
        <v>5</v>
      </c>
      <c r="E351" s="706">
        <f>COUNTIF(I43:I46,"*")</f>
        <v>1</v>
      </c>
      <c r="F351" s="706">
        <f t="shared" si="321"/>
        <v>5</v>
      </c>
      <c r="G351" s="707">
        <f t="shared" si="322"/>
        <v>0</v>
      </c>
      <c r="H351" s="707">
        <f t="shared" si="323"/>
        <v>5</v>
      </c>
    </row>
    <row r="352" spans="1:8">
      <c r="A352" s="722" t="str">
        <f>'IA-SI  TANKER'!B15</f>
        <v>Rui Fu Xing (Glenda Melanie)</v>
      </c>
      <c r="B352" s="706">
        <f>SUM(K47:K50)</f>
        <v>5</v>
      </c>
      <c r="C352" s="706">
        <f>SUM(L47:L50)</f>
        <v>0</v>
      </c>
      <c r="D352" s="706">
        <f>SUM(M47:M50)</f>
        <v>5</v>
      </c>
      <c r="E352" s="706">
        <f>COUNTIF(I47:I50,"*")</f>
        <v>1</v>
      </c>
      <c r="F352" s="706">
        <f t="shared" si="321"/>
        <v>5</v>
      </c>
      <c r="G352" s="707">
        <f t="shared" si="322"/>
        <v>0</v>
      </c>
      <c r="H352" s="707">
        <f t="shared" si="323"/>
        <v>5</v>
      </c>
    </row>
    <row r="353" spans="1:8">
      <c r="A353" s="722" t="str">
        <f>'IA-SI  TANKER'!B16</f>
        <v>Glenda Melissa</v>
      </c>
      <c r="B353" s="706">
        <f>SUM(K51:K54)</f>
        <v>5</v>
      </c>
      <c r="C353" s="706">
        <f>SUM(L51:L54)</f>
        <v>0</v>
      </c>
      <c r="D353" s="706">
        <f>SUM(M51:M54)</f>
        <v>5</v>
      </c>
      <c r="E353" s="706">
        <f>COUNTIF(I51:I54,"*")</f>
        <v>1</v>
      </c>
      <c r="F353" s="706">
        <f t="shared" si="321"/>
        <v>5</v>
      </c>
      <c r="G353" s="707">
        <f t="shared" si="322"/>
        <v>0</v>
      </c>
      <c r="H353" s="707">
        <f t="shared" si="323"/>
        <v>5</v>
      </c>
    </row>
    <row r="354" spans="1:8">
      <c r="A354" s="722" t="str">
        <f>'IA-SI  TANKER'!B17</f>
        <v>Glenda Melody</v>
      </c>
      <c r="B354" s="706">
        <f>SUM(K55:K58)</f>
        <v>0</v>
      </c>
      <c r="C354" s="706">
        <f>SUM(L55:L58)</f>
        <v>0</v>
      </c>
      <c r="D354" s="706">
        <f>SUM(M55:M58)</f>
        <v>0</v>
      </c>
      <c r="E354" s="706">
        <f>COUNTIF(I55:I58,"*")</f>
        <v>0</v>
      </c>
      <c r="F354" s="706" t="e">
        <f t="shared" si="321"/>
        <v>#DIV/0!</v>
      </c>
      <c r="G354" s="707" t="e">
        <f t="shared" si="322"/>
        <v>#DIV/0!</v>
      </c>
      <c r="H354" s="707" t="e">
        <f t="shared" si="323"/>
        <v>#DIV/0!</v>
      </c>
    </row>
    <row r="355" spans="1:8">
      <c r="A355" s="722" t="str">
        <f>'IA-SI  TANKER'!B18</f>
        <v>Glenda Meryl</v>
      </c>
      <c r="B355" s="706">
        <f>SUM(K59:K62)</f>
        <v>9</v>
      </c>
      <c r="C355" s="706">
        <f>SUM(L59:L62)</f>
        <v>0</v>
      </c>
      <c r="D355" s="706">
        <f>SUM(M59:M62)</f>
        <v>9</v>
      </c>
      <c r="E355" s="706">
        <f>COUNTIF(I59:I62,"*")</f>
        <v>1</v>
      </c>
      <c r="F355" s="706">
        <f t="shared" si="321"/>
        <v>9</v>
      </c>
      <c r="G355" s="707">
        <f t="shared" si="322"/>
        <v>0</v>
      </c>
      <c r="H355" s="707">
        <f t="shared" si="323"/>
        <v>9</v>
      </c>
    </row>
    <row r="356" spans="1:8">
      <c r="A356" s="722" t="str">
        <f>'IA-SI  TANKER'!B19</f>
        <v>Herolds Bay</v>
      </c>
      <c r="B356" s="706">
        <f>SUM(K63:K66)</f>
        <v>8</v>
      </c>
      <c r="C356" s="706">
        <f>SUM(L63:L66)</f>
        <v>0</v>
      </c>
      <c r="D356" s="706">
        <f>SUM(M63:M66)</f>
        <v>8</v>
      </c>
      <c r="E356" s="706">
        <f>COUNTIF(I63:I66,"*")</f>
        <v>1</v>
      </c>
      <c r="F356" s="706">
        <f t="shared" ref="F356" si="330">B356/E356</f>
        <v>8</v>
      </c>
      <c r="G356" s="707">
        <f t="shared" ref="G356" si="331">C356/E356</f>
        <v>0</v>
      </c>
      <c r="H356" s="707">
        <f t="shared" ref="H356" si="332">D356/E356</f>
        <v>8</v>
      </c>
    </row>
    <row r="357" spans="1:8">
      <c r="A357" s="722" t="str">
        <f>'IA-SI  TANKER'!B20</f>
        <v>High Explorer</v>
      </c>
      <c r="B357" s="706">
        <f>SUM(K67:K70)</f>
        <v>7</v>
      </c>
      <c r="C357" s="706">
        <f>SUM(L67:L70)</f>
        <v>1</v>
      </c>
      <c r="D357" s="706">
        <f>SUM(M67:M70)</f>
        <v>6</v>
      </c>
      <c r="E357" s="706">
        <f>COUNTIF(I67:I70,"*")</f>
        <v>1</v>
      </c>
      <c r="F357" s="706">
        <f t="shared" ref="F357" si="333">B357/E357</f>
        <v>7</v>
      </c>
      <c r="G357" s="707">
        <f t="shared" ref="G357" si="334">C357/E357</f>
        <v>1</v>
      </c>
      <c r="H357" s="707">
        <f t="shared" ref="H357" si="335">D357/E357</f>
        <v>6</v>
      </c>
    </row>
    <row r="358" spans="1:8">
      <c r="A358" s="723" t="str">
        <f>'IA-SI  TANKER'!B21</f>
        <v>High Mariner</v>
      </c>
      <c r="B358" s="706">
        <f>SUM(K71:K74)</f>
        <v>0</v>
      </c>
      <c r="C358" s="706">
        <f>SUM(L71:L74)</f>
        <v>0</v>
      </c>
      <c r="D358" s="706">
        <f>SUM(M71:M74)</f>
        <v>0</v>
      </c>
      <c r="E358" s="706">
        <f>COUNTIF(I71:I74,"*")</f>
        <v>0</v>
      </c>
      <c r="F358" s="706" t="e">
        <f t="shared" ref="F358" si="336">B358/E358</f>
        <v>#DIV/0!</v>
      </c>
      <c r="G358" s="707" t="e">
        <f t="shared" ref="G358" si="337">C358/E358</f>
        <v>#DIV/0!</v>
      </c>
      <c r="H358" s="707" t="e">
        <f t="shared" ref="H358" si="338">D358/E358</f>
        <v>#DIV/0!</v>
      </c>
    </row>
    <row r="359" spans="1:8">
      <c r="A359" s="723" t="str">
        <f>'IA-SI  TANKER'!B22</f>
        <v>High Transporter</v>
      </c>
      <c r="B359" s="706">
        <f>SUM(K75:K78)</f>
        <v>6</v>
      </c>
      <c r="C359" s="706">
        <f>SUM(L75:L78)</f>
        <v>0</v>
      </c>
      <c r="D359" s="706">
        <f>SUM(M75:M78)</f>
        <v>6</v>
      </c>
      <c r="E359" s="706">
        <f>COUNTIF(I75:I78,"*")</f>
        <v>1</v>
      </c>
      <c r="F359" s="706">
        <f t="shared" ref="F359:F360" si="339">B359/E359</f>
        <v>6</v>
      </c>
      <c r="G359" s="707">
        <f t="shared" ref="G359:G360" si="340">C359/E359</f>
        <v>0</v>
      </c>
      <c r="H359" s="707">
        <f t="shared" ref="H359:H360" si="341">D359/E359</f>
        <v>6</v>
      </c>
    </row>
    <row r="360" spans="1:8">
      <c r="A360" s="704" t="str">
        <f>'IA-SI  TANKER'!B$23</f>
        <v>Kalk Bay</v>
      </c>
      <c r="B360" s="706">
        <f>SUM(K79:K82)</f>
        <v>5</v>
      </c>
      <c r="C360" s="706">
        <f t="shared" ref="C360:D360" si="342">SUM(L79:L82)</f>
        <v>0</v>
      </c>
      <c r="D360" s="706">
        <f t="shared" si="342"/>
        <v>5</v>
      </c>
      <c r="E360" s="706">
        <f>COUNTIF(I79:I82,"*")</f>
        <v>1</v>
      </c>
      <c r="F360" s="706">
        <f t="shared" si="339"/>
        <v>5</v>
      </c>
      <c r="G360" s="707">
        <f t="shared" si="340"/>
        <v>0</v>
      </c>
      <c r="H360" s="707">
        <f t="shared" si="341"/>
        <v>5</v>
      </c>
    </row>
    <row r="361" spans="1:8">
      <c r="A361" s="704" t="str">
        <f>'IA-SI  TANKER'!B$24</f>
        <v>Mossel Bay</v>
      </c>
      <c r="B361" s="706">
        <f>SUM(K83:K86)</f>
        <v>6</v>
      </c>
      <c r="C361" s="706">
        <f t="shared" ref="C361:D361" si="343">SUM(L83:L86)</f>
        <v>0</v>
      </c>
      <c r="D361" s="706">
        <f t="shared" si="343"/>
        <v>6</v>
      </c>
      <c r="E361" s="706">
        <f>COUNTIF(I83:I86,"*")</f>
        <v>1</v>
      </c>
      <c r="F361" s="706">
        <f t="shared" ref="F361" si="344">B361/E361</f>
        <v>6</v>
      </c>
      <c r="G361" s="707">
        <f t="shared" ref="G361" si="345">C361/E361</f>
        <v>0</v>
      </c>
      <c r="H361" s="707">
        <f t="shared" ref="H361" si="346">D361/E361</f>
        <v>6</v>
      </c>
    </row>
    <row r="362" spans="1:8">
      <c r="A362" s="723" t="str">
        <f>'IA-SI  TANKER'!B25</f>
        <v>Philotimos</v>
      </c>
      <c r="B362" s="706">
        <f>SUM(K87:K90)</f>
        <v>6</v>
      </c>
      <c r="C362" s="706">
        <f>SUM(L87:L90)</f>
        <v>1</v>
      </c>
      <c r="D362" s="706">
        <f>SUM(M87:M90)</f>
        <v>5</v>
      </c>
      <c r="E362" s="706">
        <f>COUNTIF(I87:I90,"*")</f>
        <v>1</v>
      </c>
      <c r="F362" s="706">
        <f t="shared" ref="F362" si="347">B362/E362</f>
        <v>6</v>
      </c>
      <c r="G362" s="707">
        <f t="shared" ref="G362" si="348">C362/E362</f>
        <v>1</v>
      </c>
      <c r="H362" s="707">
        <f t="shared" ref="H362" si="349">D362/E362</f>
        <v>5</v>
      </c>
    </row>
    <row r="363" spans="1:8">
      <c r="A363" s="722" t="str">
        <f>'IA-SI  TANKER'!B26</f>
        <v>Philoxenia</v>
      </c>
      <c r="B363" s="706">
        <f>SUM(K91:K94)</f>
        <v>8</v>
      </c>
      <c r="C363" s="706">
        <f t="shared" ref="C363:D363" si="350">SUM(L91:L94)</f>
        <v>1</v>
      </c>
      <c r="D363" s="706">
        <f t="shared" si="350"/>
        <v>7</v>
      </c>
      <c r="E363" s="706">
        <f>COUNTIF(I91:I94,"*")</f>
        <v>2</v>
      </c>
      <c r="F363" s="706">
        <f t="shared" si="321"/>
        <v>4</v>
      </c>
      <c r="G363" s="707">
        <f t="shared" si="322"/>
        <v>0.5</v>
      </c>
      <c r="H363" s="707">
        <f t="shared" si="323"/>
        <v>3.5</v>
      </c>
    </row>
    <row r="364" spans="1:8">
      <c r="A364" s="722" t="str">
        <f>'IA-SI  TANKER'!B27</f>
        <v>PNX Conqueror</v>
      </c>
      <c r="B364" s="706">
        <f>SUM(K95:K98)</f>
        <v>5</v>
      </c>
      <c r="C364" s="706">
        <f t="shared" ref="C364:D364" si="351">SUM(L95:L98)</f>
        <v>0</v>
      </c>
      <c r="D364" s="706">
        <f t="shared" si="351"/>
        <v>5</v>
      </c>
      <c r="E364" s="706">
        <f>COUNTIF(I95:I98,"*")</f>
        <v>1</v>
      </c>
      <c r="F364" s="706">
        <f t="shared" ref="F364" si="352">B364/E364</f>
        <v>5</v>
      </c>
      <c r="G364" s="707">
        <f t="shared" ref="G364" si="353">C364/E364</f>
        <v>0</v>
      </c>
      <c r="H364" s="707">
        <f t="shared" ref="H364" si="354">D364/E364</f>
        <v>5</v>
      </c>
    </row>
    <row r="365" spans="1:8">
      <c r="A365" s="722" t="str">
        <f>'IA-SI  TANKER'!B28</f>
        <v>PS Tokyo (Gone)</v>
      </c>
      <c r="B365" s="706">
        <f>SUM(K99:K102)</f>
        <v>3</v>
      </c>
      <c r="C365" s="706">
        <f t="shared" ref="C365:D365" si="355">SUM(L99:L102)</f>
        <v>0</v>
      </c>
      <c r="D365" s="706">
        <f t="shared" si="355"/>
        <v>3</v>
      </c>
      <c r="E365" s="706">
        <f>COUNTIF(I99:I102,"*")</f>
        <v>1</v>
      </c>
      <c r="F365" s="706">
        <f t="shared" si="321"/>
        <v>3</v>
      </c>
      <c r="G365" s="707">
        <f t="shared" si="322"/>
        <v>0</v>
      </c>
      <c r="H365" s="707">
        <f t="shared" si="323"/>
        <v>3</v>
      </c>
    </row>
    <row r="366" spans="1:8">
      <c r="A366" s="722" t="str">
        <f>'IA-SI  TANKER'!B29</f>
        <v>PS Vancouver</v>
      </c>
      <c r="B366" s="706">
        <f>SUM(K103:K106)</f>
        <v>6</v>
      </c>
      <c r="C366" s="706">
        <f t="shared" ref="C366:D366" si="356">SUM(L103:L106)</f>
        <v>0</v>
      </c>
      <c r="D366" s="706">
        <f t="shared" si="356"/>
        <v>6</v>
      </c>
      <c r="E366" s="706">
        <f>COUNTIF(I103:I106,"*")</f>
        <v>1</v>
      </c>
      <c r="F366" s="706">
        <f t="shared" ref="F366:F368" si="357">B366/E366</f>
        <v>6</v>
      </c>
      <c r="G366" s="707">
        <f t="shared" ref="G366:G368" si="358">C366/E366</f>
        <v>0</v>
      </c>
      <c r="H366" s="707">
        <f t="shared" ref="H366:H368" si="359">D366/E366</f>
        <v>6</v>
      </c>
    </row>
    <row r="367" spans="1:8">
      <c r="A367" s="722" t="str">
        <f>'IA-SI  TANKER'!B30</f>
        <v>Table Bay</v>
      </c>
      <c r="B367" s="706">
        <f>SUM(K107:K110)</f>
        <v>5</v>
      </c>
      <c r="C367" s="706">
        <f t="shared" ref="C367:D367" si="360">SUM(L107:L110)</f>
        <v>0</v>
      </c>
      <c r="D367" s="706">
        <f t="shared" si="360"/>
        <v>5</v>
      </c>
      <c r="E367" s="706">
        <f>COUNTIF(I107:I110,"*")</f>
        <v>1</v>
      </c>
      <c r="F367" s="706">
        <f t="shared" ref="F367" si="361">B367/E367</f>
        <v>5</v>
      </c>
      <c r="G367" s="707">
        <f t="shared" ref="G367" si="362">C367/E367</f>
        <v>0</v>
      </c>
      <c r="H367" s="707">
        <f t="shared" ref="H367" si="363">D367/E367</f>
        <v>5</v>
      </c>
    </row>
    <row r="368" spans="1:8">
      <c r="A368" s="722" t="str">
        <f>'IA-SI  TANKER'!B31</f>
        <v>Rui Fu Sheng</v>
      </c>
      <c r="B368" s="706">
        <f>SUM(K111:K114)</f>
        <v>0</v>
      </c>
      <c r="C368" s="706">
        <f t="shared" ref="C368:D368" si="364">SUM(L111:L114)</f>
        <v>0</v>
      </c>
      <c r="D368" s="706">
        <f t="shared" si="364"/>
        <v>0</v>
      </c>
      <c r="E368" s="706">
        <f>COUNTIF(I111:I114,"*")</f>
        <v>0</v>
      </c>
      <c r="F368" s="706" t="e">
        <f t="shared" si="357"/>
        <v>#DIV/0!</v>
      </c>
      <c r="G368" s="707" t="e">
        <f t="shared" si="358"/>
        <v>#DIV/0!</v>
      </c>
      <c r="H368" s="707" t="e">
        <f t="shared" si="359"/>
        <v>#DIV/0!</v>
      </c>
    </row>
    <row r="369" spans="1:8">
      <c r="A369" s="722" t="str">
        <f>'IA-SI  TANKER'!B32</f>
        <v>Vialli</v>
      </c>
      <c r="B369" s="706">
        <f>SUM(K115:K118)</f>
        <v>2</v>
      </c>
      <c r="C369" s="706">
        <f t="shared" ref="C369:D369" si="365">SUM(L115:L118)</f>
        <v>0</v>
      </c>
      <c r="D369" s="706">
        <f t="shared" si="365"/>
        <v>2</v>
      </c>
      <c r="E369" s="706">
        <f>COUNTIF(I115:I118,"*")</f>
        <v>1</v>
      </c>
      <c r="F369" s="706">
        <f t="shared" ref="F369" si="366">B369/E369</f>
        <v>2</v>
      </c>
      <c r="G369" s="707">
        <f t="shared" ref="G369" si="367">C369/E369</f>
        <v>0</v>
      </c>
      <c r="H369" s="707">
        <f t="shared" ref="H369" si="368">D369/E369</f>
        <v>2</v>
      </c>
    </row>
    <row r="370" spans="1:8">
      <c r="A370" s="722" t="str">
        <f>'IA-SI  TANKER'!B33</f>
        <v>Victoria Bay</v>
      </c>
      <c r="B370" s="706">
        <f>SUM(K119:K122)</f>
        <v>4</v>
      </c>
      <c r="C370" s="706">
        <f>SUM(L119:L122)</f>
        <v>0</v>
      </c>
      <c r="D370" s="706">
        <f>SUM(M119:M122)</f>
        <v>4</v>
      </c>
      <c r="E370" s="706">
        <f>COUNTIF(I119:I122,"*")</f>
        <v>1</v>
      </c>
      <c r="F370" s="706">
        <f t="shared" si="321"/>
        <v>4</v>
      </c>
      <c r="G370" s="707">
        <f t="shared" si="322"/>
        <v>0</v>
      </c>
      <c r="H370" s="707">
        <f t="shared" si="323"/>
        <v>4</v>
      </c>
    </row>
    <row r="373" spans="1:8">
      <c r="A373" s="698" t="s">
        <v>217</v>
      </c>
      <c r="B373" s="698"/>
      <c r="C373" s="698"/>
      <c r="D373" s="698"/>
      <c r="E373" s="698"/>
      <c r="F373" s="698"/>
      <c r="G373" s="698"/>
      <c r="H373" s="698"/>
    </row>
    <row r="374" ht="30.75" spans="1:8">
      <c r="A374" s="726"/>
      <c r="B374" s="727" t="s">
        <v>168</v>
      </c>
      <c r="C374" s="728" t="s">
        <v>224</v>
      </c>
      <c r="D374" s="728" t="s">
        <v>225</v>
      </c>
      <c r="E374" s="729" t="s">
        <v>226</v>
      </c>
      <c r="F374" s="730" t="s">
        <v>227</v>
      </c>
      <c r="G374" s="728" t="s">
        <v>228</v>
      </c>
      <c r="H374" s="730" t="s">
        <v>229</v>
      </c>
    </row>
    <row r="375" spans="1:8">
      <c r="A375" s="731" t="str">
        <f>'IA-SI  TANKER'!B4</f>
        <v>Alpine Pembroke (Sold)</v>
      </c>
      <c r="B375" s="732">
        <f>SUM(AJ3:AJ6)</f>
        <v>0</v>
      </c>
      <c r="C375" s="732">
        <f>SUM(AK3:AK6)</f>
        <v>0</v>
      </c>
      <c r="D375" s="732">
        <f>SUM(AL3:AL6)</f>
        <v>0</v>
      </c>
      <c r="E375" s="733">
        <f>COUNTIF(AH3:AH6,"*")</f>
        <v>0</v>
      </c>
      <c r="F375" s="733" t="e">
        <f t="shared" ref="F375:F404" si="369">B375/E375</f>
        <v>#DIV/0!</v>
      </c>
      <c r="G375" s="734" t="e">
        <f t="shared" ref="G375:G404" si="370">C375/E375</f>
        <v>#DIV/0!</v>
      </c>
      <c r="H375" s="735" t="e">
        <f t="shared" ref="H375:H404" si="371">D375/E375</f>
        <v>#DIV/0!</v>
      </c>
    </row>
    <row r="376" spans="1:8">
      <c r="A376" s="736" t="str">
        <f>'IA-SI  TANKER'!B5</f>
        <v>Alpine Pioneer (Sold)</v>
      </c>
      <c r="B376" s="706">
        <f>SUM(AJ7:AJ10)</f>
        <v>0</v>
      </c>
      <c r="C376" s="706">
        <f>SUM(AK7:AK10)</f>
        <v>0</v>
      </c>
      <c r="D376" s="706">
        <f>SUM(AL7:AL10)</f>
        <v>0</v>
      </c>
      <c r="E376" s="706">
        <f>COUNTIF(AH7:AH10,"*")</f>
        <v>0</v>
      </c>
      <c r="F376" s="706" t="e">
        <f t="shared" si="369"/>
        <v>#DIV/0!</v>
      </c>
      <c r="G376" s="707" t="e">
        <f t="shared" si="370"/>
        <v>#DIV/0!</v>
      </c>
      <c r="H376" s="737" t="e">
        <f t="shared" si="371"/>
        <v>#DIV/0!</v>
      </c>
    </row>
    <row r="377" spans="1:8">
      <c r="A377" s="736" t="str">
        <f>'IA-SI  TANKER'!B6</f>
        <v>Bagheera</v>
      </c>
      <c r="B377" s="706">
        <f>SUM(AJ11:AJ14)</f>
        <v>2</v>
      </c>
      <c r="C377" s="706">
        <f>SUM(AK11:AK14)</f>
        <v>0</v>
      </c>
      <c r="D377" s="706">
        <f>SUM(AL11:AL14)</f>
        <v>2</v>
      </c>
      <c r="E377" s="706">
        <f>COUNTIF(AH11:AH14,"*")</f>
        <v>1</v>
      </c>
      <c r="F377" s="706">
        <f t="shared" ref="F377" si="372">B377/E377</f>
        <v>2</v>
      </c>
      <c r="G377" s="707">
        <f t="shared" ref="G377" si="373">C377/E377</f>
        <v>0</v>
      </c>
      <c r="H377" s="737">
        <f t="shared" ref="H377" si="374">D377/E377</f>
        <v>2</v>
      </c>
    </row>
    <row r="378" spans="1:8">
      <c r="A378" s="736" t="str">
        <f>'IA-SI  TANKER'!B7</f>
        <v>Bantry Bay</v>
      </c>
      <c r="B378" s="706">
        <f>SUM(AJ15:AJ18)</f>
        <v>3</v>
      </c>
      <c r="C378" s="706">
        <f>SUM(AK15:AK18)</f>
        <v>0</v>
      </c>
      <c r="D378" s="706">
        <f>SUM(AL15:AL18)</f>
        <v>3</v>
      </c>
      <c r="E378" s="706">
        <f>COUNTIF(AH15:AH18,"*")</f>
        <v>1</v>
      </c>
      <c r="F378" s="706">
        <f t="shared" si="369"/>
        <v>3</v>
      </c>
      <c r="G378" s="707">
        <f t="shared" si="370"/>
        <v>0</v>
      </c>
      <c r="H378" s="737">
        <f t="shared" si="371"/>
        <v>3</v>
      </c>
    </row>
    <row r="379" spans="1:8">
      <c r="A379" s="736" t="str">
        <f>'IA-SI  TANKER'!B8</f>
        <v>Bright Future</v>
      </c>
      <c r="B379" s="706">
        <f>SUM(AJ19:AJ22)</f>
        <v>0</v>
      </c>
      <c r="C379" s="706">
        <f>SUM(AK19:AK22)</f>
        <v>0</v>
      </c>
      <c r="D379" s="706">
        <f>SUM(AL19:AL22)</f>
        <v>0</v>
      </c>
      <c r="E379" s="706">
        <f>COUNTIF(AH19:AH22,"*")</f>
        <v>0</v>
      </c>
      <c r="F379" s="706" t="e">
        <f t="shared" si="369"/>
        <v>#DIV/0!</v>
      </c>
      <c r="G379" s="707" t="e">
        <f t="shared" si="370"/>
        <v>#DIV/0!</v>
      </c>
      <c r="H379" s="737" t="e">
        <f t="shared" si="371"/>
        <v>#DIV/0!</v>
      </c>
    </row>
    <row r="380" spans="1:8">
      <c r="A380" s="736" t="str">
        <f>'IA-SI  TANKER'!B9</f>
        <v>Cielo di Houston</v>
      </c>
      <c r="B380" s="706">
        <f>SUM(AJ23:AJ26)</f>
        <v>0</v>
      </c>
      <c r="C380" s="706">
        <f>SUM(AK23:AK26)</f>
        <v>0</v>
      </c>
      <c r="D380" s="706">
        <f>SUM(AL23:AL26)</f>
        <v>0</v>
      </c>
      <c r="E380" s="706">
        <f>COUNTIF(AH23:AH26,"*")</f>
        <v>1</v>
      </c>
      <c r="F380" s="706">
        <f t="shared" si="369"/>
        <v>0</v>
      </c>
      <c r="G380" s="707">
        <f t="shared" si="370"/>
        <v>0</v>
      </c>
      <c r="H380" s="737">
        <f t="shared" si="371"/>
        <v>0</v>
      </c>
    </row>
    <row r="381" spans="1:8">
      <c r="A381" s="736" t="str">
        <f>'IA-SI  TANKER'!B10</f>
        <v>Cielo Rosso</v>
      </c>
      <c r="B381" s="706">
        <f>SUM(AJ27:AJ30)</f>
        <v>2</v>
      </c>
      <c r="C381" s="706">
        <f>SUM(AK27:AK30)</f>
        <v>0</v>
      </c>
      <c r="D381" s="706">
        <f>SUM(AL27:AL30)</f>
        <v>2</v>
      </c>
      <c r="E381" s="706">
        <f>COUNTIF(AH27:AH30,"*")</f>
        <v>1</v>
      </c>
      <c r="F381" s="706">
        <f t="shared" si="369"/>
        <v>2</v>
      </c>
      <c r="G381" s="707">
        <f t="shared" si="370"/>
        <v>0</v>
      </c>
      <c r="H381" s="737">
        <f t="shared" si="371"/>
        <v>2</v>
      </c>
    </row>
    <row r="382" spans="1:8">
      <c r="A382" s="736" t="str">
        <f>'IA-SI  TANKER'!B11</f>
        <v>Clearocean Maria</v>
      </c>
      <c r="B382" s="706">
        <f>SUM(AJ31:AJ34)</f>
        <v>0</v>
      </c>
      <c r="C382" s="706">
        <f>SUM(AK31:AK34)</f>
        <v>0</v>
      </c>
      <c r="D382" s="706">
        <f>SUM(AL31:AL34)</f>
        <v>0</v>
      </c>
      <c r="E382" s="706">
        <f>COUNTIF(AH31:AH34,"*")</f>
        <v>0</v>
      </c>
      <c r="F382" s="706" t="e">
        <f t="shared" si="369"/>
        <v>#DIV/0!</v>
      </c>
      <c r="G382" s="707" t="e">
        <f t="shared" si="370"/>
        <v>#DIV/0!</v>
      </c>
      <c r="H382" s="737" t="e">
        <f t="shared" si="371"/>
        <v>#DIV/0!</v>
      </c>
    </row>
    <row r="383" spans="1:8">
      <c r="A383" s="736" t="str">
        <f>'IA-SI  TANKER'!B12</f>
        <v>Clearocean Mary</v>
      </c>
      <c r="B383" s="706">
        <f>SUM(AJ35:AJ38)</f>
        <v>4</v>
      </c>
      <c r="C383" s="706">
        <f>SUM(AK35:AK38)</f>
        <v>0</v>
      </c>
      <c r="D383" s="706">
        <f>SUM(AL35:AL38)</f>
        <v>4</v>
      </c>
      <c r="E383" s="706">
        <f>COUNTIF(AH35:AH38,"*")</f>
        <v>1</v>
      </c>
      <c r="F383" s="706">
        <f t="shared" si="369"/>
        <v>4</v>
      </c>
      <c r="G383" s="707">
        <f t="shared" si="370"/>
        <v>0</v>
      </c>
      <c r="H383" s="737">
        <f t="shared" si="371"/>
        <v>4</v>
      </c>
    </row>
    <row r="384" spans="1:8">
      <c r="A384" s="736" t="str">
        <f>'IA-SI  TANKER'!B13</f>
        <v>Clearocean Mathilde</v>
      </c>
      <c r="B384" s="706">
        <f>SUM(AJ39:AJ42)</f>
        <v>2</v>
      </c>
      <c r="C384" s="706">
        <f>SUM(AK39:AK42)</f>
        <v>0</v>
      </c>
      <c r="D384" s="706">
        <f>SUM(AL39:AL42)</f>
        <v>2</v>
      </c>
      <c r="E384" s="706">
        <f>COUNTIF(AH39:AH42,"*")</f>
        <v>1</v>
      </c>
      <c r="F384" s="706">
        <f t="shared" si="369"/>
        <v>2</v>
      </c>
      <c r="G384" s="707">
        <f t="shared" si="370"/>
        <v>0</v>
      </c>
      <c r="H384" s="737">
        <f t="shared" si="371"/>
        <v>2</v>
      </c>
    </row>
    <row r="385" spans="1:8">
      <c r="A385" s="736" t="str">
        <f>'IA-SI  TANKER'!B14</f>
        <v>Clearocean Music</v>
      </c>
      <c r="B385" s="706">
        <f>SUM(AJ43:AJ46)</f>
        <v>1</v>
      </c>
      <c r="C385" s="706">
        <f>SUM(AK43:AK46)</f>
        <v>0</v>
      </c>
      <c r="D385" s="706">
        <f>SUM(AL43:AL46)</f>
        <v>1</v>
      </c>
      <c r="E385" s="706">
        <f>COUNTIF(AH43:AH46,"*")</f>
        <v>1</v>
      </c>
      <c r="F385" s="706">
        <f t="shared" si="369"/>
        <v>1</v>
      </c>
      <c r="G385" s="707">
        <f t="shared" si="370"/>
        <v>0</v>
      </c>
      <c r="H385" s="737">
        <f t="shared" si="371"/>
        <v>1</v>
      </c>
    </row>
    <row r="386" spans="1:8">
      <c r="A386" s="736" t="str">
        <f>'IA-SI  TANKER'!B15</f>
        <v>Rui Fu Xing (Glenda Melanie)</v>
      </c>
      <c r="B386" s="706">
        <f>SUM(AJ47:AJ50)</f>
        <v>2</v>
      </c>
      <c r="C386" s="706">
        <f>SUM(AK47:AK50)</f>
        <v>0</v>
      </c>
      <c r="D386" s="706">
        <f>SUM(AL47:AL50)</f>
        <v>2</v>
      </c>
      <c r="E386" s="706">
        <f>COUNTIF(AH47:AH50,"*")</f>
        <v>1</v>
      </c>
      <c r="F386" s="706">
        <f t="shared" si="369"/>
        <v>2</v>
      </c>
      <c r="G386" s="707">
        <f t="shared" si="370"/>
        <v>0</v>
      </c>
      <c r="H386" s="737">
        <f t="shared" si="371"/>
        <v>2</v>
      </c>
    </row>
    <row r="387" spans="1:8">
      <c r="A387" s="736" t="str">
        <f>'IA-SI  TANKER'!B16</f>
        <v>Glenda Melissa</v>
      </c>
      <c r="B387" s="706">
        <f>SUM(AJ51:AJ54)</f>
        <v>0</v>
      </c>
      <c r="C387" s="706">
        <f>SUM(AK51:AK54)</f>
        <v>0</v>
      </c>
      <c r="D387" s="706">
        <f>SUM(AL51:AL54)</f>
        <v>0</v>
      </c>
      <c r="E387" s="706">
        <f>COUNTIF(AH51:AH54,"*")</f>
        <v>0</v>
      </c>
      <c r="F387" s="706" t="e">
        <f t="shared" si="369"/>
        <v>#DIV/0!</v>
      </c>
      <c r="G387" s="707" t="e">
        <f t="shared" si="370"/>
        <v>#DIV/0!</v>
      </c>
      <c r="H387" s="737" t="e">
        <f t="shared" si="371"/>
        <v>#DIV/0!</v>
      </c>
    </row>
    <row r="388" spans="1:8">
      <c r="A388" s="736" t="str">
        <f>'IA-SI  TANKER'!B17</f>
        <v>Glenda Melody</v>
      </c>
      <c r="B388" s="706">
        <f>SUM(AJ55:AJ58)</f>
        <v>0</v>
      </c>
      <c r="C388" s="706">
        <f>SUM(AK55:AK58)</f>
        <v>0</v>
      </c>
      <c r="D388" s="706">
        <f>SUM(AL55:AL58)</f>
        <v>0</v>
      </c>
      <c r="E388" s="706">
        <f>COUNTIF(AH55:AH58,"*")</f>
        <v>0</v>
      </c>
      <c r="F388" s="706" t="e">
        <f t="shared" si="369"/>
        <v>#DIV/0!</v>
      </c>
      <c r="G388" s="707" t="e">
        <f t="shared" si="370"/>
        <v>#DIV/0!</v>
      </c>
      <c r="H388" s="737" t="e">
        <f t="shared" si="371"/>
        <v>#DIV/0!</v>
      </c>
    </row>
    <row r="389" spans="1:8">
      <c r="A389" s="736" t="str">
        <f>'IA-SI  TANKER'!B18</f>
        <v>Glenda Meryl</v>
      </c>
      <c r="B389" s="706">
        <f>SUM(AJ59:AJ62)</f>
        <v>5</v>
      </c>
      <c r="C389" s="706">
        <f>SUM(AK59:AK62)</f>
        <v>0</v>
      </c>
      <c r="D389" s="706">
        <f>SUM(AL59:AL62)</f>
        <v>5</v>
      </c>
      <c r="E389" s="706">
        <f>COUNTIF(AH59:AH62,"*")</f>
        <v>2</v>
      </c>
      <c r="F389" s="706">
        <f t="shared" si="369"/>
        <v>2.5</v>
      </c>
      <c r="G389" s="707">
        <f t="shared" si="370"/>
        <v>0</v>
      </c>
      <c r="H389" s="737">
        <f t="shared" si="371"/>
        <v>2.5</v>
      </c>
    </row>
    <row r="390" spans="1:8">
      <c r="A390" s="736" t="str">
        <f>'IA-SI  TANKER'!B19</f>
        <v>Herolds Bay</v>
      </c>
      <c r="B390" s="706">
        <f>SUM(AJ63:AJ66)</f>
        <v>2</v>
      </c>
      <c r="C390" s="706">
        <f>SUM(AK63:AK66)</f>
        <v>0</v>
      </c>
      <c r="D390" s="706">
        <f>SUM(AL63:AL66)</f>
        <v>2</v>
      </c>
      <c r="E390" s="706">
        <f>COUNTIF(AH63:AH66,"*")</f>
        <v>1</v>
      </c>
      <c r="F390" s="706">
        <f t="shared" ref="F390" si="375">B390/E390</f>
        <v>2</v>
      </c>
      <c r="G390" s="707">
        <f t="shared" ref="G390" si="376">C390/E390</f>
        <v>0</v>
      </c>
      <c r="H390" s="737">
        <f t="shared" ref="H390" si="377">D390/E390</f>
        <v>2</v>
      </c>
    </row>
    <row r="391" spans="1:8">
      <c r="A391" s="736" t="str">
        <f>'IA-SI  TANKER'!B20</f>
        <v>High Explorer</v>
      </c>
      <c r="B391" s="706">
        <f>SUM(AJ67:AJ70)</f>
        <v>3</v>
      </c>
      <c r="C391" s="706">
        <f>SUM(AK67:AK70)</f>
        <v>1</v>
      </c>
      <c r="D391" s="706">
        <f>SUM(AL67:AL70)</f>
        <v>2</v>
      </c>
      <c r="E391" s="706">
        <f>COUNTIF(AH67:AH70,"*")</f>
        <v>1</v>
      </c>
      <c r="F391" s="706">
        <f t="shared" ref="F391" si="378">B391/E391</f>
        <v>3</v>
      </c>
      <c r="G391" s="707">
        <f t="shared" ref="G391" si="379">C391/E391</f>
        <v>1</v>
      </c>
      <c r="H391" s="737">
        <f t="shared" ref="H391" si="380">D391/E391</f>
        <v>2</v>
      </c>
    </row>
    <row r="392" spans="1:8">
      <c r="A392" s="736" t="str">
        <f>'IA-SI  TANKER'!B21</f>
        <v>High Mariner</v>
      </c>
      <c r="B392" s="706">
        <f>SUM(AJ71:AJ74)</f>
        <v>0</v>
      </c>
      <c r="C392" s="706">
        <f>SUM(AK71:AK74)</f>
        <v>0</v>
      </c>
      <c r="D392" s="706">
        <f>SUM(AL71:AL74)</f>
        <v>0</v>
      </c>
      <c r="E392" s="706">
        <f>COUNTIF(AH71:AH74,"*")</f>
        <v>0</v>
      </c>
      <c r="F392" s="706" t="e">
        <f t="shared" ref="F392" si="381">B392/E392</f>
        <v>#DIV/0!</v>
      </c>
      <c r="G392" s="707" t="e">
        <f t="shared" ref="G392" si="382">C392/E392</f>
        <v>#DIV/0!</v>
      </c>
      <c r="H392" s="737" t="e">
        <f t="shared" ref="H392" si="383">D392/E392</f>
        <v>#DIV/0!</v>
      </c>
    </row>
    <row r="393" spans="1:8">
      <c r="A393" s="736" t="str">
        <f>'IA-SI  TANKER'!B22</f>
        <v>High Transporter</v>
      </c>
      <c r="B393" s="706">
        <f>SUM(AJ75:AJ78)</f>
        <v>0</v>
      </c>
      <c r="C393" s="706">
        <f>SUM(AK75:AK78)</f>
        <v>0</v>
      </c>
      <c r="D393" s="706">
        <f>SUM(AL75:AL78)</f>
        <v>0</v>
      </c>
      <c r="E393" s="706">
        <f>COUNTIF(AH75:AH78,"*")</f>
        <v>0</v>
      </c>
      <c r="F393" s="706" t="e">
        <f t="shared" ref="F393" si="384">B393/E393</f>
        <v>#DIV/0!</v>
      </c>
      <c r="G393" s="707" t="e">
        <f t="shared" ref="G393" si="385">C393/E393</f>
        <v>#DIV/0!</v>
      </c>
      <c r="H393" s="737" t="e">
        <f t="shared" ref="H393" si="386">D393/E393</f>
        <v>#DIV/0!</v>
      </c>
    </row>
    <row r="394" spans="1:8">
      <c r="A394" s="736" t="str">
        <f>'IA-SI  TANKER'!B$23</f>
        <v>Kalk Bay</v>
      </c>
      <c r="B394" s="706">
        <f>SUM(AJ79:AJ82)</f>
        <v>3</v>
      </c>
      <c r="C394" s="706">
        <f t="shared" ref="C394:D394" si="387">SUM(AK79:AK82)</f>
        <v>0</v>
      </c>
      <c r="D394" s="706">
        <f t="shared" si="387"/>
        <v>0</v>
      </c>
      <c r="E394" s="706">
        <f>COUNTIF(AH79:AH82,"*")</f>
        <v>1</v>
      </c>
      <c r="F394" s="706">
        <f t="shared" ref="F394:F396" si="388">B394/E394</f>
        <v>3</v>
      </c>
      <c r="G394" s="707">
        <f t="shared" ref="G394:G395" si="389">C394/E394</f>
        <v>0</v>
      </c>
      <c r="H394" s="737">
        <f t="shared" ref="H394:H395" si="390">D394/E394</f>
        <v>0</v>
      </c>
    </row>
    <row r="395" spans="1:8">
      <c r="A395" s="736" t="str">
        <f>'IA-SI  TANKER'!B$24</f>
        <v>Mossel Bay</v>
      </c>
      <c r="B395" s="706">
        <f>SUM(AJ83:AJ86)</f>
        <v>3</v>
      </c>
      <c r="C395" s="706">
        <f t="shared" ref="C395:D395" si="391">SUM(AK83:AK86)</f>
        <v>0</v>
      </c>
      <c r="D395" s="706">
        <f t="shared" si="391"/>
        <v>3</v>
      </c>
      <c r="E395" s="706">
        <f>COUNTIF(AH83:AH86,"*")</f>
        <v>1</v>
      </c>
      <c r="F395" s="706">
        <f t="shared" si="388"/>
        <v>3</v>
      </c>
      <c r="G395" s="707">
        <f t="shared" si="389"/>
        <v>0</v>
      </c>
      <c r="H395" s="737">
        <f t="shared" si="390"/>
        <v>3</v>
      </c>
    </row>
    <row r="396" spans="1:8">
      <c r="A396" s="736" t="str">
        <f>'IA-SI  TANKER'!B25</f>
        <v>Philotimos</v>
      </c>
      <c r="B396" s="706">
        <f>SUM(AJ87:AJ90)</f>
        <v>0</v>
      </c>
      <c r="C396" s="706">
        <f>SUM(AK87:AK90)</f>
        <v>0</v>
      </c>
      <c r="D396" s="706">
        <f>SUM(AL87:AL90)</f>
        <v>0</v>
      </c>
      <c r="E396" s="706">
        <f>COUNTIF(AH87:AH90,"*")</f>
        <v>0</v>
      </c>
      <c r="F396" s="706" t="e">
        <f t="shared" si="388"/>
        <v>#DIV/0!</v>
      </c>
      <c r="G396" s="707" t="e">
        <f t="shared" ref="G396" si="392">C396/E396</f>
        <v>#DIV/0!</v>
      </c>
      <c r="H396" s="737" t="e">
        <f t="shared" ref="H396" si="393">D396/E396</f>
        <v>#DIV/0!</v>
      </c>
    </row>
    <row r="397" spans="1:8">
      <c r="A397" s="736" t="str">
        <f>'IA-SI  TANKER'!B26</f>
        <v>Philoxenia</v>
      </c>
      <c r="B397" s="706">
        <f>SUM(AJ91:AJ94)</f>
        <v>1</v>
      </c>
      <c r="C397" s="706">
        <f t="shared" ref="C397:D397" si="394">SUM(AK91:AK94)</f>
        <v>0</v>
      </c>
      <c r="D397" s="706">
        <f t="shared" si="394"/>
        <v>1</v>
      </c>
      <c r="E397" s="706">
        <f>COUNTIF(AH91:AH94,"*")</f>
        <v>1</v>
      </c>
      <c r="F397" s="706">
        <f t="shared" si="369"/>
        <v>1</v>
      </c>
      <c r="G397" s="707">
        <f t="shared" si="370"/>
        <v>0</v>
      </c>
      <c r="H397" s="737">
        <f t="shared" si="371"/>
        <v>1</v>
      </c>
    </row>
    <row r="398" spans="1:8">
      <c r="A398" s="736" t="str">
        <f>'IA-SI  TANKER'!B27</f>
        <v>PNX Conqueror</v>
      </c>
      <c r="B398" s="706">
        <f>SUM(AJ95:AJ98)</f>
        <v>2</v>
      </c>
      <c r="C398" s="706">
        <f t="shared" ref="C398:D398" si="395">SUM(AK95:AK98)</f>
        <v>0</v>
      </c>
      <c r="D398" s="706">
        <f t="shared" si="395"/>
        <v>2</v>
      </c>
      <c r="E398" s="706">
        <f>COUNTIF(AH95:AH98,"*")</f>
        <v>1</v>
      </c>
      <c r="F398" s="706">
        <f t="shared" si="369"/>
        <v>2</v>
      </c>
      <c r="G398" s="707">
        <f t="shared" ref="G398" si="396">C398/E398</f>
        <v>0</v>
      </c>
      <c r="H398" s="737">
        <f t="shared" ref="H398" si="397">D398/E398</f>
        <v>2</v>
      </c>
    </row>
    <row r="399" spans="1:8">
      <c r="A399" s="736" t="str">
        <f>'IA-SI  TANKER'!B28</f>
        <v>PS Tokyo (Gone)</v>
      </c>
      <c r="B399" s="706">
        <f>SUM(AJ99:AJ102)</f>
        <v>1</v>
      </c>
      <c r="C399" s="706">
        <f t="shared" ref="C399:D399" si="398">SUM(AK99:AK102)</f>
        <v>0</v>
      </c>
      <c r="D399" s="706">
        <f t="shared" si="398"/>
        <v>1</v>
      </c>
      <c r="E399" s="706">
        <f>COUNTIF(AH99:AH102,"*")</f>
        <v>1</v>
      </c>
      <c r="F399" s="706">
        <f t="shared" si="369"/>
        <v>1</v>
      </c>
      <c r="G399" s="707">
        <f t="shared" si="370"/>
        <v>0</v>
      </c>
      <c r="H399" s="737">
        <f t="shared" si="371"/>
        <v>1</v>
      </c>
    </row>
    <row r="400" spans="1:8">
      <c r="A400" s="736" t="str">
        <f>'IA-SI  TANKER'!B29</f>
        <v>PS Vancouver</v>
      </c>
      <c r="B400" s="706">
        <f>SUM(AJ103:AJ106)</f>
        <v>4</v>
      </c>
      <c r="C400" s="706">
        <f t="shared" ref="C400:D400" si="399">SUM(AK103:AK106)</f>
        <v>0</v>
      </c>
      <c r="D400" s="706">
        <f t="shared" si="399"/>
        <v>4</v>
      </c>
      <c r="E400" s="706">
        <f>COUNTIF(AH103:AH106,"*")</f>
        <v>1</v>
      </c>
      <c r="F400" s="706">
        <f t="shared" ref="F400" si="400">B400/E400</f>
        <v>4</v>
      </c>
      <c r="G400" s="707">
        <f t="shared" ref="G400" si="401">C400/E400</f>
        <v>0</v>
      </c>
      <c r="H400" s="737">
        <f t="shared" ref="H400" si="402">D400/E400</f>
        <v>4</v>
      </c>
    </row>
    <row r="401" spans="1:8">
      <c r="A401" s="736" t="str">
        <f>'IA-SI  TANKER'!B30</f>
        <v>Table Bay</v>
      </c>
      <c r="B401" s="706">
        <f>SUM(AJ107:AJ110)</f>
        <v>0</v>
      </c>
      <c r="C401" s="706">
        <f t="shared" ref="C401:D401" si="403">SUM(AK107:AK110)</f>
        <v>0</v>
      </c>
      <c r="D401" s="706">
        <f t="shared" si="403"/>
        <v>0</v>
      </c>
      <c r="E401" s="706">
        <f>COUNTIF(AH107:AH110,"*")</f>
        <v>0</v>
      </c>
      <c r="F401" s="706" t="e">
        <f t="shared" ref="F401" si="404">B401/E401</f>
        <v>#DIV/0!</v>
      </c>
      <c r="G401" s="707" t="e">
        <f t="shared" ref="G401" si="405">C401/E401</f>
        <v>#DIV/0!</v>
      </c>
      <c r="H401" s="737" t="e">
        <f t="shared" ref="H401" si="406">D401/E401</f>
        <v>#DIV/0!</v>
      </c>
    </row>
    <row r="402" spans="1:8">
      <c r="A402" s="736" t="str">
        <f>'IA-SI  TANKER'!B31</f>
        <v>Rui Fu Sheng</v>
      </c>
      <c r="B402" s="706">
        <f>SUM(AJ111:AJ114)</f>
        <v>0</v>
      </c>
      <c r="C402" s="706">
        <f t="shared" ref="C402:D402" si="407">SUM(AK111:AK114)</f>
        <v>0</v>
      </c>
      <c r="D402" s="706">
        <f t="shared" si="407"/>
        <v>0</v>
      </c>
      <c r="E402" s="706">
        <f>COUNTIF(AH111:AH114,"*")</f>
        <v>0</v>
      </c>
      <c r="F402" s="706" t="e">
        <f t="shared" ref="F402" si="408">B402/E402</f>
        <v>#DIV/0!</v>
      </c>
      <c r="G402" s="707" t="e">
        <f t="shared" ref="G402" si="409">C402/E402</f>
        <v>#DIV/0!</v>
      </c>
      <c r="H402" s="737" t="e">
        <f t="shared" ref="H402" si="410">D402/E402</f>
        <v>#DIV/0!</v>
      </c>
    </row>
    <row r="403" spans="1:8">
      <c r="A403" s="736" t="str">
        <f>'IA-SI  TANKER'!B32</f>
        <v>Vialli</v>
      </c>
      <c r="B403" s="706">
        <f>SUM(AJ115:AJ118)</f>
        <v>2</v>
      </c>
      <c r="C403" s="706">
        <f>SUM(AK115:AK118)</f>
        <v>0</v>
      </c>
      <c r="D403" s="706">
        <f t="shared" ref="D403" si="411">SUM(AL115:AL118)</f>
        <v>2</v>
      </c>
      <c r="E403" s="706">
        <f>COUNTIF(AH115:AH118,"*")</f>
        <v>1</v>
      </c>
      <c r="F403" s="706">
        <f t="shared" ref="F403" si="412">B403/E403</f>
        <v>2</v>
      </c>
      <c r="G403" s="707">
        <f t="shared" ref="G403" si="413">C403/E403</f>
        <v>0</v>
      </c>
      <c r="H403" s="737">
        <f t="shared" ref="H403" si="414">D403/E403</f>
        <v>2</v>
      </c>
    </row>
    <row r="404" ht="15.75" spans="1:8">
      <c r="A404" s="738" t="str">
        <f>'IA-SI  TANKER'!B33</f>
        <v>Victoria Bay</v>
      </c>
      <c r="B404" s="739">
        <f>SUM(AJ119:AJ122)</f>
        <v>0</v>
      </c>
      <c r="C404" s="739">
        <f t="shared" ref="C404:D404" si="415">SUM(AK119:AK122)</f>
        <v>0</v>
      </c>
      <c r="D404" s="739">
        <f t="shared" si="415"/>
        <v>0</v>
      </c>
      <c r="E404" s="739">
        <f>COUNTIF(AH119:AH122,"*")</f>
        <v>0</v>
      </c>
      <c r="F404" s="739" t="e">
        <f t="shared" si="369"/>
        <v>#DIV/0!</v>
      </c>
      <c r="G404" s="740" t="e">
        <f t="shared" si="370"/>
        <v>#DIV/0!</v>
      </c>
      <c r="H404" s="741" t="e">
        <f t="shared" si="371"/>
        <v>#DIV/0!</v>
      </c>
    </row>
  </sheetData>
  <sheetProtection algorithmName="SHA-512" hashValue="7jUKNYkww/L01fwECjMUE2xh79lhMmFtUKty/gCx4LS0oWArqDI6FTgCu2NxKLvSBsrBFgRGg+rXcVbxxmg+ZQ==" saltValue="seE1vEZvoqWqom4rW+ENuQ==" spinCount="100000" sheet="1" objects="1" scenarios="1"/>
  <autoFilter xmlns:etc="http://www.wps.cn/officeDocument/2017/etCustomData" ref="A1:AW122" etc:filterBottomFollowUsedRange="0">
    <extLst/>
  </autoFilter>
  <mergeCells count="24">
    <mergeCell ref="D1:H1"/>
    <mergeCell ref="I1:M1"/>
    <mergeCell ref="N1:R1"/>
    <mergeCell ref="S1:W1"/>
    <mergeCell ref="X1:AA1"/>
    <mergeCell ref="AC1:AG1"/>
    <mergeCell ref="AH1:AL1"/>
    <mergeCell ref="AR1:AU1"/>
    <mergeCell ref="AN2:AO2"/>
    <mergeCell ref="A128:C128"/>
    <mergeCell ref="D128:E128"/>
    <mergeCell ref="F128:G128"/>
    <mergeCell ref="H128:I128"/>
    <mergeCell ref="J128:K128"/>
    <mergeCell ref="L128:M128"/>
    <mergeCell ref="N128:O128"/>
    <mergeCell ref="A148:C148"/>
    <mergeCell ref="A169:H169"/>
    <mergeCell ref="A203:H203"/>
    <mergeCell ref="A237:H237"/>
    <mergeCell ref="A271:H271"/>
    <mergeCell ref="A305:H305"/>
    <mergeCell ref="A339:H339"/>
    <mergeCell ref="A373:H373"/>
  </mergeCells>
  <conditionalFormatting sqref="A3:A122 A171:A200 G171:G200 A205:A234 G205:G234 A239:A268 G239:G268 A273:A302 G273:G302 A307:A336 G307:G336 A341:A370 G341:G370 A375:A404 G375:G404">
    <cfRule type="containsText" dxfId="2" priority="1" operator="between" text="Valid">
      <formula>NOT(ISERROR(SEARCH("Valid",A3)))</formula>
    </cfRule>
    <cfRule type="containsText" dxfId="1" priority="2" operator="between" text="Valid">
      <formula>NOT(ISERROR(SEARCH("Valid",A3)))</formula>
    </cfRule>
    <cfRule type="containsText" dxfId="0" priority="3" operator="between" text="Expired">
      <formula>NOT(ISERROR(SEARCH("Expired",A3)))</formula>
    </cfRule>
  </conditionalFormatting>
  <dataValidations count="2">
    <dataValidation type="list" allowBlank="1" showInputMessage="1" showErrorMessage="1" sqref="C67 C71 C75 B99 B103 B107 B111 B115 B119 B3:B67 B69:B71 B73:B75 B77:B96">
      <formula1>MarineSuperintendent</formula1>
    </dataValidation>
    <dataValidation type="list" allowBlank="1" showInputMessage="1" showErrorMessage="1" sqref="C99 C103 C107 C111 C115 C119 C72:C74 C76:C96">
      <formula1>Guide!$A$52:$A$54</formula1>
    </dataValidation>
  </dataValidations>
  <printOptions horizontalCentered="1" verticalCentered="1"/>
  <pageMargins left="0.196850393700787" right="0.196850393700787" top="0.196850393700787" bottom="0.196850393700787" header="0.31496062992126" footer="0.31496062992126"/>
  <pageSetup paperSize="8" scale="10"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BN131"/>
  <sheetViews>
    <sheetView zoomScale="85" zoomScaleNormal="85" zoomScaleSheetLayoutView="85" topLeftCell="A8" workbookViewId="0">
      <pane ySplit="11" topLeftCell="A27" activePane="bottomLeft" state="frozen"/>
      <selection/>
      <selection pane="bottomLeft" activeCell="Q85" sqref="Q85"/>
    </sheetView>
  </sheetViews>
  <sheetFormatPr defaultColWidth="9" defaultRowHeight="15"/>
  <cols>
    <col min="1" max="1" width="39.5714285714286" style="43" customWidth="1"/>
    <col min="2" max="2" width="10.5714285714286" style="337" customWidth="1"/>
    <col min="3" max="3" width="11.4285714285714" style="337" customWidth="1"/>
    <col min="4" max="4" width="10.4285714285714" style="337" customWidth="1"/>
    <col min="5" max="5" width="11" style="337" customWidth="1"/>
    <col min="6" max="6" width="5" style="337" customWidth="1"/>
    <col min="7" max="7" width="4.42857142857143" style="337" customWidth="1"/>
    <col min="8" max="8" width="12.4285714285714" style="337" customWidth="1"/>
    <col min="9" max="9" width="6.57142857142857" style="337" customWidth="1"/>
    <col min="10" max="10" width="4" style="337" customWidth="1"/>
    <col min="11" max="11" width="4.57142857142857" style="337" customWidth="1"/>
    <col min="12" max="13" width="4.42857142857143" style="337" customWidth="1"/>
    <col min="14" max="16" width="5.42857142857143" style="337" customWidth="1"/>
    <col min="17" max="20" width="9.14285714285714" style="337"/>
    <col min="21" max="21" width="4.57142857142857" style="337" customWidth="1"/>
    <col min="22" max="24" width="4.42857142857143" style="337" customWidth="1"/>
    <col min="25" max="26" width="4" style="337" customWidth="1"/>
    <col min="27" max="27" width="4.42857142857143" style="337" customWidth="1"/>
    <col min="28" max="28" width="3.57142857142857" style="337" customWidth="1"/>
    <col min="29" max="29" width="4.42857142857143" style="337" customWidth="1"/>
    <col min="30" max="31" width="4" style="337" customWidth="1"/>
    <col min="32" max="35" width="9.14285714285714" style="43"/>
    <col min="36" max="37" width="3.57142857142857" style="43" customWidth="1"/>
    <col min="38" max="38" width="3.42857142857143" style="43" customWidth="1"/>
    <col min="39" max="39" width="4" style="43" customWidth="1"/>
    <col min="40" max="40" width="3.42857142857143" style="43" customWidth="1"/>
    <col min="41" max="41" width="3.57142857142857" style="43" customWidth="1"/>
    <col min="42" max="42" width="3.42857142857143" style="43" customWidth="1"/>
    <col min="43" max="43" width="4" style="43" customWidth="1"/>
    <col min="44" max="46" width="4.42857142857143" style="43" customWidth="1"/>
    <col min="47" max="50" width="9.14285714285714" style="43"/>
    <col min="51" max="51" width="4.42857142857143" style="43" customWidth="1"/>
    <col min="52" max="52" width="3.57142857142857" style="43" customWidth="1"/>
    <col min="53" max="53" width="4" style="43" customWidth="1"/>
    <col min="54" max="55" width="3.57142857142857" style="43" customWidth="1"/>
    <col min="56" max="56" width="4" style="43" customWidth="1"/>
    <col min="57" max="57" width="4.42857142857143" style="43" customWidth="1"/>
    <col min="58" max="59" width="4" style="43" customWidth="1"/>
    <col min="60" max="60" width="3.57142857142857" style="43" customWidth="1"/>
    <col min="61" max="61" width="4.42857142857143" style="43" customWidth="1"/>
    <col min="62" max="62" width="10.5714285714286" style="43" customWidth="1"/>
    <col min="63" max="64" width="9.14285714285714" style="43"/>
    <col min="65" max="65" width="12.4285714285714" style="43" customWidth="1"/>
  </cols>
  <sheetData>
    <row r="1" spans="3:17">
      <c r="C1" s="165" t="s">
        <v>324</v>
      </c>
      <c r="D1" s="166"/>
      <c r="E1" s="166"/>
      <c r="F1" s="166"/>
      <c r="G1" s="166"/>
      <c r="H1" s="166"/>
      <c r="I1" s="166"/>
      <c r="J1" s="166"/>
      <c r="K1" s="166"/>
      <c r="L1" s="166"/>
      <c r="M1" s="166"/>
      <c r="N1" s="166"/>
      <c r="O1" s="166"/>
      <c r="P1" s="166"/>
      <c r="Q1" s="225"/>
    </row>
    <row r="2" spans="3:17">
      <c r="C2" s="167"/>
      <c r="D2" s="168"/>
      <c r="E2" s="168"/>
      <c r="F2" s="168"/>
      <c r="G2" s="168"/>
      <c r="H2" s="168"/>
      <c r="I2" s="168"/>
      <c r="J2" s="168"/>
      <c r="K2" s="168"/>
      <c r="L2" s="168"/>
      <c r="M2" s="168"/>
      <c r="N2" s="168"/>
      <c r="O2" s="168"/>
      <c r="P2" s="168"/>
      <c r="Q2" s="226"/>
    </row>
    <row r="3" ht="15.75" spans="3:17">
      <c r="C3" s="169"/>
      <c r="D3" s="170"/>
      <c r="E3" s="170"/>
      <c r="F3" s="170"/>
      <c r="G3" s="170"/>
      <c r="H3" s="170"/>
      <c r="I3" s="170"/>
      <c r="J3" s="170"/>
      <c r="K3" s="170"/>
      <c r="L3" s="170"/>
      <c r="M3" s="170"/>
      <c r="N3" s="170"/>
      <c r="O3" s="170"/>
      <c r="P3" s="170"/>
      <c r="Q3" s="227"/>
    </row>
    <row r="8" ht="15.75"/>
    <row r="9" ht="15.75" spans="1:48">
      <c r="A9" s="171" t="s">
        <v>325</v>
      </c>
      <c r="B9" s="351" t="s">
        <v>326</v>
      </c>
      <c r="C9" s="351" t="s">
        <v>327</v>
      </c>
      <c r="D9" s="351" t="s">
        <v>328</v>
      </c>
      <c r="E9" s="351" t="s">
        <v>329</v>
      </c>
      <c r="F9" s="352" t="s">
        <v>330</v>
      </c>
      <c r="G9" s="353"/>
      <c r="H9" s="354"/>
      <c r="I9" s="354"/>
      <c r="J9" s="354"/>
      <c r="K9" s="354"/>
      <c r="L9" s="354"/>
      <c r="M9" s="354"/>
      <c r="N9" s="354"/>
      <c r="O9" s="354"/>
      <c r="P9" s="354"/>
      <c r="Q9" s="421" t="s">
        <v>331</v>
      </c>
      <c r="R9" s="351" t="s">
        <v>326</v>
      </c>
      <c r="S9" s="351" t="s">
        <v>327</v>
      </c>
      <c r="T9" s="351" t="s">
        <v>328</v>
      </c>
      <c r="U9" s="352" t="s">
        <v>329</v>
      </c>
      <c r="V9" s="422"/>
      <c r="W9" s="352" t="s">
        <v>330</v>
      </c>
      <c r="X9" s="353"/>
      <c r="Y9" s="436"/>
      <c r="Z9" s="436"/>
      <c r="AF9" s="421" t="s">
        <v>332</v>
      </c>
      <c r="AG9" s="441" t="s">
        <v>326</v>
      </c>
      <c r="AH9" s="441" t="s">
        <v>327</v>
      </c>
      <c r="AI9" s="441" t="s">
        <v>328</v>
      </c>
      <c r="AJ9" s="441" t="s">
        <v>329</v>
      </c>
      <c r="AK9" s="352"/>
      <c r="AL9" s="353"/>
      <c r="AM9" s="352" t="s">
        <v>330</v>
      </c>
      <c r="AN9" s="422"/>
      <c r="AO9" s="353"/>
      <c r="AP9" s="283"/>
      <c r="AQ9" s="283"/>
      <c r="AR9" s="283"/>
      <c r="AS9" s="283"/>
      <c r="AT9" s="283"/>
      <c r="AU9" s="283"/>
      <c r="AV9" s="284"/>
    </row>
    <row r="10" ht="15.75" spans="1:48">
      <c r="A10" s="176" t="s">
        <v>333</v>
      </c>
      <c r="B10" s="355">
        <v>34</v>
      </c>
      <c r="C10" s="355">
        <v>34</v>
      </c>
      <c r="D10" s="355">
        <v>35</v>
      </c>
      <c r="E10" s="355">
        <v>37</v>
      </c>
      <c r="F10" s="356"/>
      <c r="G10" s="357"/>
      <c r="K10" s="337" t="s">
        <v>334</v>
      </c>
      <c r="Q10" s="423" t="s">
        <v>333</v>
      </c>
      <c r="R10" s="355">
        <v>25</v>
      </c>
      <c r="S10" s="355">
        <v>25</v>
      </c>
      <c r="T10" s="355">
        <v>25</v>
      </c>
      <c r="U10" s="356">
        <v>26</v>
      </c>
      <c r="V10" s="424"/>
      <c r="W10" s="356"/>
      <c r="X10" s="357"/>
      <c r="AF10" s="176" t="s">
        <v>333</v>
      </c>
      <c r="AG10" s="442">
        <v>9</v>
      </c>
      <c r="AH10" s="442">
        <v>9</v>
      </c>
      <c r="AI10" s="442">
        <v>10</v>
      </c>
      <c r="AJ10" s="356">
        <v>11</v>
      </c>
      <c r="AK10" s="424"/>
      <c r="AL10" s="357"/>
      <c r="AM10" s="356"/>
      <c r="AN10" s="424"/>
      <c r="AO10" s="357"/>
      <c r="AV10" s="285"/>
    </row>
    <row r="11" ht="15.75" spans="1:48">
      <c r="A11" s="176" t="s">
        <v>335</v>
      </c>
      <c r="B11" s="355">
        <v>8</v>
      </c>
      <c r="C11" s="358">
        <f>Q61</f>
        <v>10</v>
      </c>
      <c r="D11" s="358">
        <f>AF61</f>
        <v>13</v>
      </c>
      <c r="E11" s="358">
        <f>AU61</f>
        <v>10</v>
      </c>
      <c r="F11" s="356">
        <f>SUM(B11:E11)</f>
        <v>41</v>
      </c>
      <c r="G11" s="357"/>
      <c r="Q11" s="423" t="s">
        <v>335</v>
      </c>
      <c r="R11" s="355">
        <f>SUM(B19:B48)</f>
        <v>7</v>
      </c>
      <c r="S11" s="355">
        <f>SUM(Q19:Q48)</f>
        <v>9</v>
      </c>
      <c r="T11" s="355">
        <f>SUM(AF19:AF48)</f>
        <v>7</v>
      </c>
      <c r="U11" s="356">
        <f>SUM(AU19:AU48)</f>
        <v>8</v>
      </c>
      <c r="V11" s="424"/>
      <c r="W11" s="356">
        <f>SUM(R11:U11)</f>
        <v>31</v>
      </c>
      <c r="X11" s="357"/>
      <c r="AF11" s="176" t="s">
        <v>335</v>
      </c>
      <c r="AG11" s="442">
        <f>SUM(B49:B60)</f>
        <v>1</v>
      </c>
      <c r="AH11" s="442">
        <f>SUM(Q49:Q60)</f>
        <v>1</v>
      </c>
      <c r="AI11" s="442">
        <f>SUM(AF49:AF60)</f>
        <v>6</v>
      </c>
      <c r="AJ11" s="356">
        <f>SUM(AU49:AU60)</f>
        <v>2</v>
      </c>
      <c r="AK11" s="424"/>
      <c r="AL11" s="357"/>
      <c r="AM11" s="356">
        <f>SUM(AG11:AL11)</f>
        <v>10</v>
      </c>
      <c r="AN11" s="424"/>
      <c r="AO11" s="357"/>
      <c r="AV11" s="285"/>
    </row>
    <row r="12" ht="15.75" spans="1:48">
      <c r="A12" s="176" t="s">
        <v>336</v>
      </c>
      <c r="B12" s="358">
        <f>D61</f>
        <v>22</v>
      </c>
      <c r="C12" s="358">
        <f>S61</f>
        <v>44</v>
      </c>
      <c r="D12" s="358">
        <f>AH61</f>
        <v>57</v>
      </c>
      <c r="E12" s="358">
        <f>AW61</f>
        <v>46</v>
      </c>
      <c r="F12" s="356">
        <f>SUM(B12:E12)</f>
        <v>169</v>
      </c>
      <c r="G12" s="357"/>
      <c r="Q12" s="423" t="s">
        <v>336</v>
      </c>
      <c r="R12" s="358">
        <f>SUM(D19:D48)</f>
        <v>19</v>
      </c>
      <c r="S12" s="358">
        <f>SUM(S19:S48)</f>
        <v>39</v>
      </c>
      <c r="T12" s="358">
        <f>SUM(AH19:AH48)</f>
        <v>29</v>
      </c>
      <c r="U12" s="425">
        <f>SUM(AW19:AW48)</f>
        <v>36</v>
      </c>
      <c r="V12" s="426"/>
      <c r="W12" s="425">
        <f>SUM(R12:V12)</f>
        <v>123</v>
      </c>
      <c r="X12" s="357"/>
      <c r="AF12" s="176" t="s">
        <v>336</v>
      </c>
      <c r="AG12" s="443">
        <f>SUM(D49:D60)</f>
        <v>3</v>
      </c>
      <c r="AH12" s="443">
        <f>SUM(S49:S60)</f>
        <v>5</v>
      </c>
      <c r="AI12" s="443">
        <f>SUM(AH49:AH60)</f>
        <v>28</v>
      </c>
      <c r="AJ12" s="425">
        <f>SUM(AW49:AW60)</f>
        <v>10</v>
      </c>
      <c r="AK12" s="424"/>
      <c r="AL12" s="357"/>
      <c r="AM12" s="425">
        <f>SUM(AG12:AL12)</f>
        <v>46</v>
      </c>
      <c r="AN12" s="424"/>
      <c r="AO12" s="357"/>
      <c r="AV12" s="285"/>
    </row>
    <row r="13" ht="15.75" spans="1:48">
      <c r="A13" s="176" t="s">
        <v>337</v>
      </c>
      <c r="B13" s="359">
        <f>E61</f>
        <v>2.75</v>
      </c>
      <c r="C13" s="359">
        <f>T61</f>
        <v>4.4</v>
      </c>
      <c r="D13" s="359">
        <f>AI61</f>
        <v>4.38461538461539</v>
      </c>
      <c r="E13" s="359">
        <f>AX61</f>
        <v>4.6</v>
      </c>
      <c r="F13" s="360">
        <f>F12/F11</f>
        <v>4.1219512195122</v>
      </c>
      <c r="G13" s="361"/>
      <c r="H13" s="362"/>
      <c r="I13" s="362"/>
      <c r="J13" s="362"/>
      <c r="K13" s="362"/>
      <c r="L13" s="362"/>
      <c r="M13" s="362"/>
      <c r="N13" s="362"/>
      <c r="O13" s="362"/>
      <c r="P13" s="362"/>
      <c r="Q13" s="423" t="s">
        <v>337</v>
      </c>
      <c r="R13" s="359">
        <f>R12/R11</f>
        <v>2.71428571428571</v>
      </c>
      <c r="S13" s="359">
        <f>S12/S11</f>
        <v>4.33333333333333</v>
      </c>
      <c r="T13" s="359">
        <f>T12/T11</f>
        <v>4.14285714285714</v>
      </c>
      <c r="U13" s="360">
        <f>U12/U11</f>
        <v>4.5</v>
      </c>
      <c r="V13" s="427"/>
      <c r="W13" s="360">
        <f>W12/W11</f>
        <v>3.96774193548387</v>
      </c>
      <c r="X13" s="361"/>
      <c r="Y13" s="362"/>
      <c r="Z13" s="362"/>
      <c r="AA13" s="437"/>
      <c r="AB13" s="437"/>
      <c r="AC13" s="437"/>
      <c r="AD13" s="437"/>
      <c r="AE13" s="437"/>
      <c r="AF13" s="176" t="s">
        <v>337</v>
      </c>
      <c r="AG13" s="444">
        <f>AG12/AG11</f>
        <v>3</v>
      </c>
      <c r="AH13" s="444">
        <f>AH12/AH11</f>
        <v>5</v>
      </c>
      <c r="AI13" s="444">
        <f>AI12/AI11</f>
        <v>4.66666666666667</v>
      </c>
      <c r="AJ13" s="360">
        <f>AJ12/AJ11</f>
        <v>5</v>
      </c>
      <c r="AK13" s="427"/>
      <c r="AL13" s="361"/>
      <c r="AM13" s="360">
        <f>AM12/AM11</f>
        <v>4.6</v>
      </c>
      <c r="AN13" s="427"/>
      <c r="AO13" s="361"/>
      <c r="AV13" s="285"/>
    </row>
    <row r="14" spans="34:48">
      <c r="AH14" s="260"/>
      <c r="AV14" s="285"/>
    </row>
    <row r="15" spans="34:48">
      <c r="AH15" s="260"/>
      <c r="AV15" s="285"/>
    </row>
    <row r="16" ht="27" spans="1:48">
      <c r="A16" s="185" t="s">
        <v>338</v>
      </c>
      <c r="B16" s="363"/>
      <c r="C16" s="363"/>
      <c r="D16" s="364"/>
      <c r="AH16" s="260"/>
      <c r="AV16" s="285"/>
    </row>
    <row r="17" ht="15.75" spans="1:65">
      <c r="A17" s="333"/>
      <c r="B17" s="236" t="s">
        <v>339</v>
      </c>
      <c r="C17" s="237"/>
      <c r="D17" s="237"/>
      <c r="E17" s="237"/>
      <c r="F17" s="237"/>
      <c r="G17" s="237"/>
      <c r="H17" s="237"/>
      <c r="I17" s="237"/>
      <c r="J17" s="237"/>
      <c r="K17" s="237"/>
      <c r="L17" s="237"/>
      <c r="M17" s="237"/>
      <c r="N17" s="237"/>
      <c r="O17" s="237"/>
      <c r="P17" s="286"/>
      <c r="Q17" s="236" t="s">
        <v>340</v>
      </c>
      <c r="R17" s="237"/>
      <c r="S17" s="237"/>
      <c r="T17" s="237"/>
      <c r="U17" s="237"/>
      <c r="V17" s="237"/>
      <c r="W17" s="237"/>
      <c r="X17" s="237"/>
      <c r="Y17" s="237"/>
      <c r="Z17" s="237"/>
      <c r="AA17" s="237"/>
      <c r="AB17" s="237"/>
      <c r="AC17" s="237"/>
      <c r="AD17" s="237"/>
      <c r="AE17" s="286"/>
      <c r="AF17" s="236" t="s">
        <v>341</v>
      </c>
      <c r="AG17" s="237"/>
      <c r="AH17" s="237"/>
      <c r="AI17" s="237"/>
      <c r="AJ17" s="237"/>
      <c r="AK17" s="237"/>
      <c r="AL17" s="237"/>
      <c r="AM17" s="237"/>
      <c r="AN17" s="237"/>
      <c r="AO17" s="237"/>
      <c r="AP17" s="237"/>
      <c r="AQ17" s="237"/>
      <c r="AR17" s="237"/>
      <c r="AS17" s="237"/>
      <c r="AT17" s="286"/>
      <c r="AU17" s="236" t="s">
        <v>342</v>
      </c>
      <c r="AV17" s="237"/>
      <c r="AW17" s="237"/>
      <c r="AX17" s="237"/>
      <c r="AY17" s="237"/>
      <c r="AZ17" s="237"/>
      <c r="BA17" s="237"/>
      <c r="BB17" s="237"/>
      <c r="BC17" s="237"/>
      <c r="BD17" s="237"/>
      <c r="BE17" s="237"/>
      <c r="BF17" s="237"/>
      <c r="BG17" s="237"/>
      <c r="BH17" s="237"/>
      <c r="BI17" s="286"/>
      <c r="BJ17" s="462" t="s">
        <v>330</v>
      </c>
      <c r="BK17" s="463"/>
      <c r="BL17" s="463"/>
      <c r="BM17" s="476"/>
    </row>
    <row r="18" spans="1:65">
      <c r="A18" s="365"/>
      <c r="B18" s="366" t="s">
        <v>343</v>
      </c>
      <c r="C18" s="367"/>
      <c r="D18" s="367" t="s">
        <v>336</v>
      </c>
      <c r="E18" s="368" t="s">
        <v>344</v>
      </c>
      <c r="F18" s="368">
        <v>2</v>
      </c>
      <c r="G18" s="368">
        <v>3</v>
      </c>
      <c r="H18" s="368">
        <v>4</v>
      </c>
      <c r="I18" s="368">
        <v>5</v>
      </c>
      <c r="J18" s="368">
        <v>6</v>
      </c>
      <c r="K18" s="368">
        <v>7</v>
      </c>
      <c r="L18" s="368">
        <v>8</v>
      </c>
      <c r="M18" s="368">
        <v>9</v>
      </c>
      <c r="N18" s="367">
        <v>10</v>
      </c>
      <c r="O18" s="368">
        <v>11</v>
      </c>
      <c r="P18" s="415">
        <v>12</v>
      </c>
      <c r="Q18" s="366" t="s">
        <v>343</v>
      </c>
      <c r="R18" s="428"/>
      <c r="S18" s="367" t="s">
        <v>336</v>
      </c>
      <c r="T18" s="368" t="s">
        <v>344</v>
      </c>
      <c r="U18" s="368">
        <v>2</v>
      </c>
      <c r="V18" s="368">
        <v>3</v>
      </c>
      <c r="W18" s="368">
        <v>4</v>
      </c>
      <c r="X18" s="368">
        <v>5</v>
      </c>
      <c r="Y18" s="368">
        <v>6</v>
      </c>
      <c r="Z18" s="368">
        <v>7</v>
      </c>
      <c r="AA18" s="368">
        <v>8</v>
      </c>
      <c r="AB18" s="368">
        <v>9</v>
      </c>
      <c r="AC18" s="367">
        <v>10</v>
      </c>
      <c r="AD18" s="368">
        <v>11</v>
      </c>
      <c r="AE18" s="415">
        <v>12</v>
      </c>
      <c r="AF18" s="250" t="s">
        <v>343</v>
      </c>
      <c r="AG18" s="261"/>
      <c r="AH18" s="262" t="s">
        <v>336</v>
      </c>
      <c r="AI18" s="263" t="s">
        <v>344</v>
      </c>
      <c r="AJ18" s="263">
        <v>2</v>
      </c>
      <c r="AK18" s="263">
        <v>3</v>
      </c>
      <c r="AL18" s="263">
        <v>4</v>
      </c>
      <c r="AM18" s="263">
        <v>5</v>
      </c>
      <c r="AN18" s="263">
        <v>6</v>
      </c>
      <c r="AO18" s="263">
        <v>7</v>
      </c>
      <c r="AP18" s="263">
        <v>8</v>
      </c>
      <c r="AQ18" s="263">
        <v>9</v>
      </c>
      <c r="AR18" s="262">
        <v>10</v>
      </c>
      <c r="AS18" s="263">
        <v>11</v>
      </c>
      <c r="AT18" s="287">
        <v>12</v>
      </c>
      <c r="AU18" s="250" t="s">
        <v>343</v>
      </c>
      <c r="AV18" s="261"/>
      <c r="AW18" s="296" t="s">
        <v>336</v>
      </c>
      <c r="AX18" s="297" t="s">
        <v>344</v>
      </c>
      <c r="AY18" s="296">
        <v>2</v>
      </c>
      <c r="AZ18" s="297">
        <v>3</v>
      </c>
      <c r="BA18" s="297">
        <v>4</v>
      </c>
      <c r="BB18" s="297">
        <v>5</v>
      </c>
      <c r="BC18" s="297">
        <v>6</v>
      </c>
      <c r="BD18" s="297">
        <v>7</v>
      </c>
      <c r="BE18" s="297">
        <v>8</v>
      </c>
      <c r="BF18" s="297">
        <v>9</v>
      </c>
      <c r="BG18" s="296">
        <v>10</v>
      </c>
      <c r="BH18" s="297">
        <v>11</v>
      </c>
      <c r="BI18" s="464">
        <v>12</v>
      </c>
      <c r="BJ18" s="465" t="s">
        <v>343</v>
      </c>
      <c r="BK18" s="466"/>
      <c r="BL18" s="466" t="s">
        <v>336</v>
      </c>
      <c r="BM18" s="477" t="s">
        <v>344</v>
      </c>
    </row>
    <row r="19" spans="1:65">
      <c r="A19" s="369" t="str">
        <f>'IA-SI  TANKER'!B4</f>
        <v>Alpine Pembroke (Sold)</v>
      </c>
      <c r="B19" s="370"/>
      <c r="C19" s="371"/>
      <c r="D19" s="372">
        <f t="shared" ref="D19:D48" si="0">SUM(F19:P19)</f>
        <v>0</v>
      </c>
      <c r="E19" s="373" t="e">
        <f t="shared" ref="E19:E61" si="1">(D19/B19)</f>
        <v>#DIV/0!</v>
      </c>
      <c r="F19" s="374"/>
      <c r="G19" s="374"/>
      <c r="H19" s="374"/>
      <c r="I19" s="374"/>
      <c r="J19" s="374"/>
      <c r="K19" s="374"/>
      <c r="L19" s="374"/>
      <c r="M19" s="374"/>
      <c r="N19" s="374"/>
      <c r="O19" s="374"/>
      <c r="P19" s="416"/>
      <c r="Q19" s="429"/>
      <c r="R19" s="386"/>
      <c r="S19" s="372">
        <f t="shared" ref="S19:S60" si="2">SUM(U19:AE19)</f>
        <v>0</v>
      </c>
      <c r="T19" s="373" t="e">
        <f t="shared" ref="T19:T61" si="3">(S19/Q19)</f>
        <v>#DIV/0!</v>
      </c>
      <c r="U19" s="374"/>
      <c r="V19" s="374"/>
      <c r="W19" s="374"/>
      <c r="X19" s="374"/>
      <c r="Y19" s="374"/>
      <c r="Z19" s="374"/>
      <c r="AA19" s="374"/>
      <c r="AB19" s="374"/>
      <c r="AC19" s="374"/>
      <c r="AD19" s="374"/>
      <c r="AE19" s="416"/>
      <c r="AF19" s="251"/>
      <c r="AG19" s="264"/>
      <c r="AH19" s="269">
        <f t="shared" ref="AH19:AH60" si="4">SUM(AJ19:AT19)</f>
        <v>0</v>
      </c>
      <c r="AI19" s="266" t="e">
        <f t="shared" ref="AI19:AI61" si="5">(AH19/AF19)</f>
        <v>#DIV/0!</v>
      </c>
      <c r="AJ19" s="267"/>
      <c r="AK19" s="267"/>
      <c r="AL19" s="267"/>
      <c r="AM19" s="267"/>
      <c r="AN19" s="267"/>
      <c r="AO19" s="267"/>
      <c r="AP19" s="267"/>
      <c r="AQ19" s="267"/>
      <c r="AR19" s="267"/>
      <c r="AS19" s="267"/>
      <c r="AT19" s="288"/>
      <c r="AU19" s="251"/>
      <c r="AV19" s="264"/>
      <c r="AW19" s="265">
        <f t="shared" ref="AW19:AW60" si="6">SUM(AY19:BI19)</f>
        <v>0</v>
      </c>
      <c r="AX19" s="266" t="e">
        <f t="shared" ref="AX19:AX61" si="7">(AW19/AU19)</f>
        <v>#DIV/0!</v>
      </c>
      <c r="AY19" s="267"/>
      <c r="AZ19" s="267"/>
      <c r="BA19" s="267"/>
      <c r="BB19" s="267"/>
      <c r="BC19" s="267"/>
      <c r="BD19" s="267"/>
      <c r="BE19" s="267"/>
      <c r="BF19" s="267"/>
      <c r="BG19" s="267"/>
      <c r="BH19" s="267"/>
      <c r="BI19" s="288"/>
      <c r="BJ19" s="467">
        <f t="shared" ref="BJ19:BJ56" si="8">SUM(B19+Q19+AF19+AU19)</f>
        <v>0</v>
      </c>
      <c r="BK19" s="306"/>
      <c r="BL19" s="306">
        <f t="shared" ref="BL19:BL60" si="9">SUM(D19,S19,AH19,AW19)</f>
        <v>0</v>
      </c>
      <c r="BM19" s="478" t="e">
        <f t="shared" ref="BM19:BM61" si="10">(BL19/BJ19)</f>
        <v>#DIV/0!</v>
      </c>
    </row>
    <row r="20" spans="1:65">
      <c r="A20" s="369" t="str">
        <f>'IA-SI  TANKER'!B5</f>
        <v>Alpine Pioneer (Sold)</v>
      </c>
      <c r="B20" s="370"/>
      <c r="C20" s="371"/>
      <c r="D20" s="372">
        <f t="shared" si="0"/>
        <v>0</v>
      </c>
      <c r="E20" s="373" t="e">
        <f t="shared" si="1"/>
        <v>#DIV/0!</v>
      </c>
      <c r="F20" s="374"/>
      <c r="G20" s="374"/>
      <c r="H20" s="374"/>
      <c r="I20" s="374"/>
      <c r="J20" s="374"/>
      <c r="K20" s="374"/>
      <c r="L20" s="374"/>
      <c r="M20" s="374"/>
      <c r="N20" s="374"/>
      <c r="O20" s="374"/>
      <c r="P20" s="416"/>
      <c r="Q20" s="429"/>
      <c r="R20" s="386"/>
      <c r="S20" s="372">
        <f t="shared" si="2"/>
        <v>0</v>
      </c>
      <c r="T20" s="373" t="e">
        <f t="shared" si="3"/>
        <v>#DIV/0!</v>
      </c>
      <c r="U20" s="374"/>
      <c r="V20" s="374"/>
      <c r="W20" s="374"/>
      <c r="X20" s="374"/>
      <c r="Y20" s="374"/>
      <c r="Z20" s="374"/>
      <c r="AA20" s="374"/>
      <c r="AB20" s="374"/>
      <c r="AC20" s="374"/>
      <c r="AD20" s="374"/>
      <c r="AE20" s="416"/>
      <c r="AF20" s="251"/>
      <c r="AG20" s="264"/>
      <c r="AH20" s="265">
        <f t="shared" si="4"/>
        <v>0</v>
      </c>
      <c r="AI20" s="266" t="e">
        <f t="shared" si="5"/>
        <v>#DIV/0!</v>
      </c>
      <c r="AJ20" s="267"/>
      <c r="AK20" s="267"/>
      <c r="AL20" s="267"/>
      <c r="AM20" s="267"/>
      <c r="AN20" s="267"/>
      <c r="AO20" s="267"/>
      <c r="AP20" s="267"/>
      <c r="AQ20" s="267"/>
      <c r="AR20" s="267"/>
      <c r="AS20" s="267"/>
      <c r="AT20" s="288"/>
      <c r="AU20" s="251"/>
      <c r="AV20" s="264"/>
      <c r="AW20" s="265">
        <f t="shared" si="6"/>
        <v>0</v>
      </c>
      <c r="AX20" s="266" t="e">
        <f t="shared" si="7"/>
        <v>#DIV/0!</v>
      </c>
      <c r="AY20" s="267"/>
      <c r="AZ20" s="267"/>
      <c r="BA20" s="267"/>
      <c r="BB20" s="267"/>
      <c r="BC20" s="267"/>
      <c r="BD20" s="267"/>
      <c r="BE20" s="267"/>
      <c r="BF20" s="267"/>
      <c r="BG20" s="267"/>
      <c r="BH20" s="267"/>
      <c r="BI20" s="288"/>
      <c r="BJ20" s="467">
        <f t="shared" si="8"/>
        <v>0</v>
      </c>
      <c r="BK20" s="306"/>
      <c r="BL20" s="306">
        <f t="shared" si="9"/>
        <v>0</v>
      </c>
      <c r="BM20" s="478" t="e">
        <f t="shared" si="10"/>
        <v>#DIV/0!</v>
      </c>
    </row>
    <row r="21" spans="1:65">
      <c r="A21" s="375" t="str">
        <f>'IA-SI  TANKER'!B6</f>
        <v>Bagheera</v>
      </c>
      <c r="B21" s="370"/>
      <c r="C21" s="371"/>
      <c r="D21" s="372">
        <f t="shared" si="0"/>
        <v>0</v>
      </c>
      <c r="E21" s="373" t="e">
        <f t="shared" si="1"/>
        <v>#DIV/0!</v>
      </c>
      <c r="F21" s="374"/>
      <c r="G21" s="374"/>
      <c r="H21" s="374"/>
      <c r="I21" s="374"/>
      <c r="J21" s="374"/>
      <c r="K21" s="374"/>
      <c r="L21" s="374"/>
      <c r="M21" s="374"/>
      <c r="N21" s="374"/>
      <c r="O21" s="374"/>
      <c r="P21" s="416"/>
      <c r="Q21" s="429">
        <v>1</v>
      </c>
      <c r="R21" s="386"/>
      <c r="S21" s="372">
        <f t="shared" si="2"/>
        <v>5</v>
      </c>
      <c r="T21" s="373">
        <f t="shared" si="3"/>
        <v>5</v>
      </c>
      <c r="U21" s="374">
        <v>3</v>
      </c>
      <c r="V21" s="374"/>
      <c r="W21" s="374"/>
      <c r="X21" s="374"/>
      <c r="Y21" s="374">
        <v>2</v>
      </c>
      <c r="Z21" s="374"/>
      <c r="AA21" s="374"/>
      <c r="AB21" s="374"/>
      <c r="AC21" s="374"/>
      <c r="AD21" s="374"/>
      <c r="AE21" s="416"/>
      <c r="AF21" s="251"/>
      <c r="AG21" s="264"/>
      <c r="AH21" s="265">
        <f t="shared" si="4"/>
        <v>0</v>
      </c>
      <c r="AI21" s="266" t="e">
        <f t="shared" si="5"/>
        <v>#DIV/0!</v>
      </c>
      <c r="AJ21" s="267"/>
      <c r="AK21" s="267"/>
      <c r="AL21" s="445"/>
      <c r="AM21" s="446"/>
      <c r="AN21" s="446"/>
      <c r="AO21" s="446"/>
      <c r="AP21" s="446"/>
      <c r="AQ21" s="446"/>
      <c r="AR21" s="446"/>
      <c r="AS21" s="446"/>
      <c r="AT21" s="288"/>
      <c r="AU21" s="251"/>
      <c r="AV21" s="264"/>
      <c r="AW21" s="265">
        <f t="shared" si="6"/>
        <v>0</v>
      </c>
      <c r="AX21" s="266" t="e">
        <f t="shared" si="7"/>
        <v>#DIV/0!</v>
      </c>
      <c r="AY21" s="267"/>
      <c r="AZ21" s="267"/>
      <c r="BA21" s="267"/>
      <c r="BB21" s="267"/>
      <c r="BC21" s="267"/>
      <c r="BD21" s="267"/>
      <c r="BE21" s="267"/>
      <c r="BF21" s="267"/>
      <c r="BG21" s="267"/>
      <c r="BH21" s="267"/>
      <c r="BI21" s="288"/>
      <c r="BJ21" s="467">
        <f t="shared" ref="BJ21:BJ22" si="11">SUM(B21+Q21+AF21+AU21)</f>
        <v>1</v>
      </c>
      <c r="BK21" s="306"/>
      <c r="BL21" s="306">
        <f t="shared" si="9"/>
        <v>5</v>
      </c>
      <c r="BM21" s="478">
        <f t="shared" si="10"/>
        <v>5</v>
      </c>
    </row>
    <row r="22" spans="1:65">
      <c r="A22" s="375" t="str">
        <f>'IA-SI  TANKER'!B7</f>
        <v>Bantry Bay</v>
      </c>
      <c r="B22" s="370"/>
      <c r="C22" s="371"/>
      <c r="D22" s="372">
        <f t="shared" ref="D22" si="12">SUM(F22:P22)</f>
        <v>0</v>
      </c>
      <c r="E22" s="373" t="e">
        <f t="shared" ref="E22" si="13">(D22/B22)</f>
        <v>#DIV/0!</v>
      </c>
      <c r="F22" s="374"/>
      <c r="G22" s="374"/>
      <c r="H22" s="374"/>
      <c r="I22" s="374"/>
      <c r="J22" s="374"/>
      <c r="K22" s="374"/>
      <c r="L22" s="374"/>
      <c r="M22" s="374"/>
      <c r="N22" s="374"/>
      <c r="O22" s="374"/>
      <c r="P22" s="416"/>
      <c r="Q22" s="429"/>
      <c r="R22" s="386"/>
      <c r="S22" s="372">
        <f t="shared" ref="S22" si="14">SUM(U22:AE22)</f>
        <v>0</v>
      </c>
      <c r="T22" s="373" t="e">
        <f t="shared" ref="T22" si="15">(S22/Q22)</f>
        <v>#DIV/0!</v>
      </c>
      <c r="U22" s="374"/>
      <c r="V22" s="374"/>
      <c r="W22" s="374"/>
      <c r="X22" s="374"/>
      <c r="Y22" s="374"/>
      <c r="Z22" s="374"/>
      <c r="AA22" s="374"/>
      <c r="AB22" s="374"/>
      <c r="AC22" s="374"/>
      <c r="AD22" s="374"/>
      <c r="AE22" s="416"/>
      <c r="AF22" s="251">
        <v>1</v>
      </c>
      <c r="AG22" s="264"/>
      <c r="AH22" s="265">
        <f t="shared" ref="AH22" si="16">SUM(AJ22:AT22)</f>
        <v>6</v>
      </c>
      <c r="AI22" s="266">
        <f t="shared" ref="AI22" si="17">(AH22/AF22)</f>
        <v>6</v>
      </c>
      <c r="AJ22" s="267"/>
      <c r="AK22" s="267"/>
      <c r="AL22" s="267"/>
      <c r="AM22" s="447">
        <v>5</v>
      </c>
      <c r="AN22" s="447"/>
      <c r="AO22" s="447"/>
      <c r="AP22" s="447"/>
      <c r="AQ22" s="447"/>
      <c r="AR22" s="447">
        <v>1</v>
      </c>
      <c r="AS22" s="447"/>
      <c r="AT22" s="288"/>
      <c r="AU22" s="251"/>
      <c r="AV22" s="264"/>
      <c r="AW22" s="265">
        <f t="shared" ref="AW22" si="18">SUM(AY22:BI22)</f>
        <v>0</v>
      </c>
      <c r="AX22" s="266" t="e">
        <f t="shared" ref="AX22" si="19">(AW22/AU22)</f>
        <v>#DIV/0!</v>
      </c>
      <c r="AY22" s="267"/>
      <c r="AZ22" s="267"/>
      <c r="BA22" s="267"/>
      <c r="BB22" s="267"/>
      <c r="BC22" s="267"/>
      <c r="BD22" s="267"/>
      <c r="BE22" s="267"/>
      <c r="BF22" s="267"/>
      <c r="BG22" s="267"/>
      <c r="BH22" s="267"/>
      <c r="BI22" s="288"/>
      <c r="BJ22" s="467">
        <f t="shared" si="11"/>
        <v>1</v>
      </c>
      <c r="BK22" s="306"/>
      <c r="BL22" s="306">
        <f t="shared" si="9"/>
        <v>6</v>
      </c>
      <c r="BM22" s="478">
        <f t="shared" si="10"/>
        <v>6</v>
      </c>
    </row>
    <row r="23" spans="1:65">
      <c r="A23" s="375" t="str">
        <f>'IA-SI  TANKER'!B8</f>
        <v>Bright Future</v>
      </c>
      <c r="B23" s="370"/>
      <c r="C23" s="371"/>
      <c r="D23" s="372">
        <f t="shared" si="0"/>
        <v>0</v>
      </c>
      <c r="E23" s="373" t="e">
        <f t="shared" si="1"/>
        <v>#DIV/0!</v>
      </c>
      <c r="F23" s="374"/>
      <c r="G23" s="374"/>
      <c r="H23" s="374"/>
      <c r="I23" s="374"/>
      <c r="J23" s="374"/>
      <c r="K23" s="374"/>
      <c r="L23" s="374"/>
      <c r="M23" s="374"/>
      <c r="N23" s="374"/>
      <c r="O23" s="374"/>
      <c r="P23" s="416"/>
      <c r="Q23" s="429">
        <v>1</v>
      </c>
      <c r="R23" s="386"/>
      <c r="S23" s="372">
        <f t="shared" si="2"/>
        <v>5</v>
      </c>
      <c r="T23" s="373">
        <f t="shared" si="3"/>
        <v>5</v>
      </c>
      <c r="U23" s="374">
        <v>1</v>
      </c>
      <c r="V23" s="374">
        <v>1</v>
      </c>
      <c r="W23" s="374"/>
      <c r="X23" s="374">
        <v>1</v>
      </c>
      <c r="Y23" s="374"/>
      <c r="Z23" s="374"/>
      <c r="AA23" s="374"/>
      <c r="AB23" s="374"/>
      <c r="AC23" s="374">
        <v>2</v>
      </c>
      <c r="AD23" s="374"/>
      <c r="AE23" s="416"/>
      <c r="AF23" s="251"/>
      <c r="AG23" s="264"/>
      <c r="AH23" s="265">
        <f t="shared" si="4"/>
        <v>0</v>
      </c>
      <c r="AI23" s="266" t="e">
        <f t="shared" si="5"/>
        <v>#DIV/0!</v>
      </c>
      <c r="AJ23" s="267"/>
      <c r="AK23" s="267"/>
      <c r="AL23" s="267"/>
      <c r="AM23" s="267"/>
      <c r="AN23" s="267"/>
      <c r="AO23" s="267"/>
      <c r="AP23" s="267"/>
      <c r="AQ23" s="267"/>
      <c r="AR23" s="267"/>
      <c r="AS23" s="267"/>
      <c r="AT23" s="288"/>
      <c r="AU23" s="251"/>
      <c r="AV23" s="264"/>
      <c r="AW23" s="265">
        <f t="shared" si="6"/>
        <v>0</v>
      </c>
      <c r="AX23" s="266" t="e">
        <f t="shared" si="7"/>
        <v>#DIV/0!</v>
      </c>
      <c r="AY23" s="267"/>
      <c r="AZ23" s="267"/>
      <c r="BA23" s="267"/>
      <c r="BB23" s="267"/>
      <c r="BC23" s="267"/>
      <c r="BD23" s="267"/>
      <c r="BE23" s="267"/>
      <c r="BF23" s="267"/>
      <c r="BG23" s="267"/>
      <c r="BH23" s="267"/>
      <c r="BI23" s="288"/>
      <c r="BJ23" s="467">
        <f t="shared" si="8"/>
        <v>1</v>
      </c>
      <c r="BK23" s="306"/>
      <c r="BL23" s="306">
        <f t="shared" si="9"/>
        <v>5</v>
      </c>
      <c r="BM23" s="478">
        <f t="shared" si="10"/>
        <v>5</v>
      </c>
    </row>
    <row r="24" spans="1:65">
      <c r="A24" s="375" t="str">
        <f>'IA-SI  TANKER'!B9</f>
        <v>Cielo di Houston</v>
      </c>
      <c r="B24" s="370">
        <v>1</v>
      </c>
      <c r="C24" s="371"/>
      <c r="D24" s="372">
        <f t="shared" si="0"/>
        <v>2</v>
      </c>
      <c r="E24" s="373">
        <f t="shared" si="1"/>
        <v>2</v>
      </c>
      <c r="F24" s="374">
        <v>1</v>
      </c>
      <c r="G24" s="374"/>
      <c r="H24" s="374"/>
      <c r="I24" s="374">
        <v>1</v>
      </c>
      <c r="J24" s="374"/>
      <c r="K24" s="374"/>
      <c r="L24" s="374"/>
      <c r="M24" s="374"/>
      <c r="N24" s="374"/>
      <c r="O24" s="374"/>
      <c r="P24" s="416"/>
      <c r="Q24" s="429"/>
      <c r="R24" s="386"/>
      <c r="S24" s="372">
        <f t="shared" si="2"/>
        <v>0</v>
      </c>
      <c r="T24" s="373" t="e">
        <f t="shared" si="3"/>
        <v>#DIV/0!</v>
      </c>
      <c r="U24" s="374"/>
      <c r="V24" s="374"/>
      <c r="W24" s="374"/>
      <c r="X24" s="374"/>
      <c r="Y24" s="374"/>
      <c r="Z24" s="374"/>
      <c r="AA24" s="374"/>
      <c r="AB24" s="374"/>
      <c r="AC24" s="374"/>
      <c r="AD24" s="374"/>
      <c r="AE24" s="416"/>
      <c r="AF24" s="251"/>
      <c r="AG24" s="264"/>
      <c r="AH24" s="265">
        <f t="shared" si="4"/>
        <v>0</v>
      </c>
      <c r="AI24" s="266" t="e">
        <f t="shared" si="5"/>
        <v>#DIV/0!</v>
      </c>
      <c r="AJ24" s="267"/>
      <c r="AK24" s="267"/>
      <c r="AL24" s="267"/>
      <c r="AM24" s="267"/>
      <c r="AN24" s="267"/>
      <c r="AO24" s="267"/>
      <c r="AP24" s="267"/>
      <c r="AQ24" s="267"/>
      <c r="AR24" s="267"/>
      <c r="AS24" s="267"/>
      <c r="AT24" s="288"/>
      <c r="AU24" s="251">
        <v>1</v>
      </c>
      <c r="AV24" s="264"/>
      <c r="AW24" s="265">
        <f t="shared" si="6"/>
        <v>4</v>
      </c>
      <c r="AX24" s="266">
        <f t="shared" si="7"/>
        <v>4</v>
      </c>
      <c r="AY24" s="267"/>
      <c r="AZ24" s="267"/>
      <c r="BA24" s="267"/>
      <c r="BB24" s="267">
        <v>1</v>
      </c>
      <c r="BC24" s="267"/>
      <c r="BD24" s="267"/>
      <c r="BE24" s="267"/>
      <c r="BF24" s="267"/>
      <c r="BG24" s="267"/>
      <c r="BH24" s="267">
        <v>3</v>
      </c>
      <c r="BI24" s="288"/>
      <c r="BJ24" s="467">
        <f t="shared" si="8"/>
        <v>2</v>
      </c>
      <c r="BK24" s="306"/>
      <c r="BL24" s="306">
        <f t="shared" si="9"/>
        <v>6</v>
      </c>
      <c r="BM24" s="478">
        <f t="shared" si="10"/>
        <v>3</v>
      </c>
    </row>
    <row r="25" spans="1:65">
      <c r="A25" s="375" t="str">
        <f>'IA-SI  TANKER'!B10</f>
        <v>Cielo Rosso</v>
      </c>
      <c r="B25" s="370"/>
      <c r="C25" s="376"/>
      <c r="D25" s="372">
        <f t="shared" si="0"/>
        <v>0</v>
      </c>
      <c r="E25" s="373" t="e">
        <f t="shared" si="1"/>
        <v>#DIV/0!</v>
      </c>
      <c r="F25" s="374"/>
      <c r="G25" s="374"/>
      <c r="H25" s="374"/>
      <c r="I25" s="374"/>
      <c r="J25" s="374"/>
      <c r="K25" s="374"/>
      <c r="L25" s="374"/>
      <c r="M25" s="374"/>
      <c r="N25" s="374"/>
      <c r="O25" s="374"/>
      <c r="P25" s="416"/>
      <c r="Q25" s="429">
        <v>1</v>
      </c>
      <c r="R25" s="386"/>
      <c r="S25" s="372">
        <f t="shared" si="2"/>
        <v>2</v>
      </c>
      <c r="T25" s="373">
        <f t="shared" si="3"/>
        <v>2</v>
      </c>
      <c r="U25" s="374"/>
      <c r="V25" s="374"/>
      <c r="W25" s="374"/>
      <c r="X25" s="374">
        <v>2</v>
      </c>
      <c r="Y25" s="374"/>
      <c r="Z25" s="374"/>
      <c r="AA25" s="374"/>
      <c r="AB25" s="374"/>
      <c r="AC25" s="374"/>
      <c r="AD25" s="374"/>
      <c r="AE25" s="416"/>
      <c r="AF25" s="251"/>
      <c r="AG25" s="264"/>
      <c r="AH25" s="265">
        <f t="shared" si="4"/>
        <v>0</v>
      </c>
      <c r="AI25" s="266" t="e">
        <f t="shared" si="5"/>
        <v>#DIV/0!</v>
      </c>
      <c r="AJ25" s="267"/>
      <c r="AK25" s="267"/>
      <c r="AL25" s="267"/>
      <c r="AM25" s="267"/>
      <c r="AN25" s="267"/>
      <c r="AO25" s="267"/>
      <c r="AP25" s="267"/>
      <c r="AQ25" s="267"/>
      <c r="AR25" s="267"/>
      <c r="AS25" s="267"/>
      <c r="AT25" s="288"/>
      <c r="AU25" s="251">
        <v>1</v>
      </c>
      <c r="AV25" s="264"/>
      <c r="AW25" s="265">
        <f t="shared" si="6"/>
        <v>3</v>
      </c>
      <c r="AX25" s="266">
        <f t="shared" si="7"/>
        <v>3</v>
      </c>
      <c r="AY25" s="267"/>
      <c r="AZ25" s="267"/>
      <c r="BA25" s="267"/>
      <c r="BB25" s="267">
        <v>3</v>
      </c>
      <c r="BC25" s="267"/>
      <c r="BD25" s="267"/>
      <c r="BE25" s="267"/>
      <c r="BF25" s="267"/>
      <c r="BG25" s="267"/>
      <c r="BH25" s="267"/>
      <c r="BI25" s="288"/>
      <c r="BJ25" s="467">
        <f t="shared" si="8"/>
        <v>2</v>
      </c>
      <c r="BK25" s="306"/>
      <c r="BL25" s="306">
        <f t="shared" si="9"/>
        <v>5</v>
      </c>
      <c r="BM25" s="478">
        <f t="shared" si="10"/>
        <v>2.5</v>
      </c>
    </row>
    <row r="26" spans="1:65">
      <c r="A26" s="375" t="str">
        <f>'IA-SI  TANKER'!B11</f>
        <v>Clearocean Maria</v>
      </c>
      <c r="B26" s="370"/>
      <c r="C26" s="371"/>
      <c r="D26" s="372">
        <f t="shared" si="0"/>
        <v>0</v>
      </c>
      <c r="E26" s="373" t="e">
        <f t="shared" si="1"/>
        <v>#DIV/0!</v>
      </c>
      <c r="F26" s="374"/>
      <c r="G26" s="374"/>
      <c r="H26" s="374"/>
      <c r="I26" s="374"/>
      <c r="J26" s="374"/>
      <c r="K26" s="374"/>
      <c r="L26" s="374"/>
      <c r="M26" s="374"/>
      <c r="N26" s="374"/>
      <c r="O26" s="374"/>
      <c r="P26" s="416"/>
      <c r="Q26" s="429"/>
      <c r="R26" s="386"/>
      <c r="S26" s="372">
        <f t="shared" si="2"/>
        <v>0</v>
      </c>
      <c r="T26" s="373" t="e">
        <f t="shared" si="3"/>
        <v>#DIV/0!</v>
      </c>
      <c r="U26" s="374"/>
      <c r="V26" s="374"/>
      <c r="W26" s="374"/>
      <c r="X26" s="374"/>
      <c r="Y26" s="374"/>
      <c r="Z26" s="374"/>
      <c r="AA26" s="374"/>
      <c r="AB26" s="374"/>
      <c r="AC26" s="374"/>
      <c r="AD26" s="374"/>
      <c r="AE26" s="416"/>
      <c r="AF26" s="251">
        <v>1</v>
      </c>
      <c r="AG26" s="264"/>
      <c r="AH26" s="265">
        <f t="shared" si="4"/>
        <v>6</v>
      </c>
      <c r="AI26" s="266">
        <f t="shared" si="5"/>
        <v>6</v>
      </c>
      <c r="AJ26" s="267">
        <v>2</v>
      </c>
      <c r="AK26" s="267"/>
      <c r="AL26" s="267"/>
      <c r="AM26" s="267">
        <v>2</v>
      </c>
      <c r="AN26" s="267"/>
      <c r="AO26" s="267"/>
      <c r="AP26" s="267">
        <v>2</v>
      </c>
      <c r="AQ26" s="267"/>
      <c r="AR26" s="267"/>
      <c r="AS26" s="267"/>
      <c r="AT26" s="288"/>
      <c r="AU26" s="251"/>
      <c r="AV26" s="264"/>
      <c r="AW26" s="265">
        <f t="shared" si="6"/>
        <v>0</v>
      </c>
      <c r="AX26" s="266" t="e">
        <f t="shared" si="7"/>
        <v>#DIV/0!</v>
      </c>
      <c r="AY26" s="267"/>
      <c r="AZ26" s="267"/>
      <c r="BA26" s="267"/>
      <c r="BB26" s="267"/>
      <c r="BC26" s="267"/>
      <c r="BD26" s="267"/>
      <c r="BE26" s="267"/>
      <c r="BF26" s="267"/>
      <c r="BG26" s="267"/>
      <c r="BH26" s="267"/>
      <c r="BI26" s="288"/>
      <c r="BJ26" s="467">
        <f t="shared" si="8"/>
        <v>1</v>
      </c>
      <c r="BK26" s="306"/>
      <c r="BL26" s="306">
        <f t="shared" si="9"/>
        <v>6</v>
      </c>
      <c r="BM26" s="478">
        <f t="shared" si="10"/>
        <v>6</v>
      </c>
    </row>
    <row r="27" spans="1:65">
      <c r="A27" s="375" t="str">
        <f>'IA-SI  TANKER'!B12</f>
        <v>Clearocean Mary</v>
      </c>
      <c r="B27" s="370"/>
      <c r="C27" s="371"/>
      <c r="D27" s="372">
        <f t="shared" si="0"/>
        <v>0</v>
      </c>
      <c r="E27" s="373" t="e">
        <f t="shared" si="1"/>
        <v>#DIV/0!</v>
      </c>
      <c r="F27" s="374"/>
      <c r="G27" s="374"/>
      <c r="H27" s="374"/>
      <c r="I27" s="374"/>
      <c r="J27" s="374"/>
      <c r="K27" s="374"/>
      <c r="L27" s="374"/>
      <c r="M27" s="374"/>
      <c r="N27" s="374"/>
      <c r="O27" s="374"/>
      <c r="P27" s="416"/>
      <c r="Q27" s="429"/>
      <c r="R27" s="386"/>
      <c r="S27" s="372">
        <f t="shared" si="2"/>
        <v>0</v>
      </c>
      <c r="T27" s="373" t="e">
        <f t="shared" si="3"/>
        <v>#DIV/0!</v>
      </c>
      <c r="U27" s="374"/>
      <c r="V27" s="374"/>
      <c r="W27" s="374"/>
      <c r="X27" s="374"/>
      <c r="Y27" s="374"/>
      <c r="Z27" s="374"/>
      <c r="AA27" s="374"/>
      <c r="AB27" s="374"/>
      <c r="AC27" s="374"/>
      <c r="AD27" s="374"/>
      <c r="AE27" s="416"/>
      <c r="AF27" s="251"/>
      <c r="AG27" s="264"/>
      <c r="AH27" s="265">
        <f t="shared" si="4"/>
        <v>0</v>
      </c>
      <c r="AI27" s="266" t="e">
        <f t="shared" si="5"/>
        <v>#DIV/0!</v>
      </c>
      <c r="AJ27" s="267"/>
      <c r="AK27" s="267"/>
      <c r="AL27" s="267"/>
      <c r="AM27" s="267"/>
      <c r="AN27" s="267"/>
      <c r="AO27" s="267"/>
      <c r="AP27" s="267"/>
      <c r="AQ27" s="267"/>
      <c r="AR27" s="267"/>
      <c r="AS27" s="267"/>
      <c r="AT27" s="288"/>
      <c r="AU27" s="251">
        <v>1</v>
      </c>
      <c r="AV27" s="264"/>
      <c r="AW27" s="265">
        <f t="shared" si="6"/>
        <v>4</v>
      </c>
      <c r="AX27" s="266">
        <f t="shared" si="7"/>
        <v>4</v>
      </c>
      <c r="AY27" s="267"/>
      <c r="AZ27" s="267"/>
      <c r="BA27" s="267"/>
      <c r="BB27" s="267">
        <v>1</v>
      </c>
      <c r="BC27" s="267"/>
      <c r="BD27" s="267"/>
      <c r="BE27" s="267">
        <v>1</v>
      </c>
      <c r="BF27" s="267"/>
      <c r="BG27" s="267">
        <v>1</v>
      </c>
      <c r="BH27" s="267">
        <v>1</v>
      </c>
      <c r="BI27" s="288"/>
      <c r="BJ27" s="467">
        <f t="shared" si="8"/>
        <v>1</v>
      </c>
      <c r="BK27" s="306"/>
      <c r="BL27" s="306">
        <f t="shared" si="9"/>
        <v>4</v>
      </c>
      <c r="BM27" s="478">
        <f t="shared" si="10"/>
        <v>4</v>
      </c>
    </row>
    <row r="28" spans="1:65">
      <c r="A28" s="375" t="str">
        <f>'IA-SI  TANKER'!B13</f>
        <v>Clearocean Mathilde</v>
      </c>
      <c r="B28" s="370"/>
      <c r="C28" s="371"/>
      <c r="D28" s="372">
        <f t="shared" si="0"/>
        <v>0</v>
      </c>
      <c r="E28" s="373" t="e">
        <f t="shared" si="1"/>
        <v>#DIV/0!</v>
      </c>
      <c r="F28" s="374"/>
      <c r="G28" s="374"/>
      <c r="H28" s="374"/>
      <c r="I28" s="374"/>
      <c r="J28" s="374"/>
      <c r="K28" s="374"/>
      <c r="L28" s="374"/>
      <c r="M28" s="374"/>
      <c r="N28" s="374"/>
      <c r="O28" s="374"/>
      <c r="P28" s="416"/>
      <c r="Q28" s="429"/>
      <c r="R28" s="386"/>
      <c r="S28" s="372">
        <f t="shared" si="2"/>
        <v>0</v>
      </c>
      <c r="T28" s="373" t="e">
        <f t="shared" si="3"/>
        <v>#DIV/0!</v>
      </c>
      <c r="U28" s="374"/>
      <c r="V28" s="374"/>
      <c r="W28" s="374"/>
      <c r="X28" s="374"/>
      <c r="Y28" s="374"/>
      <c r="Z28" s="374"/>
      <c r="AA28" s="374"/>
      <c r="AB28" s="374"/>
      <c r="AC28" s="374"/>
      <c r="AD28" s="374"/>
      <c r="AE28" s="416"/>
      <c r="AF28" s="251">
        <v>1</v>
      </c>
      <c r="AG28" s="264"/>
      <c r="AH28" s="265">
        <f t="shared" si="4"/>
        <v>3</v>
      </c>
      <c r="AI28" s="266">
        <f t="shared" si="5"/>
        <v>3</v>
      </c>
      <c r="AJ28" s="267"/>
      <c r="AK28" s="267"/>
      <c r="AL28" s="267"/>
      <c r="AM28" s="267">
        <v>2</v>
      </c>
      <c r="AN28" s="267">
        <v>1</v>
      </c>
      <c r="AO28" s="267"/>
      <c r="AP28" s="267"/>
      <c r="AQ28" s="267"/>
      <c r="AR28" s="267"/>
      <c r="AS28" s="267"/>
      <c r="AT28" s="288"/>
      <c r="AU28" s="251"/>
      <c r="AV28" s="264"/>
      <c r="AW28" s="265">
        <f t="shared" si="6"/>
        <v>0</v>
      </c>
      <c r="AX28" s="266" t="e">
        <f t="shared" si="7"/>
        <v>#DIV/0!</v>
      </c>
      <c r="AY28" s="267"/>
      <c r="AZ28" s="267"/>
      <c r="BA28" s="267"/>
      <c r="BB28" s="267"/>
      <c r="BC28" s="267"/>
      <c r="BD28" s="267"/>
      <c r="BE28" s="267"/>
      <c r="BF28" s="267"/>
      <c r="BG28" s="267"/>
      <c r="BH28" s="267"/>
      <c r="BI28" s="288"/>
      <c r="BJ28" s="467">
        <f t="shared" si="8"/>
        <v>1</v>
      </c>
      <c r="BK28" s="306"/>
      <c r="BL28" s="306">
        <f t="shared" si="9"/>
        <v>3</v>
      </c>
      <c r="BM28" s="478">
        <f t="shared" si="10"/>
        <v>3</v>
      </c>
    </row>
    <row r="29" spans="1:65">
      <c r="A29" s="375" t="str">
        <f>'IA-SI  TANKER'!B14</f>
        <v>Clearocean Music</v>
      </c>
      <c r="B29" s="370">
        <v>0</v>
      </c>
      <c r="C29" s="371"/>
      <c r="D29" s="377">
        <f t="shared" si="0"/>
        <v>0</v>
      </c>
      <c r="E29" s="378" t="e">
        <f t="shared" si="1"/>
        <v>#DIV/0!</v>
      </c>
      <c r="F29" s="374"/>
      <c r="G29" s="374"/>
      <c r="H29" s="374"/>
      <c r="I29" s="374"/>
      <c r="J29" s="374"/>
      <c r="K29" s="374"/>
      <c r="L29" s="374">
        <v>0</v>
      </c>
      <c r="M29" s="374"/>
      <c r="N29" s="374"/>
      <c r="O29" s="374"/>
      <c r="P29" s="416"/>
      <c r="Q29" s="429"/>
      <c r="R29" s="379"/>
      <c r="S29" s="377">
        <f t="shared" si="2"/>
        <v>0</v>
      </c>
      <c r="T29" s="378" t="e">
        <f t="shared" si="3"/>
        <v>#DIV/0!</v>
      </c>
      <c r="U29" s="374"/>
      <c r="V29" s="374"/>
      <c r="W29" s="374"/>
      <c r="X29" s="374"/>
      <c r="Y29" s="374"/>
      <c r="Z29" s="374"/>
      <c r="AA29" s="374"/>
      <c r="AB29" s="374"/>
      <c r="AC29" s="374"/>
      <c r="AD29" s="374"/>
      <c r="AE29" s="416"/>
      <c r="AF29" s="251">
        <v>1</v>
      </c>
      <c r="AG29" s="268"/>
      <c r="AH29" s="269">
        <v>3</v>
      </c>
      <c r="AI29" s="270">
        <f t="shared" si="5"/>
        <v>3</v>
      </c>
      <c r="AJ29" s="267"/>
      <c r="AK29" s="267"/>
      <c r="AL29" s="267"/>
      <c r="AM29" s="267">
        <v>3</v>
      </c>
      <c r="AN29" s="267"/>
      <c r="AO29" s="267"/>
      <c r="AP29" s="267"/>
      <c r="AQ29" s="267"/>
      <c r="AR29" s="267"/>
      <c r="AS29" s="267"/>
      <c r="AT29" s="288"/>
      <c r="AU29" s="251"/>
      <c r="AV29" s="268"/>
      <c r="AW29" s="269">
        <f t="shared" si="6"/>
        <v>0</v>
      </c>
      <c r="AX29" s="270" t="e">
        <f t="shared" si="7"/>
        <v>#DIV/0!</v>
      </c>
      <c r="AY29" s="267"/>
      <c r="AZ29" s="267"/>
      <c r="BA29" s="267"/>
      <c r="BB29" s="267"/>
      <c r="BC29" s="267"/>
      <c r="BD29" s="267"/>
      <c r="BE29" s="267"/>
      <c r="BF29" s="267"/>
      <c r="BG29" s="267"/>
      <c r="BH29" s="267"/>
      <c r="BI29" s="288"/>
      <c r="BJ29" s="467">
        <f t="shared" si="8"/>
        <v>1</v>
      </c>
      <c r="BK29" s="468"/>
      <c r="BL29" s="468">
        <f t="shared" si="9"/>
        <v>3</v>
      </c>
      <c r="BM29" s="479">
        <f t="shared" si="10"/>
        <v>3</v>
      </c>
    </row>
    <row r="30" spans="1:65">
      <c r="A30" s="375" t="str">
        <f>'IA-SI  TANKER'!B15</f>
        <v>Rui Fu Xing (Glenda Melanie)</v>
      </c>
      <c r="B30" s="370"/>
      <c r="C30" s="376"/>
      <c r="D30" s="377">
        <f t="shared" si="0"/>
        <v>0</v>
      </c>
      <c r="E30" s="378" t="e">
        <f t="shared" si="1"/>
        <v>#DIV/0!</v>
      </c>
      <c r="F30" s="374"/>
      <c r="G30" s="374"/>
      <c r="H30" s="374"/>
      <c r="I30" s="374"/>
      <c r="J30" s="374"/>
      <c r="K30" s="374"/>
      <c r="L30" s="374"/>
      <c r="M30" s="374"/>
      <c r="N30" s="374"/>
      <c r="O30" s="374"/>
      <c r="P30" s="416"/>
      <c r="Q30" s="429">
        <v>1</v>
      </c>
      <c r="R30" s="379"/>
      <c r="S30" s="377">
        <f t="shared" si="2"/>
        <v>4</v>
      </c>
      <c r="T30" s="378">
        <f t="shared" si="3"/>
        <v>4</v>
      </c>
      <c r="U30" s="374"/>
      <c r="V30" s="374"/>
      <c r="W30" s="374"/>
      <c r="X30" s="374">
        <v>3</v>
      </c>
      <c r="Y30" s="374">
        <v>1</v>
      </c>
      <c r="Z30" s="374"/>
      <c r="AA30" s="374"/>
      <c r="AB30" s="374"/>
      <c r="AC30" s="374"/>
      <c r="AD30" s="374"/>
      <c r="AE30" s="416"/>
      <c r="AF30" s="251"/>
      <c r="AG30" s="268"/>
      <c r="AH30" s="269">
        <f t="shared" si="4"/>
        <v>0</v>
      </c>
      <c r="AI30" s="270" t="e">
        <f t="shared" si="5"/>
        <v>#DIV/0!</v>
      </c>
      <c r="AJ30" s="267"/>
      <c r="AK30" s="267"/>
      <c r="AL30" s="267"/>
      <c r="AM30" s="267"/>
      <c r="AN30" s="267"/>
      <c r="AO30" s="267"/>
      <c r="AP30" s="267"/>
      <c r="AQ30" s="267"/>
      <c r="AR30" s="267"/>
      <c r="AS30" s="267"/>
      <c r="AT30" s="288"/>
      <c r="AU30" s="251"/>
      <c r="AV30" s="268"/>
      <c r="AW30" s="269">
        <f t="shared" si="6"/>
        <v>0</v>
      </c>
      <c r="AX30" s="270" t="e">
        <f t="shared" si="7"/>
        <v>#DIV/0!</v>
      </c>
      <c r="AY30" s="267"/>
      <c r="AZ30" s="267"/>
      <c r="BA30" s="267"/>
      <c r="BB30" s="267"/>
      <c r="BC30" s="267"/>
      <c r="BD30" s="267"/>
      <c r="BE30" s="267"/>
      <c r="BF30" s="267"/>
      <c r="BG30" s="267"/>
      <c r="BH30" s="267"/>
      <c r="BI30" s="288"/>
      <c r="BJ30" s="467">
        <f t="shared" si="8"/>
        <v>1</v>
      </c>
      <c r="BK30" s="468"/>
      <c r="BL30" s="468">
        <f t="shared" si="9"/>
        <v>4</v>
      </c>
      <c r="BM30" s="479">
        <f t="shared" si="10"/>
        <v>4</v>
      </c>
    </row>
    <row r="31" spans="1:65">
      <c r="A31" s="375" t="str">
        <f>'IA-SI  TANKER'!B16</f>
        <v>Glenda Melissa</v>
      </c>
      <c r="B31" s="370">
        <v>1</v>
      </c>
      <c r="C31" s="376"/>
      <c r="D31" s="377">
        <f t="shared" si="0"/>
        <v>4</v>
      </c>
      <c r="E31" s="378">
        <f t="shared" si="1"/>
        <v>4</v>
      </c>
      <c r="F31" s="374"/>
      <c r="G31" s="374"/>
      <c r="H31" s="374">
        <v>2</v>
      </c>
      <c r="I31" s="374">
        <v>1</v>
      </c>
      <c r="J31" s="374"/>
      <c r="K31" s="374"/>
      <c r="L31" s="374">
        <v>1</v>
      </c>
      <c r="M31" s="374"/>
      <c r="N31" s="374"/>
      <c r="O31" s="374"/>
      <c r="P31" s="416"/>
      <c r="Q31" s="429"/>
      <c r="R31" s="379"/>
      <c r="S31" s="377">
        <f t="shared" si="2"/>
        <v>0</v>
      </c>
      <c r="T31" s="378" t="e">
        <f t="shared" si="3"/>
        <v>#DIV/0!</v>
      </c>
      <c r="U31" s="374"/>
      <c r="V31" s="374"/>
      <c r="W31" s="374"/>
      <c r="X31" s="374"/>
      <c r="Y31" s="374"/>
      <c r="Z31" s="374"/>
      <c r="AA31" s="374"/>
      <c r="AB31" s="374"/>
      <c r="AC31" s="374"/>
      <c r="AD31" s="374"/>
      <c r="AE31" s="416"/>
      <c r="AF31" s="251"/>
      <c r="AG31" s="268"/>
      <c r="AH31" s="269">
        <f t="shared" si="4"/>
        <v>0</v>
      </c>
      <c r="AI31" s="270" t="e">
        <f t="shared" si="5"/>
        <v>#DIV/0!</v>
      </c>
      <c r="AJ31" s="267"/>
      <c r="AK31" s="267"/>
      <c r="AL31" s="267"/>
      <c r="AM31" s="267"/>
      <c r="AN31" s="267"/>
      <c r="AO31" s="267"/>
      <c r="AP31" s="267"/>
      <c r="AQ31" s="267"/>
      <c r="AR31" s="267"/>
      <c r="AS31" s="267"/>
      <c r="AT31" s="288"/>
      <c r="AU31" s="251"/>
      <c r="AV31" s="268"/>
      <c r="AW31" s="269">
        <f t="shared" si="6"/>
        <v>0</v>
      </c>
      <c r="AX31" s="270" t="e">
        <f t="shared" si="7"/>
        <v>#DIV/0!</v>
      </c>
      <c r="AY31" s="267"/>
      <c r="AZ31" s="267"/>
      <c r="BA31" s="267"/>
      <c r="BB31" s="267"/>
      <c r="BC31" s="267"/>
      <c r="BD31" s="267"/>
      <c r="BE31" s="267"/>
      <c r="BF31" s="267"/>
      <c r="BG31" s="267"/>
      <c r="BH31" s="267"/>
      <c r="BI31" s="288"/>
      <c r="BJ31" s="467">
        <f t="shared" si="8"/>
        <v>1</v>
      </c>
      <c r="BK31" s="468"/>
      <c r="BL31" s="468">
        <f t="shared" si="9"/>
        <v>4</v>
      </c>
      <c r="BM31" s="479">
        <f t="shared" si="10"/>
        <v>4</v>
      </c>
    </row>
    <row r="32" spans="1:65">
      <c r="A32" s="375" t="str">
        <f>'IA-SI  TANKER'!B17</f>
        <v>Glenda Melody</v>
      </c>
      <c r="B32" s="370"/>
      <c r="C32" s="376"/>
      <c r="D32" s="377">
        <f t="shared" si="0"/>
        <v>0</v>
      </c>
      <c r="E32" s="378" t="e">
        <f t="shared" si="1"/>
        <v>#DIV/0!</v>
      </c>
      <c r="F32" s="374"/>
      <c r="G32" s="374"/>
      <c r="H32" s="374"/>
      <c r="I32" s="374"/>
      <c r="J32" s="374"/>
      <c r="K32" s="374"/>
      <c r="L32" s="374"/>
      <c r="M32" s="374"/>
      <c r="N32" s="374"/>
      <c r="O32" s="374"/>
      <c r="P32" s="416"/>
      <c r="Q32" s="429">
        <v>1</v>
      </c>
      <c r="R32" s="379"/>
      <c r="S32" s="377">
        <f t="shared" si="2"/>
        <v>6</v>
      </c>
      <c r="T32" s="378">
        <f t="shared" si="3"/>
        <v>6</v>
      </c>
      <c r="U32" s="374">
        <v>1</v>
      </c>
      <c r="V32" s="374">
        <v>1</v>
      </c>
      <c r="W32" s="374">
        <v>1</v>
      </c>
      <c r="X32" s="374">
        <v>2</v>
      </c>
      <c r="Y32" s="374">
        <v>1</v>
      </c>
      <c r="Z32" s="374"/>
      <c r="AA32" s="374"/>
      <c r="AB32" s="374"/>
      <c r="AC32" s="374"/>
      <c r="AD32" s="374"/>
      <c r="AE32" s="416"/>
      <c r="AF32" s="251"/>
      <c r="AG32" s="268"/>
      <c r="AH32" s="269">
        <f t="shared" si="4"/>
        <v>0</v>
      </c>
      <c r="AI32" s="270" t="e">
        <f t="shared" si="5"/>
        <v>#DIV/0!</v>
      </c>
      <c r="AJ32" s="267"/>
      <c r="AK32" s="267"/>
      <c r="AL32" s="267"/>
      <c r="AM32" s="267"/>
      <c r="AN32" s="267"/>
      <c r="AO32" s="267"/>
      <c r="AP32" s="267"/>
      <c r="AQ32" s="267"/>
      <c r="AR32" s="267"/>
      <c r="AS32" s="267"/>
      <c r="AT32" s="288"/>
      <c r="AU32" s="251"/>
      <c r="AV32" s="268"/>
      <c r="AW32" s="269">
        <f t="shared" si="6"/>
        <v>0</v>
      </c>
      <c r="AX32" s="270" t="e">
        <f t="shared" si="7"/>
        <v>#DIV/0!</v>
      </c>
      <c r="AY32" s="267"/>
      <c r="AZ32" s="267"/>
      <c r="BA32" s="267"/>
      <c r="BB32" s="267"/>
      <c r="BC32" s="267"/>
      <c r="BD32" s="267"/>
      <c r="BE32" s="267"/>
      <c r="BF32" s="267"/>
      <c r="BG32" s="267"/>
      <c r="BH32" s="267"/>
      <c r="BI32" s="288"/>
      <c r="BJ32" s="467">
        <f t="shared" si="8"/>
        <v>1</v>
      </c>
      <c r="BK32" s="468"/>
      <c r="BL32" s="468">
        <f t="shared" si="9"/>
        <v>6</v>
      </c>
      <c r="BM32" s="479">
        <f t="shared" si="10"/>
        <v>6</v>
      </c>
    </row>
    <row r="33" spans="1:65">
      <c r="A33" s="375" t="str">
        <f>'IA-SI  TANKER'!B18</f>
        <v>Glenda Meryl</v>
      </c>
      <c r="B33" s="370">
        <v>1</v>
      </c>
      <c r="C33" s="376"/>
      <c r="D33" s="377">
        <f t="shared" si="0"/>
        <v>3</v>
      </c>
      <c r="E33" s="378">
        <f t="shared" si="1"/>
        <v>3</v>
      </c>
      <c r="F33" s="374"/>
      <c r="G33" s="374"/>
      <c r="H33" s="374">
        <v>1</v>
      </c>
      <c r="I33" s="374">
        <v>1</v>
      </c>
      <c r="J33" s="374"/>
      <c r="K33" s="374"/>
      <c r="L33" s="374"/>
      <c r="M33" s="374"/>
      <c r="N33" s="374"/>
      <c r="O33" s="374">
        <v>1</v>
      </c>
      <c r="P33" s="416"/>
      <c r="Q33" s="429"/>
      <c r="R33" s="379"/>
      <c r="S33" s="377">
        <f t="shared" si="2"/>
        <v>0</v>
      </c>
      <c r="T33" s="378" t="e">
        <f t="shared" si="3"/>
        <v>#DIV/0!</v>
      </c>
      <c r="U33" s="374"/>
      <c r="V33" s="374"/>
      <c r="W33" s="374"/>
      <c r="X33" s="374"/>
      <c r="Y33" s="374"/>
      <c r="Z33" s="374"/>
      <c r="AA33" s="374"/>
      <c r="AB33" s="374"/>
      <c r="AC33" s="374"/>
      <c r="AD33" s="374"/>
      <c r="AE33" s="416"/>
      <c r="AF33" s="251"/>
      <c r="AG33" s="268"/>
      <c r="AH33" s="269">
        <f t="shared" si="4"/>
        <v>0</v>
      </c>
      <c r="AI33" s="270" t="e">
        <f t="shared" si="5"/>
        <v>#DIV/0!</v>
      </c>
      <c r="AJ33" s="267"/>
      <c r="AK33" s="267"/>
      <c r="AL33" s="267"/>
      <c r="AM33" s="267"/>
      <c r="AN33" s="267"/>
      <c r="AO33" s="267"/>
      <c r="AP33" s="267"/>
      <c r="AQ33" s="267"/>
      <c r="AR33" s="267"/>
      <c r="AS33" s="267"/>
      <c r="AT33" s="288"/>
      <c r="AU33" s="251">
        <v>1</v>
      </c>
      <c r="AV33" s="268"/>
      <c r="AW33" s="269">
        <f t="shared" si="6"/>
        <v>6</v>
      </c>
      <c r="AX33" s="270">
        <f t="shared" si="7"/>
        <v>6</v>
      </c>
      <c r="AY33" s="267">
        <v>1</v>
      </c>
      <c r="AZ33" s="267"/>
      <c r="BA33" s="267">
        <v>2</v>
      </c>
      <c r="BB33" s="267">
        <v>1</v>
      </c>
      <c r="BC33" s="267">
        <v>1</v>
      </c>
      <c r="BD33" s="267"/>
      <c r="BE33" s="267">
        <v>1</v>
      </c>
      <c r="BF33" s="267"/>
      <c r="BG33" s="267"/>
      <c r="BH33" s="267"/>
      <c r="BI33" s="288"/>
      <c r="BJ33" s="467">
        <f t="shared" ref="BJ33:BJ35" si="20">SUM(B33+Q33+AF33+AU33)</f>
        <v>2</v>
      </c>
      <c r="BK33" s="468"/>
      <c r="BL33" s="468">
        <f t="shared" si="9"/>
        <v>9</v>
      </c>
      <c r="BM33" s="479">
        <f t="shared" si="10"/>
        <v>4.5</v>
      </c>
    </row>
    <row r="34" spans="1:65">
      <c r="A34" s="375" t="str">
        <f>'IA-SI  TANKER'!B19</f>
        <v>Herolds Bay</v>
      </c>
      <c r="B34" s="370"/>
      <c r="C34" s="379"/>
      <c r="D34" s="377">
        <f t="shared" si="0"/>
        <v>0</v>
      </c>
      <c r="E34" s="378" t="e">
        <f t="shared" si="1"/>
        <v>#DIV/0!</v>
      </c>
      <c r="F34" s="374"/>
      <c r="G34" s="374"/>
      <c r="H34" s="374"/>
      <c r="I34" s="374"/>
      <c r="J34" s="374"/>
      <c r="K34" s="374"/>
      <c r="L34" s="374"/>
      <c r="M34" s="374"/>
      <c r="N34" s="374"/>
      <c r="O34" s="374"/>
      <c r="P34" s="416"/>
      <c r="Q34" s="429"/>
      <c r="R34" s="379"/>
      <c r="S34" s="377">
        <f t="shared" ref="S34" si="21">SUM(U34:AE34)</f>
        <v>0</v>
      </c>
      <c r="T34" s="378" t="e">
        <f t="shared" ref="T34" si="22">(S34/Q34)</f>
        <v>#DIV/0!</v>
      </c>
      <c r="U34" s="374"/>
      <c r="V34" s="374"/>
      <c r="W34" s="374"/>
      <c r="X34" s="374"/>
      <c r="Y34" s="374"/>
      <c r="Z34" s="374"/>
      <c r="AA34" s="374"/>
      <c r="AB34" s="374"/>
      <c r="AC34" s="374"/>
      <c r="AD34" s="374"/>
      <c r="AE34" s="416"/>
      <c r="AF34" s="251"/>
      <c r="AG34" s="268"/>
      <c r="AH34" s="269">
        <f t="shared" ref="AH34" si="23">SUM(AJ34:AT34)</f>
        <v>0</v>
      </c>
      <c r="AI34" s="270" t="e">
        <f t="shared" ref="AI34" si="24">(AH34/AF34)</f>
        <v>#DIV/0!</v>
      </c>
      <c r="AJ34" s="267"/>
      <c r="AK34" s="267"/>
      <c r="AL34" s="267"/>
      <c r="AM34" s="267"/>
      <c r="AN34" s="267"/>
      <c r="AO34" s="267"/>
      <c r="AP34" s="267"/>
      <c r="AQ34" s="267"/>
      <c r="AR34" s="267"/>
      <c r="AS34" s="267"/>
      <c r="AT34" s="288"/>
      <c r="AU34" s="251">
        <v>1</v>
      </c>
      <c r="AV34" s="268"/>
      <c r="AW34" s="269">
        <f t="shared" ref="AW34" si="25">SUM(AY34:BI34)</f>
        <v>4</v>
      </c>
      <c r="AX34" s="270">
        <f t="shared" ref="AX34" si="26">(AW34/AU34)</f>
        <v>4</v>
      </c>
      <c r="AY34" s="267"/>
      <c r="AZ34" s="267"/>
      <c r="BA34" s="267"/>
      <c r="BB34" s="267">
        <v>4</v>
      </c>
      <c r="BC34" s="267"/>
      <c r="BD34" s="267"/>
      <c r="BE34" s="267"/>
      <c r="BF34" s="267"/>
      <c r="BG34" s="267"/>
      <c r="BH34" s="267"/>
      <c r="BI34" s="288"/>
      <c r="BJ34" s="467">
        <f t="shared" ref="BJ34" si="27">SUM(B34+Q34+AF34+AU34)</f>
        <v>1</v>
      </c>
      <c r="BK34" s="468"/>
      <c r="BL34" s="468">
        <f t="shared" si="9"/>
        <v>4</v>
      </c>
      <c r="BM34" s="479">
        <f t="shared" ref="BM34" si="28">(BL34/BJ34)</f>
        <v>4</v>
      </c>
    </row>
    <row r="35" spans="1:65">
      <c r="A35" s="375" t="str">
        <f>'IA-SI  TANKER'!B20</f>
        <v>High Explorer</v>
      </c>
      <c r="B35" s="370"/>
      <c r="C35" s="379"/>
      <c r="D35" s="377">
        <f t="shared" si="0"/>
        <v>0</v>
      </c>
      <c r="E35" s="378" t="e">
        <f t="shared" si="1"/>
        <v>#DIV/0!</v>
      </c>
      <c r="F35" s="374"/>
      <c r="G35" s="374"/>
      <c r="H35" s="374"/>
      <c r="I35" s="374"/>
      <c r="J35" s="374"/>
      <c r="K35" s="374"/>
      <c r="L35" s="374"/>
      <c r="M35" s="374"/>
      <c r="N35" s="374"/>
      <c r="O35" s="374"/>
      <c r="P35" s="416"/>
      <c r="Q35" s="429"/>
      <c r="R35" s="379"/>
      <c r="S35" s="377">
        <f t="shared" si="2"/>
        <v>0</v>
      </c>
      <c r="T35" s="378" t="e">
        <f t="shared" si="3"/>
        <v>#DIV/0!</v>
      </c>
      <c r="U35" s="374"/>
      <c r="V35" s="374"/>
      <c r="W35" s="374"/>
      <c r="X35" s="374"/>
      <c r="Y35" s="374"/>
      <c r="Z35" s="374"/>
      <c r="AA35" s="374"/>
      <c r="AB35" s="374"/>
      <c r="AC35" s="374"/>
      <c r="AD35" s="374"/>
      <c r="AE35" s="416"/>
      <c r="AF35" s="251">
        <v>1</v>
      </c>
      <c r="AG35" s="268"/>
      <c r="AH35" s="269">
        <f t="shared" si="4"/>
        <v>5</v>
      </c>
      <c r="AI35" s="270">
        <f t="shared" si="5"/>
        <v>5</v>
      </c>
      <c r="AJ35" s="267"/>
      <c r="AK35" s="267"/>
      <c r="AL35" s="267">
        <v>1</v>
      </c>
      <c r="AM35" s="267">
        <v>3</v>
      </c>
      <c r="AN35" s="267"/>
      <c r="AO35" s="267"/>
      <c r="AP35" s="267"/>
      <c r="AQ35" s="267">
        <v>1</v>
      </c>
      <c r="AR35" s="267"/>
      <c r="AS35" s="267"/>
      <c r="AT35" s="288"/>
      <c r="AU35" s="251"/>
      <c r="AV35" s="268"/>
      <c r="AW35" s="269">
        <f t="shared" si="6"/>
        <v>0</v>
      </c>
      <c r="AX35" s="270" t="e">
        <f t="shared" si="7"/>
        <v>#DIV/0!</v>
      </c>
      <c r="AY35" s="267"/>
      <c r="AZ35" s="267"/>
      <c r="BA35" s="267"/>
      <c r="BB35" s="267"/>
      <c r="BC35" s="267"/>
      <c r="BD35" s="267"/>
      <c r="BE35" s="267"/>
      <c r="BF35" s="267"/>
      <c r="BG35" s="267"/>
      <c r="BH35" s="267"/>
      <c r="BI35" s="288"/>
      <c r="BJ35" s="467">
        <f t="shared" si="20"/>
        <v>1</v>
      </c>
      <c r="BK35" s="468"/>
      <c r="BL35" s="468">
        <f t="shared" si="9"/>
        <v>5</v>
      </c>
      <c r="BM35" s="479">
        <f t="shared" si="10"/>
        <v>5</v>
      </c>
    </row>
    <row r="36" spans="1:65">
      <c r="A36" s="375" t="str">
        <f>'IA-SI  TANKER'!B21</f>
        <v>High Mariner</v>
      </c>
      <c r="B36" s="370"/>
      <c r="C36" s="379"/>
      <c r="D36" s="377">
        <f t="shared" ref="D36" si="29">SUM(F36:P36)</f>
        <v>0</v>
      </c>
      <c r="E36" s="378" t="e">
        <f t="shared" ref="E36" si="30">(D36/B36)</f>
        <v>#DIV/0!</v>
      </c>
      <c r="F36" s="374"/>
      <c r="G36" s="374"/>
      <c r="H36" s="374"/>
      <c r="I36" s="374"/>
      <c r="J36" s="374"/>
      <c r="K36" s="374"/>
      <c r="L36" s="374"/>
      <c r="M36" s="374"/>
      <c r="N36" s="374"/>
      <c r="O36" s="374"/>
      <c r="P36" s="416"/>
      <c r="Q36" s="429"/>
      <c r="R36" s="379"/>
      <c r="S36" s="377">
        <f t="shared" ref="S36" si="31">SUM(U36:AE36)</f>
        <v>0</v>
      </c>
      <c r="T36" s="378" t="e">
        <f t="shared" ref="T36" si="32">(S36/Q36)</f>
        <v>#DIV/0!</v>
      </c>
      <c r="U36" s="374"/>
      <c r="V36" s="374"/>
      <c r="W36" s="374"/>
      <c r="X36" s="374"/>
      <c r="Y36" s="374"/>
      <c r="Z36" s="374"/>
      <c r="AA36" s="374"/>
      <c r="AB36" s="374"/>
      <c r="AC36" s="374"/>
      <c r="AD36" s="374"/>
      <c r="AE36" s="416"/>
      <c r="AF36" s="251"/>
      <c r="AG36" s="268"/>
      <c r="AH36" s="269">
        <f t="shared" ref="AH36" si="33">SUM(AJ36:AT36)</f>
        <v>0</v>
      </c>
      <c r="AI36" s="270" t="e">
        <f t="shared" ref="AI36" si="34">(AH36/AF36)</f>
        <v>#DIV/0!</v>
      </c>
      <c r="AJ36" s="267"/>
      <c r="AK36" s="267"/>
      <c r="AL36" s="267"/>
      <c r="AM36" s="267"/>
      <c r="AN36" s="267"/>
      <c r="AO36" s="267"/>
      <c r="AP36" s="267"/>
      <c r="AQ36" s="267"/>
      <c r="AR36" s="267"/>
      <c r="AS36" s="267"/>
      <c r="AT36" s="288"/>
      <c r="AU36" s="251"/>
      <c r="AV36" s="268"/>
      <c r="AW36" s="269">
        <f t="shared" ref="AW36" si="35">SUM(AY36:BI36)</f>
        <v>0</v>
      </c>
      <c r="AX36" s="270" t="e">
        <f t="shared" ref="AX36" si="36">(AW36/AU36)</f>
        <v>#DIV/0!</v>
      </c>
      <c r="AY36" s="267"/>
      <c r="AZ36" s="267"/>
      <c r="BA36" s="267"/>
      <c r="BB36" s="267"/>
      <c r="BC36" s="267"/>
      <c r="BD36" s="267"/>
      <c r="BE36" s="267"/>
      <c r="BF36" s="267"/>
      <c r="BG36" s="267"/>
      <c r="BH36" s="267"/>
      <c r="BI36" s="288"/>
      <c r="BJ36" s="467">
        <f t="shared" ref="BJ36" si="37">SUM(B36+Q36+AF36+AU36)</f>
        <v>0</v>
      </c>
      <c r="BK36" s="468"/>
      <c r="BL36" s="468">
        <f t="shared" ref="BL36" si="38">SUM(D36,S36,AH36,AW36)</f>
        <v>0</v>
      </c>
      <c r="BM36" s="479" t="e">
        <f t="shared" ref="BM36" si="39">(BL36/BJ36)</f>
        <v>#DIV/0!</v>
      </c>
    </row>
    <row r="37" spans="1:65">
      <c r="A37" s="375" t="str">
        <f>'IA-SI  TANKER'!B22</f>
        <v>High Transporter</v>
      </c>
      <c r="B37" s="370"/>
      <c r="C37" s="379"/>
      <c r="D37" s="377">
        <f t="shared" ref="D37" si="40">SUM(F37:P37)</f>
        <v>0</v>
      </c>
      <c r="E37" s="378" t="e">
        <f t="shared" ref="E37" si="41">(D37/B37)</f>
        <v>#DIV/0!</v>
      </c>
      <c r="F37" s="374"/>
      <c r="G37" s="374"/>
      <c r="H37" s="374"/>
      <c r="I37" s="374"/>
      <c r="J37" s="374"/>
      <c r="K37" s="374"/>
      <c r="L37" s="374"/>
      <c r="M37" s="374"/>
      <c r="N37" s="374"/>
      <c r="O37" s="374"/>
      <c r="P37" s="416"/>
      <c r="Q37" s="429"/>
      <c r="R37" s="379"/>
      <c r="S37" s="377">
        <f t="shared" ref="S37" si="42">SUM(U37:AE37)</f>
        <v>0</v>
      </c>
      <c r="T37" s="378" t="e">
        <f t="shared" ref="T37" si="43">(S37/Q37)</f>
        <v>#DIV/0!</v>
      </c>
      <c r="U37" s="374"/>
      <c r="V37" s="374"/>
      <c r="W37" s="374"/>
      <c r="X37" s="374"/>
      <c r="Y37" s="374"/>
      <c r="Z37" s="374"/>
      <c r="AA37" s="374"/>
      <c r="AB37" s="374"/>
      <c r="AC37" s="374"/>
      <c r="AD37" s="374"/>
      <c r="AE37" s="416"/>
      <c r="AF37" s="251"/>
      <c r="AG37" s="268"/>
      <c r="AH37" s="269">
        <f t="shared" ref="AH37" si="44">SUM(AJ37:AT37)</f>
        <v>0</v>
      </c>
      <c r="AI37" s="270" t="e">
        <f t="shared" ref="AI37" si="45">(AH37/AF37)</f>
        <v>#DIV/0!</v>
      </c>
      <c r="AJ37" s="267"/>
      <c r="AK37" s="267"/>
      <c r="AL37" s="267"/>
      <c r="AM37" s="267"/>
      <c r="AN37" s="267"/>
      <c r="AO37" s="267"/>
      <c r="AP37" s="267"/>
      <c r="AQ37" s="267"/>
      <c r="AR37" s="267"/>
      <c r="AS37" s="267"/>
      <c r="AT37" s="288"/>
      <c r="AU37" s="251">
        <v>1</v>
      </c>
      <c r="AV37" s="268"/>
      <c r="AW37" s="269">
        <f t="shared" ref="AW37" si="46">SUM(AY37:BI37)</f>
        <v>7</v>
      </c>
      <c r="AX37" s="270">
        <f t="shared" ref="AX37" si="47">(AW37/AU37)</f>
        <v>7</v>
      </c>
      <c r="AY37" s="267"/>
      <c r="AZ37" s="267"/>
      <c r="BA37" s="267"/>
      <c r="BB37" s="267">
        <v>3</v>
      </c>
      <c r="BC37" s="267"/>
      <c r="BD37" s="267"/>
      <c r="BE37" s="267"/>
      <c r="BF37" s="267">
        <v>2</v>
      </c>
      <c r="BG37" s="267">
        <v>1</v>
      </c>
      <c r="BH37" s="267">
        <v>1</v>
      </c>
      <c r="BI37" s="288"/>
      <c r="BJ37" s="467">
        <f t="shared" ref="BJ37" si="48">SUM(B37+Q37+AF37+AU37)</f>
        <v>1</v>
      </c>
      <c r="BK37" s="468"/>
      <c r="BL37" s="468">
        <f t="shared" ref="BL37" si="49">SUM(D37,S37,AH37,AW37)</f>
        <v>7</v>
      </c>
      <c r="BM37" s="479">
        <f t="shared" ref="BM37" si="50">(BL37/BJ37)</f>
        <v>7</v>
      </c>
    </row>
    <row r="38" spans="1:65">
      <c r="A38" s="375" t="str">
        <f>'IA-SI  TANKER'!B$23</f>
        <v>Kalk Bay</v>
      </c>
      <c r="B38" s="370"/>
      <c r="C38" s="379"/>
      <c r="D38" s="377">
        <f t="shared" ref="D38:D39" si="51">SUM(F38:P38)</f>
        <v>0</v>
      </c>
      <c r="E38" s="378" t="e">
        <f t="shared" ref="E38:E39" si="52">(D38/B38)</f>
        <v>#DIV/0!</v>
      </c>
      <c r="F38" s="374"/>
      <c r="G38" s="374"/>
      <c r="H38" s="374"/>
      <c r="I38" s="374"/>
      <c r="J38" s="374"/>
      <c r="K38" s="374"/>
      <c r="L38" s="374"/>
      <c r="M38" s="374"/>
      <c r="N38" s="374"/>
      <c r="O38" s="374"/>
      <c r="P38" s="416"/>
      <c r="Q38" s="429">
        <v>1</v>
      </c>
      <c r="R38" s="379"/>
      <c r="S38" s="377">
        <f t="shared" ref="S38:S39" si="53">SUM(U38:AE38)</f>
        <v>4</v>
      </c>
      <c r="T38" s="378">
        <f t="shared" ref="T38:T39" si="54">(S38/Q38)</f>
        <v>4</v>
      </c>
      <c r="U38" s="374"/>
      <c r="V38" s="374"/>
      <c r="W38" s="374"/>
      <c r="X38" s="374">
        <v>4</v>
      </c>
      <c r="Y38" s="374"/>
      <c r="Z38" s="374"/>
      <c r="AA38" s="374"/>
      <c r="AB38" s="374"/>
      <c r="AC38" s="374"/>
      <c r="AD38" s="374"/>
      <c r="AE38" s="416"/>
      <c r="AF38" s="251"/>
      <c r="AG38" s="268"/>
      <c r="AH38" s="269">
        <f t="shared" ref="AH38:AH39" si="55">SUM(AJ38:AT38)</f>
        <v>0</v>
      </c>
      <c r="AI38" s="270" t="e">
        <f t="shared" ref="AI38:AI39" si="56">(AH38/AF38)</f>
        <v>#DIV/0!</v>
      </c>
      <c r="AJ38" s="267"/>
      <c r="AK38" s="267"/>
      <c r="AL38" s="267"/>
      <c r="AM38" s="267"/>
      <c r="AN38" s="267"/>
      <c r="AO38" s="267"/>
      <c r="AP38" s="267"/>
      <c r="AQ38" s="267"/>
      <c r="AR38" s="267"/>
      <c r="AS38" s="267"/>
      <c r="AT38" s="288"/>
      <c r="AU38" s="251"/>
      <c r="AV38" s="268"/>
      <c r="AW38" s="269">
        <f t="shared" ref="AW38:AW39" si="57">SUM(AY38:BI38)</f>
        <v>0</v>
      </c>
      <c r="AX38" s="270" t="e">
        <f t="shared" ref="AX38:AX39" si="58">(AW38/AU38)</f>
        <v>#DIV/0!</v>
      </c>
      <c r="AY38" s="267"/>
      <c r="AZ38" s="267"/>
      <c r="BA38" s="267"/>
      <c r="BB38" s="267"/>
      <c r="BC38" s="267"/>
      <c r="BD38" s="267"/>
      <c r="BE38" s="267"/>
      <c r="BF38" s="267"/>
      <c r="BG38" s="267"/>
      <c r="BH38" s="267"/>
      <c r="BI38" s="288"/>
      <c r="BJ38" s="467">
        <f t="shared" ref="BJ38:BJ39" si="59">SUM(B38+Q38+AF38+AU38)</f>
        <v>1</v>
      </c>
      <c r="BK38" s="468"/>
      <c r="BL38" s="468">
        <f t="shared" ref="BL38:BL39" si="60">SUM(D38,S38,AH38,AW38)</f>
        <v>4</v>
      </c>
      <c r="BM38" s="479">
        <f t="shared" ref="BM38:BM39" si="61">(BL38/BJ38)</f>
        <v>4</v>
      </c>
    </row>
    <row r="39" spans="1:66">
      <c r="A39" s="375" t="str">
        <f>'IA-SI  TANKER'!B$24</f>
        <v>Mossel Bay</v>
      </c>
      <c r="B39" s="370">
        <v>1</v>
      </c>
      <c r="C39" s="379"/>
      <c r="D39" s="377">
        <f t="shared" si="51"/>
        <v>5</v>
      </c>
      <c r="E39" s="378">
        <f t="shared" si="52"/>
        <v>5</v>
      </c>
      <c r="F39" s="374"/>
      <c r="G39" s="374"/>
      <c r="H39" s="374"/>
      <c r="I39" s="374">
        <v>5</v>
      </c>
      <c r="J39" s="374"/>
      <c r="K39" s="374"/>
      <c r="L39" s="374"/>
      <c r="M39" s="374"/>
      <c r="N39" s="374"/>
      <c r="O39" s="374"/>
      <c r="P39" s="416"/>
      <c r="Q39" s="429"/>
      <c r="R39" s="379"/>
      <c r="S39" s="377">
        <f t="shared" si="53"/>
        <v>0</v>
      </c>
      <c r="T39" s="378" t="e">
        <f t="shared" si="54"/>
        <v>#DIV/0!</v>
      </c>
      <c r="U39" s="374"/>
      <c r="V39" s="374"/>
      <c r="W39" s="374"/>
      <c r="X39" s="374"/>
      <c r="Y39" s="374"/>
      <c r="Z39" s="374"/>
      <c r="AA39" s="374"/>
      <c r="AB39" s="374"/>
      <c r="AC39" s="374"/>
      <c r="AD39" s="374"/>
      <c r="AE39" s="416"/>
      <c r="AF39" s="251"/>
      <c r="AG39" s="268"/>
      <c r="AH39" s="269">
        <f t="shared" si="55"/>
        <v>0</v>
      </c>
      <c r="AI39" s="270" t="e">
        <f t="shared" si="56"/>
        <v>#DIV/0!</v>
      </c>
      <c r="AJ39" s="267"/>
      <c r="AK39" s="267"/>
      <c r="AL39" s="267"/>
      <c r="AM39" s="267"/>
      <c r="AN39" s="267"/>
      <c r="AO39" s="267"/>
      <c r="AP39" s="267"/>
      <c r="AQ39" s="267"/>
      <c r="AR39" s="267"/>
      <c r="AS39" s="267"/>
      <c r="AT39" s="288"/>
      <c r="AU39" s="251">
        <v>1</v>
      </c>
      <c r="AV39" s="268"/>
      <c r="AW39" s="269">
        <f t="shared" si="57"/>
        <v>5</v>
      </c>
      <c r="AX39" s="270">
        <f t="shared" si="58"/>
        <v>5</v>
      </c>
      <c r="AY39" s="267"/>
      <c r="AZ39" s="267"/>
      <c r="BA39" s="267"/>
      <c r="BB39" s="267">
        <v>4</v>
      </c>
      <c r="BC39" s="267">
        <v>1</v>
      </c>
      <c r="BD39" s="267"/>
      <c r="BE39" s="267"/>
      <c r="BF39" s="267"/>
      <c r="BG39" s="267"/>
      <c r="BH39" s="267"/>
      <c r="BI39" s="288"/>
      <c r="BJ39" s="467">
        <f t="shared" si="59"/>
        <v>2</v>
      </c>
      <c r="BK39" s="468"/>
      <c r="BL39" s="468">
        <f t="shared" si="60"/>
        <v>10</v>
      </c>
      <c r="BM39" s="479">
        <f t="shared" si="61"/>
        <v>5</v>
      </c>
      <c r="BN39" s="315"/>
    </row>
    <row r="40" spans="1:65">
      <c r="A40" s="375" t="str">
        <f>'IA-SI  TANKER'!B25</f>
        <v>Philotimos</v>
      </c>
      <c r="B40" s="370"/>
      <c r="C40" s="379"/>
      <c r="D40" s="377">
        <f t="shared" ref="D40" si="62">SUM(F40:P40)</f>
        <v>0</v>
      </c>
      <c r="E40" s="378" t="e">
        <f t="shared" ref="E40" si="63">(D40/B40)</f>
        <v>#DIV/0!</v>
      </c>
      <c r="F40" s="374"/>
      <c r="G40" s="374"/>
      <c r="H40" s="374"/>
      <c r="I40" s="374"/>
      <c r="J40" s="374"/>
      <c r="K40" s="374"/>
      <c r="L40" s="374"/>
      <c r="M40" s="374"/>
      <c r="N40" s="374"/>
      <c r="O40" s="374"/>
      <c r="P40" s="416"/>
      <c r="Q40" s="429"/>
      <c r="R40" s="379"/>
      <c r="S40" s="377">
        <f t="shared" ref="S40" si="64">SUM(U40:AE40)</f>
        <v>0</v>
      </c>
      <c r="T40" s="378" t="e">
        <f t="shared" ref="T40" si="65">(S40/Q40)</f>
        <v>#DIV/0!</v>
      </c>
      <c r="U40" s="374"/>
      <c r="V40" s="374"/>
      <c r="W40" s="374"/>
      <c r="X40" s="374"/>
      <c r="Y40" s="374"/>
      <c r="Z40" s="374"/>
      <c r="AA40" s="374"/>
      <c r="AB40" s="374"/>
      <c r="AC40" s="374"/>
      <c r="AD40" s="374"/>
      <c r="AE40" s="416"/>
      <c r="AF40" s="251">
        <v>1</v>
      </c>
      <c r="AG40" s="268"/>
      <c r="AH40" s="269">
        <f t="shared" ref="AH40" si="66">SUM(AJ40:AT40)</f>
        <v>3</v>
      </c>
      <c r="AI40" s="270">
        <f t="shared" ref="AI40" si="67">(AH40/AF40)</f>
        <v>3</v>
      </c>
      <c r="AJ40" s="267">
        <v>1</v>
      </c>
      <c r="AK40" s="267"/>
      <c r="AL40" s="267"/>
      <c r="AM40" s="267">
        <v>1</v>
      </c>
      <c r="AN40" s="267">
        <v>1</v>
      </c>
      <c r="AO40" s="267"/>
      <c r="AP40" s="267"/>
      <c r="AQ40" s="267"/>
      <c r="AR40" s="267"/>
      <c r="AS40" s="267"/>
      <c r="AT40" s="288"/>
      <c r="AU40" s="251"/>
      <c r="AV40" s="268"/>
      <c r="AW40" s="269">
        <f t="shared" ref="AW40" si="68">SUM(AY40:BI40)</f>
        <v>0</v>
      </c>
      <c r="AX40" s="270" t="e">
        <f t="shared" ref="AX40" si="69">(AW40/AU40)</f>
        <v>#DIV/0!</v>
      </c>
      <c r="AY40" s="267"/>
      <c r="AZ40" s="267"/>
      <c r="BA40" s="267"/>
      <c r="BB40" s="267"/>
      <c r="BC40" s="267"/>
      <c r="BD40" s="267"/>
      <c r="BE40" s="267"/>
      <c r="BF40" s="267"/>
      <c r="BG40" s="267"/>
      <c r="BH40" s="267"/>
      <c r="BI40" s="288"/>
      <c r="BJ40" s="467">
        <f t="shared" ref="BJ40" si="70">SUM(B40+Q40+AF40+AU40)</f>
        <v>1</v>
      </c>
      <c r="BK40" s="468"/>
      <c r="BL40" s="468">
        <f t="shared" ref="BL40" si="71">SUM(D40,S40,AH40,AW40)</f>
        <v>3</v>
      </c>
      <c r="BM40" s="479">
        <f t="shared" ref="BM40" si="72">(BL40/BJ40)</f>
        <v>3</v>
      </c>
    </row>
    <row r="41" spans="1:65">
      <c r="A41" s="375" t="str">
        <f>'IA-SI  TANKER'!B26</f>
        <v>Philoxenia</v>
      </c>
      <c r="B41" s="370">
        <v>1</v>
      </c>
      <c r="C41" s="379"/>
      <c r="D41" s="377">
        <f t="shared" si="0"/>
        <v>2</v>
      </c>
      <c r="E41" s="378">
        <f t="shared" si="1"/>
        <v>2</v>
      </c>
      <c r="F41" s="374"/>
      <c r="G41" s="374">
        <v>1</v>
      </c>
      <c r="H41" s="374"/>
      <c r="I41" s="374">
        <v>1</v>
      </c>
      <c r="J41" s="374"/>
      <c r="K41" s="374"/>
      <c r="L41" s="374"/>
      <c r="M41" s="374"/>
      <c r="N41" s="374"/>
      <c r="O41" s="374"/>
      <c r="P41" s="416"/>
      <c r="Q41" s="429"/>
      <c r="R41" s="379"/>
      <c r="S41" s="377">
        <f t="shared" si="2"/>
        <v>0</v>
      </c>
      <c r="T41" s="378" t="e">
        <f t="shared" si="3"/>
        <v>#DIV/0!</v>
      </c>
      <c r="U41" s="374"/>
      <c r="V41" s="374"/>
      <c r="W41" s="374"/>
      <c r="X41" s="374"/>
      <c r="Y41" s="374"/>
      <c r="Z41" s="374"/>
      <c r="AA41" s="374"/>
      <c r="AB41" s="374"/>
      <c r="AC41" s="374"/>
      <c r="AD41" s="374"/>
      <c r="AE41" s="416"/>
      <c r="AF41" s="251"/>
      <c r="AG41" s="268"/>
      <c r="AH41" s="269">
        <f t="shared" si="4"/>
        <v>0</v>
      </c>
      <c r="AI41" s="270" t="e">
        <f t="shared" si="5"/>
        <v>#DIV/0!</v>
      </c>
      <c r="AJ41" s="267"/>
      <c r="AK41" s="267"/>
      <c r="AL41" s="267"/>
      <c r="AM41" s="267"/>
      <c r="AN41" s="267"/>
      <c r="AO41" s="267"/>
      <c r="AP41" s="267"/>
      <c r="AQ41" s="267"/>
      <c r="AR41" s="267"/>
      <c r="AS41" s="267"/>
      <c r="AT41" s="288"/>
      <c r="AU41" s="251">
        <v>1</v>
      </c>
      <c r="AV41" s="268"/>
      <c r="AW41" s="269">
        <f t="shared" si="6"/>
        <v>3</v>
      </c>
      <c r="AX41" s="270">
        <f t="shared" si="7"/>
        <v>3</v>
      </c>
      <c r="AY41" s="267"/>
      <c r="AZ41" s="267"/>
      <c r="BA41" s="267"/>
      <c r="BB41" s="267">
        <v>2</v>
      </c>
      <c r="BC41" s="267"/>
      <c r="BD41" s="267"/>
      <c r="BE41" s="267"/>
      <c r="BF41" s="267"/>
      <c r="BG41" s="267"/>
      <c r="BH41" s="267">
        <v>1</v>
      </c>
      <c r="BI41" s="288"/>
      <c r="BJ41" s="469">
        <f t="shared" ref="BJ41:BJ48" si="73">SUM(B41+Q41+AF41+AU41)</f>
        <v>2</v>
      </c>
      <c r="BK41" s="468"/>
      <c r="BL41" s="468">
        <f t="shared" si="9"/>
        <v>5</v>
      </c>
      <c r="BM41" s="479">
        <f t="shared" si="10"/>
        <v>2.5</v>
      </c>
    </row>
    <row r="42" spans="1:65">
      <c r="A42" s="375" t="str">
        <f>'IA-SI  TANKER'!B27</f>
        <v>PNX Conqueror</v>
      </c>
      <c r="B42" s="370">
        <v>1</v>
      </c>
      <c r="C42" s="376"/>
      <c r="D42" s="377">
        <f t="shared" ref="D42" si="74">SUM(F42:P42)</f>
        <v>2</v>
      </c>
      <c r="E42" s="378">
        <f t="shared" ref="E42" si="75">(D42/B42)</f>
        <v>2</v>
      </c>
      <c r="F42" s="380"/>
      <c r="G42" s="380"/>
      <c r="H42" s="380">
        <v>1</v>
      </c>
      <c r="I42" s="380">
        <v>1</v>
      </c>
      <c r="J42" s="380"/>
      <c r="K42" s="380"/>
      <c r="L42" s="380"/>
      <c r="M42" s="380"/>
      <c r="N42" s="380"/>
      <c r="O42" s="380"/>
      <c r="P42" s="416"/>
      <c r="Q42" s="429"/>
      <c r="R42" s="376"/>
      <c r="S42" s="377">
        <f t="shared" ref="S42" si="76">SUM(U42:AE42)</f>
        <v>0</v>
      </c>
      <c r="T42" s="378" t="e">
        <f t="shared" ref="T42" si="77">(S42/Q42)</f>
        <v>#DIV/0!</v>
      </c>
      <c r="U42" s="380"/>
      <c r="V42" s="380"/>
      <c r="W42" s="380"/>
      <c r="X42" s="380"/>
      <c r="Y42" s="380"/>
      <c r="Z42" s="380"/>
      <c r="AA42" s="380"/>
      <c r="AB42" s="380"/>
      <c r="AC42" s="380"/>
      <c r="AD42" s="380"/>
      <c r="AE42" s="416"/>
      <c r="AF42" s="251"/>
      <c r="AG42" s="448"/>
      <c r="AH42" s="269">
        <f t="shared" ref="AH42" si="78">SUM(AJ42:AT42)</f>
        <v>0</v>
      </c>
      <c r="AI42" s="270" t="e">
        <f t="shared" ref="AI42" si="79">(AH42/AF42)</f>
        <v>#DIV/0!</v>
      </c>
      <c r="AJ42" s="445"/>
      <c r="AK42" s="445"/>
      <c r="AL42" s="445"/>
      <c r="AM42" s="445"/>
      <c r="AN42" s="445"/>
      <c r="AO42" s="445"/>
      <c r="AP42" s="445"/>
      <c r="AQ42" s="445"/>
      <c r="AR42" s="445"/>
      <c r="AS42" s="445"/>
      <c r="AT42" s="288"/>
      <c r="AU42" s="251"/>
      <c r="AV42" s="448"/>
      <c r="AW42" s="269">
        <f t="shared" ref="AW42" si="80">SUM(AY42:BI42)</f>
        <v>0</v>
      </c>
      <c r="AX42" s="270" t="e">
        <f t="shared" ref="AX42" si="81">(AW42/AU42)</f>
        <v>#DIV/0!</v>
      </c>
      <c r="AY42" s="445"/>
      <c r="AZ42" s="445"/>
      <c r="BA42" s="445"/>
      <c r="BB42" s="445"/>
      <c r="BC42" s="445"/>
      <c r="BD42" s="445"/>
      <c r="BE42" s="445"/>
      <c r="BF42" s="445"/>
      <c r="BG42" s="445"/>
      <c r="BH42" s="445"/>
      <c r="BI42" s="288"/>
      <c r="BJ42" s="469">
        <f t="shared" si="73"/>
        <v>1</v>
      </c>
      <c r="BK42" s="468"/>
      <c r="BL42" s="468">
        <f t="shared" ref="BL42" si="82">SUM(D42,S42,AH42,AW42)</f>
        <v>2</v>
      </c>
      <c r="BM42" s="479">
        <f t="shared" ref="BM42" si="83">(BL42/BJ42)</f>
        <v>2</v>
      </c>
    </row>
    <row r="43" spans="1:65">
      <c r="A43" s="381" t="str">
        <f>'IA-SI  TANKER'!B28</f>
        <v>PS Tokyo (Gone)</v>
      </c>
      <c r="B43" s="370"/>
      <c r="C43" s="376"/>
      <c r="D43" s="377">
        <f t="shared" si="0"/>
        <v>0</v>
      </c>
      <c r="E43" s="382" t="e">
        <f t="shared" si="1"/>
        <v>#DIV/0!</v>
      </c>
      <c r="F43" s="380"/>
      <c r="G43" s="380"/>
      <c r="H43" s="380"/>
      <c r="I43" s="380"/>
      <c r="J43" s="380"/>
      <c r="K43" s="380"/>
      <c r="L43" s="380"/>
      <c r="M43" s="380"/>
      <c r="N43" s="380"/>
      <c r="O43" s="380"/>
      <c r="P43" s="416"/>
      <c r="Q43" s="429"/>
      <c r="R43" s="376"/>
      <c r="S43" s="377">
        <f t="shared" si="2"/>
        <v>0</v>
      </c>
      <c r="T43" s="382" t="e">
        <f t="shared" si="3"/>
        <v>#DIV/0!</v>
      </c>
      <c r="U43" s="380"/>
      <c r="V43" s="380"/>
      <c r="W43" s="380"/>
      <c r="X43" s="380"/>
      <c r="Y43" s="380"/>
      <c r="Z43" s="380"/>
      <c r="AA43" s="380"/>
      <c r="AB43" s="380"/>
      <c r="AC43" s="380"/>
      <c r="AD43" s="380"/>
      <c r="AE43" s="416"/>
      <c r="AF43" s="251"/>
      <c r="AG43" s="448"/>
      <c r="AH43" s="269">
        <f t="shared" si="4"/>
        <v>0</v>
      </c>
      <c r="AI43" s="449" t="e">
        <f t="shared" si="5"/>
        <v>#DIV/0!</v>
      </c>
      <c r="AJ43" s="445"/>
      <c r="AK43" s="445"/>
      <c r="AL43" s="445"/>
      <c r="AM43" s="445"/>
      <c r="AN43" s="445"/>
      <c r="AO43" s="445"/>
      <c r="AP43" s="445"/>
      <c r="AQ43" s="445"/>
      <c r="AR43" s="445"/>
      <c r="AS43" s="445"/>
      <c r="AT43" s="288"/>
      <c r="AU43" s="251"/>
      <c r="AV43" s="448"/>
      <c r="AW43" s="269">
        <f t="shared" si="6"/>
        <v>0</v>
      </c>
      <c r="AX43" s="449" t="e">
        <f t="shared" si="7"/>
        <v>#DIV/0!</v>
      </c>
      <c r="AY43" s="445"/>
      <c r="AZ43" s="445"/>
      <c r="BA43" s="445"/>
      <c r="BB43" s="445"/>
      <c r="BC43" s="445"/>
      <c r="BD43" s="445"/>
      <c r="BE43" s="445"/>
      <c r="BF43" s="445"/>
      <c r="BG43" s="445"/>
      <c r="BH43" s="445"/>
      <c r="BI43" s="288"/>
      <c r="BJ43" s="469">
        <f t="shared" si="73"/>
        <v>0</v>
      </c>
      <c r="BK43" s="468"/>
      <c r="BL43" s="468">
        <f t="shared" si="9"/>
        <v>0</v>
      </c>
      <c r="BM43" s="479" t="e">
        <f t="shared" si="10"/>
        <v>#DIV/0!</v>
      </c>
    </row>
    <row r="44" spans="1:65">
      <c r="A44" s="383" t="str">
        <f>'IA-SI  TANKER'!B29</f>
        <v>PS Vancouver</v>
      </c>
      <c r="B44" s="370"/>
      <c r="C44" s="376"/>
      <c r="D44" s="377">
        <f t="shared" ref="D44" si="84">SUM(F44:P44)</f>
        <v>0</v>
      </c>
      <c r="E44" s="382" t="e">
        <f t="shared" ref="E44" si="85">(D44/B44)</f>
        <v>#DIV/0!</v>
      </c>
      <c r="F44" s="380"/>
      <c r="G44" s="380"/>
      <c r="H44" s="380"/>
      <c r="I44" s="380"/>
      <c r="J44" s="380"/>
      <c r="K44" s="380"/>
      <c r="L44" s="380"/>
      <c r="M44" s="380"/>
      <c r="N44" s="380"/>
      <c r="O44" s="380"/>
      <c r="P44" s="416"/>
      <c r="Q44" s="429"/>
      <c r="R44" s="376"/>
      <c r="S44" s="377">
        <f t="shared" ref="S44" si="86">SUM(U44:AE44)</f>
        <v>0</v>
      </c>
      <c r="T44" s="382" t="e">
        <f t="shared" ref="T44" si="87">(S44/Q44)</f>
        <v>#DIV/0!</v>
      </c>
      <c r="U44" s="380"/>
      <c r="V44" s="380"/>
      <c r="W44" s="380"/>
      <c r="X44" s="380"/>
      <c r="Y44" s="380"/>
      <c r="Z44" s="380"/>
      <c r="AA44" s="380"/>
      <c r="AB44" s="380"/>
      <c r="AC44" s="380"/>
      <c r="AD44" s="380"/>
      <c r="AE44" s="416"/>
      <c r="AF44" s="251">
        <v>1</v>
      </c>
      <c r="AG44" s="448"/>
      <c r="AH44" s="269">
        <v>3</v>
      </c>
      <c r="AI44" s="449">
        <f t="shared" ref="AI44" si="88">(AH44/AF44)</f>
        <v>3</v>
      </c>
      <c r="AJ44" s="445"/>
      <c r="AK44" s="445"/>
      <c r="AL44" s="445"/>
      <c r="AM44" s="445">
        <v>3</v>
      </c>
      <c r="AN44" s="445"/>
      <c r="AO44" s="445"/>
      <c r="AP44" s="445"/>
      <c r="AQ44" s="445"/>
      <c r="AR44" s="445"/>
      <c r="AS44" s="445"/>
      <c r="AT44" s="288"/>
      <c r="AU44" s="251"/>
      <c r="AV44" s="448"/>
      <c r="AW44" s="269">
        <f t="shared" ref="AW44" si="89">SUM(AY44:BI44)</f>
        <v>0</v>
      </c>
      <c r="AX44" s="449" t="e">
        <f t="shared" ref="AX44" si="90">(AW44/AU44)</f>
        <v>#DIV/0!</v>
      </c>
      <c r="AY44" s="445"/>
      <c r="AZ44" s="445"/>
      <c r="BA44" s="445"/>
      <c r="BB44" s="445"/>
      <c r="BC44" s="445"/>
      <c r="BD44" s="445"/>
      <c r="BE44" s="445"/>
      <c r="BF44" s="445"/>
      <c r="BG44" s="445"/>
      <c r="BH44" s="445"/>
      <c r="BI44" s="288"/>
      <c r="BJ44" s="469">
        <f t="shared" si="73"/>
        <v>1</v>
      </c>
      <c r="BK44" s="468"/>
      <c r="BL44" s="468">
        <f t="shared" ref="BL44" si="91">SUM(D44,S44,AH44,AW44)</f>
        <v>3</v>
      </c>
      <c r="BM44" s="479">
        <f t="shared" ref="BM44" si="92">(BL44/BJ44)</f>
        <v>3</v>
      </c>
    </row>
    <row r="45" spans="1:65">
      <c r="A45" s="383" t="str">
        <f>'IA-SI  TANKER'!B30</f>
        <v>Table Bay</v>
      </c>
      <c r="B45" s="370"/>
      <c r="C45" s="376"/>
      <c r="D45" s="377">
        <f t="shared" ref="D45" si="93">SUM(F45:P45)</f>
        <v>0</v>
      </c>
      <c r="E45" s="382" t="e">
        <f t="shared" ref="E45" si="94">(D45/B45)</f>
        <v>#DIV/0!</v>
      </c>
      <c r="F45" s="380"/>
      <c r="G45" s="380"/>
      <c r="H45" s="380"/>
      <c r="I45" s="380"/>
      <c r="J45" s="380"/>
      <c r="K45" s="380"/>
      <c r="L45" s="380"/>
      <c r="M45" s="380"/>
      <c r="N45" s="380"/>
      <c r="O45" s="380"/>
      <c r="P45" s="416"/>
      <c r="Q45" s="429">
        <v>1</v>
      </c>
      <c r="R45" s="376"/>
      <c r="S45" s="377">
        <f t="shared" ref="S45" si="95">SUM(U45:AE45)</f>
        <v>3</v>
      </c>
      <c r="T45" s="382">
        <f t="shared" ref="T45" si="96">(S45/Q45)</f>
        <v>3</v>
      </c>
      <c r="U45" s="380">
        <v>2</v>
      </c>
      <c r="V45" s="380"/>
      <c r="W45" s="380"/>
      <c r="X45" s="380">
        <v>1</v>
      </c>
      <c r="Y45" s="380"/>
      <c r="Z45" s="380"/>
      <c r="AA45" s="380"/>
      <c r="AB45" s="380"/>
      <c r="AC45" s="380"/>
      <c r="AD45" s="380"/>
      <c r="AE45" s="416"/>
      <c r="AF45" s="251"/>
      <c r="AG45" s="448"/>
      <c r="AH45" s="269">
        <f t="shared" ref="AH45" si="97">SUM(AJ45:AT45)</f>
        <v>0</v>
      </c>
      <c r="AI45" s="449" t="e">
        <f t="shared" ref="AI45" si="98">(AH45/AF45)</f>
        <v>#DIV/0!</v>
      </c>
      <c r="AJ45" s="445"/>
      <c r="AK45" s="445"/>
      <c r="AL45" s="445"/>
      <c r="AM45" s="445"/>
      <c r="AN45" s="445"/>
      <c r="AO45" s="445"/>
      <c r="AP45" s="445"/>
      <c r="AQ45" s="445"/>
      <c r="AR45" s="445"/>
      <c r="AS45" s="445"/>
      <c r="AT45" s="288"/>
      <c r="AU45" s="251"/>
      <c r="AV45" s="448"/>
      <c r="AW45" s="269">
        <f t="shared" ref="AW45" si="99">SUM(AY45:BI45)</f>
        <v>0</v>
      </c>
      <c r="AX45" s="449" t="e">
        <f t="shared" ref="AX45" si="100">(AW45/AU45)</f>
        <v>#DIV/0!</v>
      </c>
      <c r="AY45" s="445"/>
      <c r="AZ45" s="445"/>
      <c r="BA45" s="445"/>
      <c r="BB45" s="445"/>
      <c r="BC45" s="445"/>
      <c r="BD45" s="445"/>
      <c r="BE45" s="445"/>
      <c r="BF45" s="445"/>
      <c r="BG45" s="445"/>
      <c r="BH45" s="445"/>
      <c r="BI45" s="288"/>
      <c r="BJ45" s="469">
        <f t="shared" ref="BJ45" si="101">SUM(B45+Q45+AF45+AU45)</f>
        <v>1</v>
      </c>
      <c r="BK45" s="468"/>
      <c r="BL45" s="468">
        <f t="shared" ref="BL45" si="102">SUM(D45,S45,AH45,AW45)</f>
        <v>3</v>
      </c>
      <c r="BM45" s="479">
        <f t="shared" ref="BM45" si="103">(BL45/BJ45)</f>
        <v>3</v>
      </c>
    </row>
    <row r="46" spans="1:65">
      <c r="A46" s="383" t="str">
        <f>'IA-SI  TANKER'!B31</f>
        <v>Rui Fu Sheng</v>
      </c>
      <c r="B46" s="370"/>
      <c r="C46" s="376"/>
      <c r="D46" s="377">
        <f t="shared" ref="D46" si="104">SUM(F46:P46)</f>
        <v>0</v>
      </c>
      <c r="E46" s="382" t="e">
        <f t="shared" ref="E46" si="105">(D46/B46)</f>
        <v>#DIV/0!</v>
      </c>
      <c r="F46" s="380"/>
      <c r="G46" s="380"/>
      <c r="H46" s="380"/>
      <c r="I46" s="380"/>
      <c r="J46" s="380"/>
      <c r="K46" s="380"/>
      <c r="L46" s="380"/>
      <c r="M46" s="380"/>
      <c r="N46" s="380"/>
      <c r="O46" s="380"/>
      <c r="P46" s="416"/>
      <c r="Q46" s="429">
        <v>1</v>
      </c>
      <c r="R46" s="376"/>
      <c r="S46" s="377">
        <f t="shared" ref="S46" si="106">SUM(U46:AE46)</f>
        <v>6</v>
      </c>
      <c r="T46" s="382">
        <f t="shared" ref="T46" si="107">(S46/Q46)</f>
        <v>6</v>
      </c>
      <c r="U46" s="380">
        <v>1</v>
      </c>
      <c r="V46" s="380"/>
      <c r="W46" s="380"/>
      <c r="X46" s="380">
        <v>2</v>
      </c>
      <c r="Y46" s="380">
        <v>1</v>
      </c>
      <c r="Z46" s="380"/>
      <c r="AA46" s="380"/>
      <c r="AB46" s="380"/>
      <c r="AC46" s="380">
        <v>1</v>
      </c>
      <c r="AD46" s="380">
        <v>1</v>
      </c>
      <c r="AE46" s="416"/>
      <c r="AF46" s="251"/>
      <c r="AG46" s="448"/>
      <c r="AH46" s="269">
        <f t="shared" ref="AH46" si="108">SUM(AJ46:AT46)</f>
        <v>0</v>
      </c>
      <c r="AI46" s="449" t="e">
        <f t="shared" ref="AI46" si="109">(AH46/AF46)</f>
        <v>#DIV/0!</v>
      </c>
      <c r="AJ46" s="445"/>
      <c r="AK46" s="445"/>
      <c r="AL46" s="445"/>
      <c r="AM46" s="445"/>
      <c r="AN46" s="445"/>
      <c r="AO46" s="445"/>
      <c r="AP46" s="445"/>
      <c r="AQ46" s="445"/>
      <c r="AR46" s="445"/>
      <c r="AS46" s="445"/>
      <c r="AT46" s="288"/>
      <c r="AU46" s="251"/>
      <c r="AV46" s="448"/>
      <c r="AW46" s="269">
        <f t="shared" ref="AW46" si="110">SUM(AY46:BI46)</f>
        <v>0</v>
      </c>
      <c r="AX46" s="449" t="e">
        <f t="shared" ref="AX46" si="111">(AW46/AU46)</f>
        <v>#DIV/0!</v>
      </c>
      <c r="AY46" s="445"/>
      <c r="AZ46" s="445"/>
      <c r="BA46" s="445"/>
      <c r="BB46" s="445"/>
      <c r="BC46" s="445"/>
      <c r="BD46" s="445"/>
      <c r="BE46" s="445"/>
      <c r="BF46" s="445"/>
      <c r="BG46" s="445"/>
      <c r="BH46" s="445"/>
      <c r="BI46" s="288"/>
      <c r="BJ46" s="469">
        <f t="shared" si="73"/>
        <v>1</v>
      </c>
      <c r="BK46" s="468"/>
      <c r="BL46" s="468">
        <f t="shared" ref="BL46" si="112">SUM(D46,S46,AH46,AW46)</f>
        <v>6</v>
      </c>
      <c r="BM46" s="479">
        <f t="shared" ref="BM46" si="113">(BL46/BJ46)</f>
        <v>6</v>
      </c>
    </row>
    <row r="47" spans="1:65">
      <c r="A47" s="384" t="str">
        <f>'IA-SI  TANKER'!B32</f>
        <v>Vialli</v>
      </c>
      <c r="B47" s="385">
        <v>1</v>
      </c>
      <c r="C47" s="386"/>
      <c r="D47" s="377">
        <f t="shared" ref="D47" si="114">SUM(F47:P47)</f>
        <v>1</v>
      </c>
      <c r="E47" s="382">
        <f t="shared" ref="E47" si="115">(D47/B47)</f>
        <v>1</v>
      </c>
      <c r="F47" s="387"/>
      <c r="G47" s="387"/>
      <c r="H47" s="387"/>
      <c r="I47" s="387">
        <v>1</v>
      </c>
      <c r="J47" s="387"/>
      <c r="K47" s="387"/>
      <c r="L47" s="387"/>
      <c r="M47" s="387"/>
      <c r="N47" s="387"/>
      <c r="O47" s="387"/>
      <c r="P47" s="417"/>
      <c r="Q47" s="430"/>
      <c r="R47" s="386"/>
      <c r="S47" s="377">
        <f t="shared" ref="S47" si="116">SUM(U47:AE47)</f>
        <v>0</v>
      </c>
      <c r="T47" s="382" t="e">
        <f t="shared" ref="T47" si="117">(S47/Q47)</f>
        <v>#DIV/0!</v>
      </c>
      <c r="U47" s="387"/>
      <c r="V47" s="387"/>
      <c r="W47" s="387"/>
      <c r="X47" s="387"/>
      <c r="Y47" s="387"/>
      <c r="Z47" s="387"/>
      <c r="AA47" s="387"/>
      <c r="AB47" s="387"/>
      <c r="AC47" s="387"/>
      <c r="AD47" s="387"/>
      <c r="AE47" s="417"/>
      <c r="AF47" s="438"/>
      <c r="AG47" s="264"/>
      <c r="AH47" s="269">
        <f t="shared" ref="AH47" si="118">SUM(AJ47:AT47)</f>
        <v>0</v>
      </c>
      <c r="AI47" s="449" t="e">
        <f t="shared" ref="AI47" si="119">(AH47/AF47)</f>
        <v>#DIV/0!</v>
      </c>
      <c r="AJ47" s="271"/>
      <c r="AK47" s="271"/>
      <c r="AL47" s="271"/>
      <c r="AM47" s="271"/>
      <c r="AN47" s="271"/>
      <c r="AO47" s="271"/>
      <c r="AP47" s="271"/>
      <c r="AQ47" s="271"/>
      <c r="AR47" s="271"/>
      <c r="AS47" s="271"/>
      <c r="AT47" s="290"/>
      <c r="AU47" s="438"/>
      <c r="AV47" s="264"/>
      <c r="AW47" s="269">
        <f t="shared" ref="AW47" si="120">SUM(AY47:BI47)</f>
        <v>0</v>
      </c>
      <c r="AX47" s="449" t="e">
        <f t="shared" ref="AX47" si="121">(AW47/AU47)</f>
        <v>#DIV/0!</v>
      </c>
      <c r="AY47" s="271"/>
      <c r="AZ47" s="271"/>
      <c r="BA47" s="271"/>
      <c r="BB47" s="271"/>
      <c r="BC47" s="271"/>
      <c r="BD47" s="271"/>
      <c r="BE47" s="271"/>
      <c r="BF47" s="271"/>
      <c r="BG47" s="271"/>
      <c r="BH47" s="271"/>
      <c r="BI47" s="290"/>
      <c r="BJ47" s="469">
        <f t="shared" ref="BJ47" si="122">SUM(B47+Q47+AF47+AU47)</f>
        <v>1</v>
      </c>
      <c r="BK47" s="468"/>
      <c r="BL47" s="468">
        <f t="shared" ref="BL47" si="123">SUM(D47,S47,AH47,AW47)</f>
        <v>1</v>
      </c>
      <c r="BM47" s="479">
        <f t="shared" ref="BM47" si="124">(BL47/BJ47)</f>
        <v>1</v>
      </c>
    </row>
    <row r="48" s="164" customFormat="1" ht="15.75" spans="1:65">
      <c r="A48" s="388" t="str">
        <f>'IA-SI  TANKER'!B33</f>
        <v>Victoria Bay</v>
      </c>
      <c r="B48" s="389"/>
      <c r="C48" s="390"/>
      <c r="D48" s="391">
        <f t="shared" si="0"/>
        <v>0</v>
      </c>
      <c r="E48" s="392" t="e">
        <f t="shared" si="1"/>
        <v>#DIV/0!</v>
      </c>
      <c r="F48" s="393"/>
      <c r="G48" s="393"/>
      <c r="H48" s="393"/>
      <c r="I48" s="393"/>
      <c r="J48" s="393"/>
      <c r="K48" s="393"/>
      <c r="L48" s="393"/>
      <c r="M48" s="393"/>
      <c r="N48" s="393"/>
      <c r="O48" s="393"/>
      <c r="P48" s="418"/>
      <c r="Q48" s="431">
        <v>1</v>
      </c>
      <c r="R48" s="390"/>
      <c r="S48" s="391">
        <f t="shared" si="2"/>
        <v>4</v>
      </c>
      <c r="T48" s="392">
        <f t="shared" si="3"/>
        <v>4</v>
      </c>
      <c r="U48" s="393">
        <v>1</v>
      </c>
      <c r="V48" s="393"/>
      <c r="W48" s="393"/>
      <c r="X48" s="393">
        <v>3</v>
      </c>
      <c r="Y48" s="393"/>
      <c r="Z48" s="393"/>
      <c r="AA48" s="393"/>
      <c r="AB48" s="393"/>
      <c r="AC48" s="393"/>
      <c r="AD48" s="393"/>
      <c r="AE48" s="418"/>
      <c r="AF48" s="252"/>
      <c r="AG48" s="272"/>
      <c r="AH48" s="273">
        <f t="shared" si="4"/>
        <v>0</v>
      </c>
      <c r="AI48" s="274" t="e">
        <f t="shared" si="5"/>
        <v>#DIV/0!</v>
      </c>
      <c r="AJ48" s="275"/>
      <c r="AK48" s="275"/>
      <c r="AL48" s="275"/>
      <c r="AM48" s="275"/>
      <c r="AN48" s="275"/>
      <c r="AO48" s="275"/>
      <c r="AP48" s="275"/>
      <c r="AQ48" s="275"/>
      <c r="AR48" s="275"/>
      <c r="AS48" s="275"/>
      <c r="AT48" s="292"/>
      <c r="AU48" s="252"/>
      <c r="AV48" s="272"/>
      <c r="AW48" s="273">
        <f t="shared" si="6"/>
        <v>0</v>
      </c>
      <c r="AX48" s="274" t="e">
        <f t="shared" si="7"/>
        <v>#DIV/0!</v>
      </c>
      <c r="AY48" s="275"/>
      <c r="AZ48" s="275"/>
      <c r="BA48" s="275"/>
      <c r="BB48" s="275"/>
      <c r="BC48" s="275"/>
      <c r="BD48" s="275"/>
      <c r="BE48" s="275"/>
      <c r="BF48" s="275"/>
      <c r="BG48" s="275"/>
      <c r="BH48" s="275"/>
      <c r="BI48" s="292"/>
      <c r="BJ48" s="470">
        <f t="shared" si="73"/>
        <v>1</v>
      </c>
      <c r="BK48" s="471"/>
      <c r="BL48" s="471">
        <f t="shared" si="9"/>
        <v>4</v>
      </c>
      <c r="BM48" s="480">
        <f t="shared" si="10"/>
        <v>4</v>
      </c>
    </row>
    <row r="49" spans="1:65">
      <c r="A49" s="394" t="str">
        <f>' IA-SI DRY'!B4</f>
        <v>Cielo di Valparaiso</v>
      </c>
      <c r="B49" s="395"/>
      <c r="C49" s="396"/>
      <c r="D49" s="397">
        <f t="shared" ref="D49:D57" si="125">SUM(F49:P49)</f>
        <v>0</v>
      </c>
      <c r="E49" s="398" t="e">
        <f t="shared" si="1"/>
        <v>#DIV/0!</v>
      </c>
      <c r="F49" s="399"/>
      <c r="G49" s="399"/>
      <c r="H49" s="399"/>
      <c r="I49" s="399"/>
      <c r="J49" s="399"/>
      <c r="K49" s="399"/>
      <c r="L49" s="399"/>
      <c r="M49" s="399"/>
      <c r="N49" s="399"/>
      <c r="O49" s="399"/>
      <c r="P49" s="419"/>
      <c r="Q49" s="432"/>
      <c r="R49" s="433"/>
      <c r="S49" s="397">
        <f t="shared" si="2"/>
        <v>0</v>
      </c>
      <c r="T49" s="398" t="e">
        <f t="shared" si="3"/>
        <v>#DIV/0!</v>
      </c>
      <c r="U49" s="399"/>
      <c r="V49" s="399"/>
      <c r="W49" s="399"/>
      <c r="X49" s="399"/>
      <c r="Y49" s="399"/>
      <c r="Z49" s="399"/>
      <c r="AA49" s="399"/>
      <c r="AB49" s="399"/>
      <c r="AC49" s="399"/>
      <c r="AD49" s="399"/>
      <c r="AE49" s="419"/>
      <c r="AF49" s="439"/>
      <c r="AG49" s="450"/>
      <c r="AH49" s="451">
        <f t="shared" si="4"/>
        <v>0</v>
      </c>
      <c r="AI49" s="452" t="e">
        <f t="shared" si="5"/>
        <v>#DIV/0!</v>
      </c>
      <c r="AJ49" s="453"/>
      <c r="AK49" s="453"/>
      <c r="AL49" s="453"/>
      <c r="AM49" s="453"/>
      <c r="AN49" s="453"/>
      <c r="AO49" s="453"/>
      <c r="AP49" s="453"/>
      <c r="AQ49" s="453"/>
      <c r="AR49" s="453"/>
      <c r="AS49" s="453"/>
      <c r="AT49" s="453"/>
      <c r="AU49" s="457"/>
      <c r="AV49" s="450"/>
      <c r="AW49" s="451">
        <f t="shared" si="6"/>
        <v>0</v>
      </c>
      <c r="AX49" s="452" t="e">
        <f t="shared" si="7"/>
        <v>#DIV/0!</v>
      </c>
      <c r="AY49" s="453"/>
      <c r="AZ49" s="453"/>
      <c r="BA49" s="453"/>
      <c r="BB49" s="453"/>
      <c r="BC49" s="453"/>
      <c r="BD49" s="453"/>
      <c r="BE49" s="453"/>
      <c r="BF49" s="453"/>
      <c r="BG49" s="453"/>
      <c r="BH49" s="453"/>
      <c r="BI49" s="453"/>
      <c r="BJ49" s="472">
        <f t="shared" si="8"/>
        <v>0</v>
      </c>
      <c r="BK49" s="473"/>
      <c r="BL49" s="473">
        <f t="shared" si="9"/>
        <v>0</v>
      </c>
      <c r="BM49" s="481" t="e">
        <f t="shared" si="10"/>
        <v>#DIV/0!</v>
      </c>
    </row>
    <row r="50" spans="1:65">
      <c r="A50" s="400" t="str">
        <f>' IA-SI DRY'!B5</f>
        <v>Cielo Dei Maronti</v>
      </c>
      <c r="B50" s="401"/>
      <c r="C50" s="371"/>
      <c r="D50" s="372">
        <f t="shared" si="125"/>
        <v>0</v>
      </c>
      <c r="E50" s="373" t="e">
        <f t="shared" si="1"/>
        <v>#DIV/0!</v>
      </c>
      <c r="F50" s="374"/>
      <c r="G50" s="374"/>
      <c r="H50" s="374"/>
      <c r="I50" s="374"/>
      <c r="J50" s="374"/>
      <c r="K50" s="374"/>
      <c r="L50" s="374"/>
      <c r="M50" s="374"/>
      <c r="N50" s="374"/>
      <c r="O50" s="374"/>
      <c r="P50" s="416"/>
      <c r="Q50" s="429"/>
      <c r="R50" s="386"/>
      <c r="S50" s="372">
        <f t="shared" si="2"/>
        <v>0</v>
      </c>
      <c r="T50" s="373" t="e">
        <f t="shared" si="3"/>
        <v>#DIV/0!</v>
      </c>
      <c r="U50" s="374"/>
      <c r="V50" s="374"/>
      <c r="W50" s="374"/>
      <c r="X50" s="374"/>
      <c r="Y50" s="374"/>
      <c r="Z50" s="374"/>
      <c r="AA50" s="374"/>
      <c r="AB50" s="374"/>
      <c r="AC50" s="374"/>
      <c r="AD50" s="374"/>
      <c r="AE50" s="416"/>
      <c r="AF50" s="289">
        <v>1</v>
      </c>
      <c r="AG50" s="264"/>
      <c r="AH50" s="265">
        <f t="shared" si="4"/>
        <v>4</v>
      </c>
      <c r="AI50" s="266">
        <f t="shared" si="5"/>
        <v>4</v>
      </c>
      <c r="AJ50" s="267"/>
      <c r="AK50" s="267"/>
      <c r="AL50" s="267">
        <v>1</v>
      </c>
      <c r="AM50" s="267">
        <v>2</v>
      </c>
      <c r="AN50" s="267"/>
      <c r="AO50" s="267"/>
      <c r="AP50" s="267"/>
      <c r="AQ50" s="267"/>
      <c r="AR50" s="267"/>
      <c r="AS50" s="267">
        <v>1</v>
      </c>
      <c r="AT50" s="267"/>
      <c r="AU50" s="254"/>
      <c r="AV50" s="264"/>
      <c r="AW50" s="265">
        <f t="shared" si="6"/>
        <v>0</v>
      </c>
      <c r="AX50" s="266" t="e">
        <f t="shared" si="7"/>
        <v>#DIV/0!</v>
      </c>
      <c r="AY50" s="267"/>
      <c r="AZ50" s="267"/>
      <c r="BA50" s="267"/>
      <c r="BB50" s="267"/>
      <c r="BC50" s="267"/>
      <c r="BD50" s="267"/>
      <c r="BE50" s="267"/>
      <c r="BF50" s="267"/>
      <c r="BG50" s="267"/>
      <c r="BH50" s="267"/>
      <c r="BI50" s="267"/>
      <c r="BJ50" s="305">
        <f t="shared" si="8"/>
        <v>1</v>
      </c>
      <c r="BK50" s="306"/>
      <c r="BL50" s="306">
        <f t="shared" si="9"/>
        <v>4</v>
      </c>
      <c r="BM50" s="478">
        <f t="shared" si="10"/>
        <v>4</v>
      </c>
    </row>
    <row r="51" spans="1:65">
      <c r="A51" s="400" t="str">
        <f>' IA-SI DRY'!B6</f>
        <v>Medi Adriatico</v>
      </c>
      <c r="B51" s="401"/>
      <c r="C51" s="371"/>
      <c r="D51" s="372">
        <f t="shared" ref="D51:D55" si="126">SUM(F51:P51)</f>
        <v>0</v>
      </c>
      <c r="E51" s="373" t="e">
        <f t="shared" si="1"/>
        <v>#DIV/0!</v>
      </c>
      <c r="F51" s="374"/>
      <c r="G51" s="374"/>
      <c r="H51" s="374"/>
      <c r="I51" s="374"/>
      <c r="J51" s="374"/>
      <c r="K51" s="374"/>
      <c r="L51" s="374"/>
      <c r="M51" s="374"/>
      <c r="N51" s="374"/>
      <c r="O51" s="374"/>
      <c r="P51" s="416"/>
      <c r="Q51" s="429"/>
      <c r="R51" s="386"/>
      <c r="S51" s="372">
        <f t="shared" si="2"/>
        <v>0</v>
      </c>
      <c r="T51" s="373" t="e">
        <f t="shared" si="3"/>
        <v>#DIV/0!</v>
      </c>
      <c r="U51" s="374"/>
      <c r="V51" s="374"/>
      <c r="W51" s="374"/>
      <c r="X51" s="374"/>
      <c r="Y51" s="374"/>
      <c r="Z51" s="374"/>
      <c r="AA51" s="374"/>
      <c r="AB51" s="374"/>
      <c r="AC51" s="374"/>
      <c r="AD51" s="374"/>
      <c r="AE51" s="416"/>
      <c r="AF51" s="289">
        <v>1</v>
      </c>
      <c r="AG51" s="264"/>
      <c r="AH51" s="265">
        <f t="shared" si="4"/>
        <v>3</v>
      </c>
      <c r="AI51" s="266">
        <f t="shared" si="5"/>
        <v>3</v>
      </c>
      <c r="AJ51" s="267">
        <v>1</v>
      </c>
      <c r="AK51" s="267"/>
      <c r="AL51" s="267">
        <v>1</v>
      </c>
      <c r="AM51" s="267">
        <v>1</v>
      </c>
      <c r="AN51" s="267"/>
      <c r="AO51" s="267"/>
      <c r="AP51" s="267"/>
      <c r="AQ51" s="267"/>
      <c r="AR51" s="267"/>
      <c r="AS51" s="267"/>
      <c r="AT51" s="267"/>
      <c r="AU51" s="254"/>
      <c r="AV51" s="264"/>
      <c r="AW51" s="265">
        <f t="shared" si="6"/>
        <v>0</v>
      </c>
      <c r="AX51" s="266" t="e">
        <f t="shared" si="7"/>
        <v>#DIV/0!</v>
      </c>
      <c r="AY51" s="267"/>
      <c r="AZ51" s="267"/>
      <c r="BA51" s="267"/>
      <c r="BB51" s="267"/>
      <c r="BC51" s="267"/>
      <c r="BD51" s="267"/>
      <c r="BE51" s="267"/>
      <c r="BF51" s="267"/>
      <c r="BG51" s="267"/>
      <c r="BH51" s="267"/>
      <c r="BI51" s="267"/>
      <c r="BJ51" s="305">
        <f t="shared" ref="BJ51:BJ54" si="127">SUM(B51+Q51+AF51+AU51)</f>
        <v>1</v>
      </c>
      <c r="BK51" s="306"/>
      <c r="BL51" s="306">
        <f t="shared" si="9"/>
        <v>3</v>
      </c>
      <c r="BM51" s="478">
        <f t="shared" si="10"/>
        <v>3</v>
      </c>
    </row>
    <row r="52" spans="1:65">
      <c r="A52" s="400" t="str">
        <f>' IA-SI DRY'!B7</f>
        <v>Medi Atlantico</v>
      </c>
      <c r="B52" s="401"/>
      <c r="C52" s="371"/>
      <c r="D52" s="372">
        <f t="shared" si="126"/>
        <v>0</v>
      </c>
      <c r="E52" s="373" t="e">
        <f t="shared" si="1"/>
        <v>#DIV/0!</v>
      </c>
      <c r="F52" s="374"/>
      <c r="G52" s="374"/>
      <c r="H52" s="374"/>
      <c r="I52" s="374"/>
      <c r="J52" s="374"/>
      <c r="K52" s="374"/>
      <c r="L52" s="374"/>
      <c r="M52" s="374"/>
      <c r="N52" s="374"/>
      <c r="O52" s="374"/>
      <c r="P52" s="416"/>
      <c r="Q52" s="429">
        <v>1</v>
      </c>
      <c r="R52" s="386"/>
      <c r="S52" s="372">
        <f t="shared" si="2"/>
        <v>5</v>
      </c>
      <c r="T52" s="373">
        <f t="shared" si="3"/>
        <v>5</v>
      </c>
      <c r="U52" s="374"/>
      <c r="V52" s="374"/>
      <c r="W52" s="374"/>
      <c r="X52" s="374">
        <v>1</v>
      </c>
      <c r="Y52" s="374">
        <v>3</v>
      </c>
      <c r="Z52" s="374"/>
      <c r="AA52" s="374"/>
      <c r="AB52" s="374"/>
      <c r="AC52" s="374"/>
      <c r="AD52" s="374">
        <v>1</v>
      </c>
      <c r="AE52" s="416"/>
      <c r="AF52" s="289"/>
      <c r="AG52" s="264"/>
      <c r="AH52" s="265">
        <f t="shared" si="4"/>
        <v>0</v>
      </c>
      <c r="AI52" s="266" t="e">
        <f t="shared" si="5"/>
        <v>#DIV/0!</v>
      </c>
      <c r="AJ52" s="267"/>
      <c r="AK52" s="267"/>
      <c r="AL52" s="267"/>
      <c r="AM52" s="267"/>
      <c r="AN52" s="267"/>
      <c r="AO52" s="267"/>
      <c r="AP52" s="267"/>
      <c r="AQ52" s="267"/>
      <c r="AR52" s="267"/>
      <c r="AS52" s="267"/>
      <c r="AT52" s="267"/>
      <c r="AU52" s="254"/>
      <c r="AV52" s="264"/>
      <c r="AW52" s="265">
        <f t="shared" si="6"/>
        <v>0</v>
      </c>
      <c r="AX52" s="266" t="e">
        <f t="shared" si="7"/>
        <v>#DIV/0!</v>
      </c>
      <c r="AY52" s="267"/>
      <c r="AZ52" s="267"/>
      <c r="BA52" s="267"/>
      <c r="BB52" s="267"/>
      <c r="BC52" s="267"/>
      <c r="BD52" s="267"/>
      <c r="BE52" s="267"/>
      <c r="BF52" s="267"/>
      <c r="BG52" s="267"/>
      <c r="BH52" s="267"/>
      <c r="BI52" s="267"/>
      <c r="BJ52" s="305">
        <f t="shared" si="127"/>
        <v>1</v>
      </c>
      <c r="BK52" s="306"/>
      <c r="BL52" s="306">
        <f t="shared" si="9"/>
        <v>5</v>
      </c>
      <c r="BM52" s="478">
        <f t="shared" si="10"/>
        <v>5</v>
      </c>
    </row>
    <row r="53" spans="1:65">
      <c r="A53" s="400" t="str">
        <f>' IA-SI DRY'!B8</f>
        <v>Medi Egadi</v>
      </c>
      <c r="B53" s="401"/>
      <c r="C53" s="371"/>
      <c r="D53" s="372">
        <f t="shared" si="126"/>
        <v>0</v>
      </c>
      <c r="E53" s="373" t="e">
        <f t="shared" si="1"/>
        <v>#DIV/0!</v>
      </c>
      <c r="F53" s="374"/>
      <c r="G53" s="374"/>
      <c r="H53" s="374"/>
      <c r="I53" s="374"/>
      <c r="J53" s="374"/>
      <c r="K53" s="374"/>
      <c r="L53" s="374"/>
      <c r="M53" s="374"/>
      <c r="N53" s="374"/>
      <c r="O53" s="374"/>
      <c r="P53" s="416"/>
      <c r="Q53" s="429"/>
      <c r="R53" s="386"/>
      <c r="S53" s="372">
        <f t="shared" si="2"/>
        <v>0</v>
      </c>
      <c r="T53" s="373" t="e">
        <f t="shared" si="3"/>
        <v>#DIV/0!</v>
      </c>
      <c r="U53" s="374"/>
      <c r="V53" s="374"/>
      <c r="W53" s="374"/>
      <c r="X53" s="374"/>
      <c r="Y53" s="374"/>
      <c r="Z53" s="374"/>
      <c r="AA53" s="374"/>
      <c r="AB53" s="374"/>
      <c r="AC53" s="374"/>
      <c r="AD53" s="374"/>
      <c r="AE53" s="416"/>
      <c r="AF53" s="289">
        <v>1</v>
      </c>
      <c r="AG53" s="264"/>
      <c r="AH53" s="265">
        <f t="shared" si="4"/>
        <v>3</v>
      </c>
      <c r="AI53" s="266">
        <f t="shared" si="5"/>
        <v>3</v>
      </c>
      <c r="AJ53" s="267">
        <v>1</v>
      </c>
      <c r="AK53" s="267"/>
      <c r="AL53" s="267">
        <v>1</v>
      </c>
      <c r="AM53" s="267">
        <v>1</v>
      </c>
      <c r="AN53" s="267"/>
      <c r="AO53" s="267"/>
      <c r="AP53" s="267"/>
      <c r="AQ53" s="267"/>
      <c r="AR53" s="267"/>
      <c r="AS53" s="267"/>
      <c r="AT53" s="267"/>
      <c r="AU53" s="254"/>
      <c r="AV53" s="264"/>
      <c r="AW53" s="265">
        <f t="shared" si="6"/>
        <v>0</v>
      </c>
      <c r="AX53" s="266" t="e">
        <f t="shared" si="7"/>
        <v>#DIV/0!</v>
      </c>
      <c r="AY53" s="267"/>
      <c r="AZ53" s="267"/>
      <c r="BA53" s="267"/>
      <c r="BB53" s="267"/>
      <c r="BC53" s="267"/>
      <c r="BD53" s="267"/>
      <c r="BE53" s="267"/>
      <c r="BF53" s="267"/>
      <c r="BG53" s="267"/>
      <c r="BH53" s="267"/>
      <c r="BI53" s="267"/>
      <c r="BJ53" s="305">
        <f t="shared" si="127"/>
        <v>1</v>
      </c>
      <c r="BK53" s="306"/>
      <c r="BL53" s="306">
        <f t="shared" si="9"/>
        <v>3</v>
      </c>
      <c r="BM53" s="478">
        <f t="shared" si="10"/>
        <v>3</v>
      </c>
    </row>
    <row r="54" spans="1:65">
      <c r="A54" s="400" t="str">
        <f>' IA-SI DRY'!B9</f>
        <v>Medi Egeo</v>
      </c>
      <c r="B54" s="401"/>
      <c r="C54" s="371"/>
      <c r="D54" s="372">
        <f t="shared" si="126"/>
        <v>0</v>
      </c>
      <c r="E54" s="373" t="e">
        <f t="shared" si="1"/>
        <v>#DIV/0!</v>
      </c>
      <c r="F54" s="374"/>
      <c r="G54" s="374"/>
      <c r="H54" s="374"/>
      <c r="I54" s="374"/>
      <c r="J54" s="374"/>
      <c r="K54" s="374"/>
      <c r="L54" s="374"/>
      <c r="M54" s="374"/>
      <c r="N54" s="374"/>
      <c r="O54" s="374"/>
      <c r="P54" s="416"/>
      <c r="Q54" s="429"/>
      <c r="R54" s="386"/>
      <c r="S54" s="372">
        <f t="shared" si="2"/>
        <v>0</v>
      </c>
      <c r="T54" s="373" t="e">
        <f t="shared" si="3"/>
        <v>#DIV/0!</v>
      </c>
      <c r="U54" s="374"/>
      <c r="V54" s="374"/>
      <c r="W54" s="374"/>
      <c r="X54" s="374"/>
      <c r="Y54" s="374"/>
      <c r="Z54" s="374"/>
      <c r="AA54" s="374"/>
      <c r="AB54" s="374"/>
      <c r="AC54" s="374"/>
      <c r="AD54" s="374"/>
      <c r="AE54" s="416"/>
      <c r="AF54" s="289">
        <v>1</v>
      </c>
      <c r="AG54" s="264"/>
      <c r="AH54" s="265">
        <f t="shared" si="4"/>
        <v>3</v>
      </c>
      <c r="AI54" s="266">
        <f t="shared" si="5"/>
        <v>3</v>
      </c>
      <c r="AJ54" s="267"/>
      <c r="AK54" s="267"/>
      <c r="AL54" s="267"/>
      <c r="AM54" s="267">
        <v>2</v>
      </c>
      <c r="AN54" s="267"/>
      <c r="AO54" s="267"/>
      <c r="AP54" s="267"/>
      <c r="AQ54" s="267"/>
      <c r="AR54" s="267"/>
      <c r="AS54" s="267">
        <v>1</v>
      </c>
      <c r="AT54" s="267"/>
      <c r="AU54" s="254"/>
      <c r="AV54" s="264"/>
      <c r="AW54" s="265">
        <f t="shared" si="6"/>
        <v>0</v>
      </c>
      <c r="AX54" s="266" t="e">
        <f t="shared" si="7"/>
        <v>#DIV/0!</v>
      </c>
      <c r="AY54" s="267"/>
      <c r="AZ54" s="267"/>
      <c r="BA54" s="267"/>
      <c r="BB54" s="267"/>
      <c r="BC54" s="267"/>
      <c r="BD54" s="267"/>
      <c r="BE54" s="267"/>
      <c r="BF54" s="267"/>
      <c r="BG54" s="267"/>
      <c r="BH54" s="267"/>
      <c r="BI54" s="267"/>
      <c r="BJ54" s="305">
        <f t="shared" si="127"/>
        <v>1</v>
      </c>
      <c r="BK54" s="306"/>
      <c r="BL54" s="306">
        <f t="shared" si="9"/>
        <v>3</v>
      </c>
      <c r="BM54" s="478">
        <f t="shared" si="10"/>
        <v>3</v>
      </c>
    </row>
    <row r="55" spans="1:65">
      <c r="A55" s="400" t="str">
        <f>' IA-SI DRY'!B10</f>
        <v>Medi Matsuura</v>
      </c>
      <c r="B55" s="401"/>
      <c r="C55" s="371"/>
      <c r="D55" s="372">
        <f t="shared" si="126"/>
        <v>0</v>
      </c>
      <c r="E55" s="373" t="e">
        <f t="shared" ref="E55" si="128">(D55/B55)</f>
        <v>#DIV/0!</v>
      </c>
      <c r="F55" s="374"/>
      <c r="G55" s="374"/>
      <c r="H55" s="374"/>
      <c r="I55" s="374"/>
      <c r="J55" s="374"/>
      <c r="K55" s="374"/>
      <c r="L55" s="374"/>
      <c r="M55" s="374"/>
      <c r="N55" s="374"/>
      <c r="O55" s="374"/>
      <c r="P55" s="416"/>
      <c r="Q55" s="429"/>
      <c r="R55" s="386"/>
      <c r="S55" s="372">
        <f t="shared" ref="S55" si="129">SUM(U55:AE55)</f>
        <v>0</v>
      </c>
      <c r="T55" s="373" t="e">
        <f t="shared" ref="T55" si="130">(S55/Q55)</f>
        <v>#DIV/0!</v>
      </c>
      <c r="U55" s="374"/>
      <c r="V55" s="374"/>
      <c r="W55" s="374"/>
      <c r="X55" s="374"/>
      <c r="Y55" s="374"/>
      <c r="Z55" s="374"/>
      <c r="AA55" s="374"/>
      <c r="AB55" s="374"/>
      <c r="AC55" s="374"/>
      <c r="AD55" s="374"/>
      <c r="AE55" s="416"/>
      <c r="AF55" s="289"/>
      <c r="AG55" s="264"/>
      <c r="AH55" s="265">
        <f t="shared" ref="AH55" si="131">SUM(AJ55:AT55)</f>
        <v>0</v>
      </c>
      <c r="AI55" s="266" t="e">
        <f t="shared" ref="AI55" si="132">(AH55/AF55)</f>
        <v>#DIV/0!</v>
      </c>
      <c r="AJ55" s="267"/>
      <c r="AK55" s="267"/>
      <c r="AL55" s="267"/>
      <c r="AM55" s="267"/>
      <c r="AN55" s="267"/>
      <c r="AO55" s="267"/>
      <c r="AP55" s="267"/>
      <c r="AQ55" s="267"/>
      <c r="AR55" s="267"/>
      <c r="AS55" s="267"/>
      <c r="AT55" s="267"/>
      <c r="AU55" s="254">
        <v>1</v>
      </c>
      <c r="AV55" s="264"/>
      <c r="AW55" s="265">
        <f t="shared" ref="AW55" si="133">SUM(AY55:BI55)</f>
        <v>4</v>
      </c>
      <c r="AX55" s="266">
        <f t="shared" ref="AX55" si="134">(AW55/AU55)</f>
        <v>4</v>
      </c>
      <c r="AY55" s="267"/>
      <c r="AZ55" s="267"/>
      <c r="BA55" s="267"/>
      <c r="BB55" s="267">
        <v>2</v>
      </c>
      <c r="BC55" s="267">
        <v>2</v>
      </c>
      <c r="BD55" s="267"/>
      <c r="BE55" s="267"/>
      <c r="BF55" s="267"/>
      <c r="BG55" s="267"/>
      <c r="BH55" s="267"/>
      <c r="BI55" s="267"/>
      <c r="BJ55" s="305">
        <f t="shared" ref="BJ55" si="135">SUM(B55+Q55+AF55+AU55)</f>
        <v>1</v>
      </c>
      <c r="BK55" s="306"/>
      <c r="BL55" s="306">
        <f t="shared" ref="BL55" si="136">SUM(D55,S55,AH55,AW55)</f>
        <v>4</v>
      </c>
      <c r="BM55" s="478">
        <f t="shared" ref="BM55" si="137">(BL55/BJ55)</f>
        <v>4</v>
      </c>
    </row>
    <row r="56" spans="1:65">
      <c r="A56" s="400" t="str">
        <f>' IA-SI DRY'!B11</f>
        <v>Medi Palmarola</v>
      </c>
      <c r="B56" s="401"/>
      <c r="C56" s="371"/>
      <c r="D56" s="372">
        <f t="shared" si="125"/>
        <v>0</v>
      </c>
      <c r="E56" s="373" t="e">
        <f t="shared" si="1"/>
        <v>#DIV/0!</v>
      </c>
      <c r="F56" s="374"/>
      <c r="G56" s="374"/>
      <c r="H56" s="374"/>
      <c r="I56" s="374"/>
      <c r="J56" s="374"/>
      <c r="K56" s="374"/>
      <c r="L56" s="374"/>
      <c r="M56" s="374"/>
      <c r="N56" s="374"/>
      <c r="O56" s="374"/>
      <c r="P56" s="416"/>
      <c r="Q56" s="429"/>
      <c r="R56" s="386"/>
      <c r="S56" s="372">
        <f t="shared" si="2"/>
        <v>0</v>
      </c>
      <c r="T56" s="373" t="e">
        <f t="shared" si="3"/>
        <v>#DIV/0!</v>
      </c>
      <c r="U56" s="374"/>
      <c r="V56" s="374"/>
      <c r="W56" s="374"/>
      <c r="X56" s="374"/>
      <c r="Y56" s="374"/>
      <c r="Z56" s="374"/>
      <c r="AA56" s="374"/>
      <c r="AB56" s="374"/>
      <c r="AC56" s="374"/>
      <c r="AD56" s="374"/>
      <c r="AE56" s="416"/>
      <c r="AF56" s="289">
        <v>1</v>
      </c>
      <c r="AG56" s="264"/>
      <c r="AH56" s="265">
        <f t="shared" si="4"/>
        <v>5</v>
      </c>
      <c r="AI56" s="266">
        <f t="shared" si="5"/>
        <v>5</v>
      </c>
      <c r="AJ56" s="267"/>
      <c r="AK56" s="267"/>
      <c r="AL56" s="267"/>
      <c r="AM56" s="267">
        <v>2</v>
      </c>
      <c r="AN56" s="267"/>
      <c r="AO56" s="267"/>
      <c r="AP56" s="267">
        <v>2</v>
      </c>
      <c r="AQ56" s="267"/>
      <c r="AR56" s="267"/>
      <c r="AS56" s="267">
        <v>1</v>
      </c>
      <c r="AT56" s="267"/>
      <c r="AU56" s="254"/>
      <c r="AV56" s="264"/>
      <c r="AW56" s="265">
        <f t="shared" si="6"/>
        <v>0</v>
      </c>
      <c r="AX56" s="266" t="e">
        <f t="shared" si="7"/>
        <v>#DIV/0!</v>
      </c>
      <c r="AY56" s="267"/>
      <c r="AZ56" s="267"/>
      <c r="BA56" s="267"/>
      <c r="BB56" s="267"/>
      <c r="BC56" s="267"/>
      <c r="BD56" s="267"/>
      <c r="BE56" s="267"/>
      <c r="BF56" s="267"/>
      <c r="BG56" s="267"/>
      <c r="BH56" s="267"/>
      <c r="BI56" s="267"/>
      <c r="BJ56" s="305">
        <f t="shared" si="8"/>
        <v>1</v>
      </c>
      <c r="BK56" s="306"/>
      <c r="BL56" s="306">
        <f t="shared" si="9"/>
        <v>5</v>
      </c>
      <c r="BM56" s="478">
        <f t="shared" si="10"/>
        <v>5</v>
      </c>
    </row>
    <row r="57" spans="1:65">
      <c r="A57" s="400" t="str">
        <f>' IA-SI DRY'!B12</f>
        <v>Medi Sydney</v>
      </c>
      <c r="B57" s="401"/>
      <c r="C57" s="371"/>
      <c r="D57" s="372">
        <f t="shared" si="125"/>
        <v>0</v>
      </c>
      <c r="E57" s="373" t="e">
        <f t="shared" ref="E57" si="138">(D57/B57)</f>
        <v>#DIV/0!</v>
      </c>
      <c r="F57" s="374"/>
      <c r="G57" s="374"/>
      <c r="H57" s="374"/>
      <c r="I57" s="374"/>
      <c r="J57" s="374"/>
      <c r="K57" s="374"/>
      <c r="L57" s="374"/>
      <c r="M57" s="374"/>
      <c r="N57" s="374"/>
      <c r="O57" s="374"/>
      <c r="P57" s="416"/>
      <c r="Q57" s="429"/>
      <c r="R57" s="386"/>
      <c r="S57" s="372">
        <f t="shared" ref="S57" si="139">SUM(U57:AE57)</f>
        <v>0</v>
      </c>
      <c r="T57" s="373" t="e">
        <f t="shared" ref="T57" si="140">(S57/Q57)</f>
        <v>#DIV/0!</v>
      </c>
      <c r="U57" s="374"/>
      <c r="V57" s="374"/>
      <c r="W57" s="374"/>
      <c r="X57" s="374"/>
      <c r="Y57" s="374"/>
      <c r="Z57" s="374"/>
      <c r="AA57" s="374"/>
      <c r="AB57" s="374"/>
      <c r="AC57" s="374"/>
      <c r="AD57" s="374"/>
      <c r="AE57" s="416"/>
      <c r="AF57" s="289"/>
      <c r="AG57" s="264"/>
      <c r="AH57" s="265">
        <f t="shared" si="4"/>
        <v>6</v>
      </c>
      <c r="AI57" s="266" t="e">
        <f t="shared" ref="AI57" si="141">(AH57/AF57)</f>
        <v>#DIV/0!</v>
      </c>
      <c r="AJ57" s="267"/>
      <c r="AK57" s="267"/>
      <c r="AL57" s="267">
        <v>2</v>
      </c>
      <c r="AM57" s="267">
        <v>3</v>
      </c>
      <c r="AN57" s="267"/>
      <c r="AO57" s="267">
        <v>1</v>
      </c>
      <c r="AP57" s="267"/>
      <c r="AQ57" s="267"/>
      <c r="AR57" s="267"/>
      <c r="AS57" s="267"/>
      <c r="AT57" s="267"/>
      <c r="AU57" s="254">
        <v>1</v>
      </c>
      <c r="AV57" s="264"/>
      <c r="AW57" s="265">
        <f t="shared" ref="AW57" si="142">SUM(AY57:BI57)</f>
        <v>6</v>
      </c>
      <c r="AX57" s="266">
        <f t="shared" ref="AX57" si="143">(AW57/AU57)</f>
        <v>6</v>
      </c>
      <c r="AY57" s="267"/>
      <c r="AZ57" s="267"/>
      <c r="BA57" s="267">
        <v>2</v>
      </c>
      <c r="BB57" s="267">
        <v>3</v>
      </c>
      <c r="BC57" s="267"/>
      <c r="BD57" s="267">
        <v>1</v>
      </c>
      <c r="BE57" s="267"/>
      <c r="BF57" s="267"/>
      <c r="BG57" s="267"/>
      <c r="BH57" s="267"/>
      <c r="BI57" s="267"/>
      <c r="BJ57" s="305">
        <f t="shared" ref="BJ57" si="144">SUM(B57+Q57+AF57+AU57)</f>
        <v>1</v>
      </c>
      <c r="BK57" s="306"/>
      <c r="BL57" s="306">
        <f t="shared" ref="BL57" si="145">SUM(D57,S57,AH57,AW57)</f>
        <v>12</v>
      </c>
      <c r="BM57" s="478">
        <f t="shared" ref="BM57" si="146">(BL57/BJ57)</f>
        <v>12</v>
      </c>
    </row>
    <row r="58" spans="1:65">
      <c r="A58" s="402" t="str">
        <f>' IA-SI DRY'!B13</f>
        <v>Medi Tirreno</v>
      </c>
      <c r="B58" s="401">
        <v>1</v>
      </c>
      <c r="C58" s="371"/>
      <c r="D58" s="372">
        <f t="shared" ref="D58:D60" si="147">SUM(F58:P58)</f>
        <v>3</v>
      </c>
      <c r="E58" s="373">
        <f t="shared" si="1"/>
        <v>3</v>
      </c>
      <c r="F58" s="374">
        <v>1</v>
      </c>
      <c r="G58" s="374"/>
      <c r="H58" s="374"/>
      <c r="I58" s="374">
        <v>2</v>
      </c>
      <c r="J58" s="374"/>
      <c r="K58" s="374"/>
      <c r="L58" s="374"/>
      <c r="M58" s="374"/>
      <c r="N58" s="374"/>
      <c r="O58" s="374"/>
      <c r="P58" s="416"/>
      <c r="Q58" s="429"/>
      <c r="R58" s="386"/>
      <c r="S58" s="372">
        <f t="shared" si="2"/>
        <v>0</v>
      </c>
      <c r="T58" s="373" t="e">
        <f t="shared" si="3"/>
        <v>#DIV/0!</v>
      </c>
      <c r="U58" s="374"/>
      <c r="V58" s="374"/>
      <c r="W58" s="374"/>
      <c r="X58" s="374"/>
      <c r="Y58" s="374"/>
      <c r="Z58" s="374"/>
      <c r="AA58" s="374"/>
      <c r="AB58" s="374"/>
      <c r="AC58" s="374"/>
      <c r="AD58" s="374"/>
      <c r="AE58" s="416"/>
      <c r="AF58" s="289"/>
      <c r="AG58" s="264"/>
      <c r="AH58" s="265">
        <f t="shared" si="4"/>
        <v>0</v>
      </c>
      <c r="AI58" s="266" t="e">
        <f t="shared" si="5"/>
        <v>#DIV/0!</v>
      </c>
      <c r="AJ58" s="267"/>
      <c r="AK58" s="267"/>
      <c r="AL58" s="267"/>
      <c r="AM58" s="267"/>
      <c r="AN58" s="267"/>
      <c r="AO58" s="267"/>
      <c r="AP58" s="267"/>
      <c r="AQ58" s="267"/>
      <c r="AR58" s="267"/>
      <c r="AS58" s="267"/>
      <c r="AT58" s="267"/>
      <c r="AU58" s="254"/>
      <c r="AV58" s="264"/>
      <c r="AW58" s="265">
        <f t="shared" si="6"/>
        <v>0</v>
      </c>
      <c r="AX58" s="266" t="e">
        <f t="shared" si="7"/>
        <v>#DIV/0!</v>
      </c>
      <c r="AY58" s="267"/>
      <c r="AZ58" s="267"/>
      <c r="BA58" s="267"/>
      <c r="BB58" s="267"/>
      <c r="BC58" s="267"/>
      <c r="BD58" s="267"/>
      <c r="BE58" s="267"/>
      <c r="BF58" s="267"/>
      <c r="BG58" s="267"/>
      <c r="BH58" s="267"/>
      <c r="BI58" s="267"/>
      <c r="BJ58" s="305">
        <f t="shared" ref="BJ58:BJ60" si="148">SUM(B58+Q58+AF58+AU58)</f>
        <v>1</v>
      </c>
      <c r="BK58" s="306"/>
      <c r="BL58" s="306">
        <f t="shared" si="9"/>
        <v>3</v>
      </c>
      <c r="BM58" s="478">
        <f t="shared" si="10"/>
        <v>3</v>
      </c>
    </row>
    <row r="59" spans="1:65">
      <c r="A59" s="400" t="str">
        <f>' IA-SI DRY'!B14</f>
        <v>Medi Zuoz</v>
      </c>
      <c r="B59" s="370"/>
      <c r="C59" s="379"/>
      <c r="D59" s="377"/>
      <c r="E59" s="378" t="e">
        <f t="shared" si="1"/>
        <v>#DIV/0!</v>
      </c>
      <c r="F59" s="374"/>
      <c r="G59" s="374"/>
      <c r="H59" s="374"/>
      <c r="I59" s="374"/>
      <c r="J59" s="374"/>
      <c r="K59" s="374"/>
      <c r="L59" s="374"/>
      <c r="M59" s="374"/>
      <c r="N59" s="374"/>
      <c r="O59" s="374"/>
      <c r="P59" s="416"/>
      <c r="Q59" s="429"/>
      <c r="R59" s="379"/>
      <c r="S59" s="377">
        <f t="shared" si="2"/>
        <v>0</v>
      </c>
      <c r="T59" s="378" t="e">
        <f t="shared" si="3"/>
        <v>#DIV/0!</v>
      </c>
      <c r="U59" s="374"/>
      <c r="V59" s="374"/>
      <c r="W59" s="374"/>
      <c r="X59" s="374"/>
      <c r="Y59" s="374"/>
      <c r="Z59" s="374"/>
      <c r="AA59" s="374"/>
      <c r="AB59" s="374"/>
      <c r="AC59" s="374"/>
      <c r="AD59" s="374"/>
      <c r="AE59" s="416"/>
      <c r="AF59" s="289">
        <v>1</v>
      </c>
      <c r="AG59" s="268"/>
      <c r="AH59" s="269">
        <v>4</v>
      </c>
      <c r="AI59" s="270">
        <f t="shared" si="5"/>
        <v>4</v>
      </c>
      <c r="AJ59" s="267">
        <v>1</v>
      </c>
      <c r="AK59" s="267"/>
      <c r="AL59" s="267">
        <v>2</v>
      </c>
      <c r="AM59" s="267">
        <v>1</v>
      </c>
      <c r="AN59" s="267"/>
      <c r="AO59" s="267"/>
      <c r="AP59" s="267"/>
      <c r="AQ59" s="267"/>
      <c r="AR59" s="267"/>
      <c r="AS59" s="267"/>
      <c r="AT59" s="267"/>
      <c r="AU59" s="254"/>
      <c r="AV59" s="268"/>
      <c r="AW59" s="269">
        <f t="shared" si="6"/>
        <v>0</v>
      </c>
      <c r="AX59" s="270" t="e">
        <f t="shared" si="7"/>
        <v>#DIV/0!</v>
      </c>
      <c r="AY59" s="267"/>
      <c r="AZ59" s="267"/>
      <c r="BA59" s="267"/>
      <c r="BB59" s="267"/>
      <c r="BC59" s="267"/>
      <c r="BD59" s="267"/>
      <c r="BE59" s="267"/>
      <c r="BF59" s="267"/>
      <c r="BG59" s="267"/>
      <c r="BH59" s="267"/>
      <c r="BI59" s="267"/>
      <c r="BJ59" s="305">
        <f t="shared" si="148"/>
        <v>1</v>
      </c>
      <c r="BK59" s="468"/>
      <c r="BL59" s="468">
        <f t="shared" si="9"/>
        <v>4</v>
      </c>
      <c r="BM59" s="479">
        <f t="shared" si="10"/>
        <v>4</v>
      </c>
    </row>
    <row r="60" ht="15.75" spans="1:65">
      <c r="A60" s="403" t="str">
        <f>' IA-SI DRY'!B15</f>
        <v>Medi Caboto</v>
      </c>
      <c r="B60" s="389"/>
      <c r="C60" s="390"/>
      <c r="D60" s="391">
        <f t="shared" si="147"/>
        <v>0</v>
      </c>
      <c r="E60" s="392" t="e">
        <f t="shared" si="1"/>
        <v>#DIV/0!</v>
      </c>
      <c r="F60" s="393"/>
      <c r="G60" s="393"/>
      <c r="H60" s="393"/>
      <c r="I60" s="393"/>
      <c r="J60" s="393"/>
      <c r="K60" s="393"/>
      <c r="L60" s="393"/>
      <c r="M60" s="393"/>
      <c r="N60" s="393"/>
      <c r="O60" s="393"/>
      <c r="P60" s="418"/>
      <c r="Q60" s="430"/>
      <c r="R60" s="386"/>
      <c r="S60" s="372">
        <f t="shared" si="2"/>
        <v>0</v>
      </c>
      <c r="T60" s="373" t="e">
        <f t="shared" si="3"/>
        <v>#DIV/0!</v>
      </c>
      <c r="U60" s="387"/>
      <c r="V60" s="387"/>
      <c r="W60" s="387"/>
      <c r="X60" s="387"/>
      <c r="Y60" s="387"/>
      <c r="Z60" s="387"/>
      <c r="AA60" s="387"/>
      <c r="AB60" s="387"/>
      <c r="AC60" s="387"/>
      <c r="AD60" s="387"/>
      <c r="AE60" s="417"/>
      <c r="AF60" s="291"/>
      <c r="AG60" s="264"/>
      <c r="AH60" s="265">
        <f t="shared" si="4"/>
        <v>0</v>
      </c>
      <c r="AI60" s="266" t="e">
        <f t="shared" si="5"/>
        <v>#DIV/0!</v>
      </c>
      <c r="AJ60" s="271"/>
      <c r="AK60" s="271"/>
      <c r="AL60" s="271"/>
      <c r="AM60" s="271"/>
      <c r="AN60" s="271"/>
      <c r="AO60" s="271"/>
      <c r="AP60" s="271"/>
      <c r="AQ60" s="271"/>
      <c r="AR60" s="271"/>
      <c r="AS60" s="271"/>
      <c r="AT60" s="271"/>
      <c r="AU60" s="458"/>
      <c r="AV60" s="264"/>
      <c r="AW60" s="265">
        <f t="shared" si="6"/>
        <v>0</v>
      </c>
      <c r="AX60" s="266" t="e">
        <f t="shared" si="7"/>
        <v>#DIV/0!</v>
      </c>
      <c r="AY60" s="271"/>
      <c r="AZ60" s="271"/>
      <c r="BA60" s="271"/>
      <c r="BB60" s="271"/>
      <c r="BC60" s="271"/>
      <c r="BD60" s="271"/>
      <c r="BE60" s="271"/>
      <c r="BF60" s="271"/>
      <c r="BG60" s="271"/>
      <c r="BH60" s="271"/>
      <c r="BI60" s="271"/>
      <c r="BJ60" s="307">
        <f t="shared" si="148"/>
        <v>0</v>
      </c>
      <c r="BK60" s="306"/>
      <c r="BL60" s="306">
        <f t="shared" si="9"/>
        <v>0</v>
      </c>
      <c r="BM60" s="478" t="e">
        <f t="shared" si="10"/>
        <v>#DIV/0!</v>
      </c>
    </row>
    <row r="61" ht="15.75" spans="1:65">
      <c r="A61" s="404" t="s">
        <v>345</v>
      </c>
      <c r="B61" s="405">
        <f>SUM(B19:B60)</f>
        <v>8</v>
      </c>
      <c r="C61" s="406"/>
      <c r="D61" s="407">
        <f>SUM(D19:D60)</f>
        <v>22</v>
      </c>
      <c r="E61" s="408">
        <f t="shared" si="1"/>
        <v>2.75</v>
      </c>
      <c r="F61" s="407">
        <f t="shared" ref="F61:Q61" si="149">SUM(F19:F60)</f>
        <v>2</v>
      </c>
      <c r="G61" s="407">
        <f t="shared" si="149"/>
        <v>1</v>
      </c>
      <c r="H61" s="407">
        <f t="shared" si="149"/>
        <v>4</v>
      </c>
      <c r="I61" s="407">
        <f t="shared" si="149"/>
        <v>13</v>
      </c>
      <c r="J61" s="407">
        <f t="shared" si="149"/>
        <v>0</v>
      </c>
      <c r="K61" s="407">
        <f t="shared" si="149"/>
        <v>0</v>
      </c>
      <c r="L61" s="407">
        <f t="shared" si="149"/>
        <v>1</v>
      </c>
      <c r="M61" s="407">
        <f t="shared" si="149"/>
        <v>0</v>
      </c>
      <c r="N61" s="407">
        <f t="shared" si="149"/>
        <v>0</v>
      </c>
      <c r="O61" s="407">
        <f t="shared" si="149"/>
        <v>1</v>
      </c>
      <c r="P61" s="420">
        <f t="shared" si="149"/>
        <v>0</v>
      </c>
      <c r="Q61" s="434">
        <f t="shared" si="149"/>
        <v>10</v>
      </c>
      <c r="R61" s="435"/>
      <c r="S61" s="407">
        <f>SUM(S19:S60)</f>
        <v>44</v>
      </c>
      <c r="T61" s="408">
        <f t="shared" si="3"/>
        <v>4.4</v>
      </c>
      <c r="U61" s="407">
        <f t="shared" ref="U61:AF61" si="150">SUM(U19:U60)</f>
        <v>9</v>
      </c>
      <c r="V61" s="407">
        <f t="shared" si="150"/>
        <v>2</v>
      </c>
      <c r="W61" s="407">
        <f t="shared" si="150"/>
        <v>1</v>
      </c>
      <c r="X61" s="407">
        <f t="shared" si="150"/>
        <v>19</v>
      </c>
      <c r="Y61" s="407">
        <f t="shared" si="150"/>
        <v>8</v>
      </c>
      <c r="Z61" s="407">
        <f t="shared" si="150"/>
        <v>0</v>
      </c>
      <c r="AA61" s="407">
        <f t="shared" si="150"/>
        <v>0</v>
      </c>
      <c r="AB61" s="407">
        <f t="shared" si="150"/>
        <v>0</v>
      </c>
      <c r="AC61" s="407">
        <f t="shared" si="150"/>
        <v>3</v>
      </c>
      <c r="AD61" s="407">
        <f t="shared" si="150"/>
        <v>2</v>
      </c>
      <c r="AE61" s="420">
        <f t="shared" si="150"/>
        <v>0</v>
      </c>
      <c r="AF61" s="440">
        <f t="shared" si="150"/>
        <v>13</v>
      </c>
      <c r="AG61" s="454"/>
      <c r="AH61" s="455">
        <f>SUM(AH19:AH60)</f>
        <v>57</v>
      </c>
      <c r="AI61" s="456">
        <f t="shared" si="5"/>
        <v>4.38461538461539</v>
      </c>
      <c r="AJ61" s="455">
        <f t="shared" ref="AJ61:AU61" si="151">SUM(AJ19:AJ60)</f>
        <v>6</v>
      </c>
      <c r="AK61" s="455">
        <f t="shared" si="151"/>
        <v>0</v>
      </c>
      <c r="AL61" s="455">
        <f t="shared" si="151"/>
        <v>8</v>
      </c>
      <c r="AM61" s="455">
        <f t="shared" si="151"/>
        <v>31</v>
      </c>
      <c r="AN61" s="455">
        <f t="shared" si="151"/>
        <v>2</v>
      </c>
      <c r="AO61" s="455">
        <f t="shared" si="151"/>
        <v>1</v>
      </c>
      <c r="AP61" s="455">
        <f t="shared" si="151"/>
        <v>4</v>
      </c>
      <c r="AQ61" s="455">
        <f t="shared" si="151"/>
        <v>1</v>
      </c>
      <c r="AR61" s="455">
        <f t="shared" si="151"/>
        <v>1</v>
      </c>
      <c r="AS61" s="455">
        <f t="shared" si="151"/>
        <v>3</v>
      </c>
      <c r="AT61" s="459">
        <f t="shared" si="151"/>
        <v>0</v>
      </c>
      <c r="AU61" s="460">
        <f t="shared" si="151"/>
        <v>10</v>
      </c>
      <c r="AV61" s="454"/>
      <c r="AW61" s="455">
        <f>SUM(AW19:AW60)</f>
        <v>46</v>
      </c>
      <c r="AX61" s="461">
        <f t="shared" si="7"/>
        <v>4.6</v>
      </c>
      <c r="AY61" s="455">
        <f t="shared" ref="AY61:BJ61" si="152">SUM(AY19:AY60)</f>
        <v>1</v>
      </c>
      <c r="AZ61" s="455">
        <f t="shared" si="152"/>
        <v>0</v>
      </c>
      <c r="BA61" s="455">
        <f t="shared" si="152"/>
        <v>4</v>
      </c>
      <c r="BB61" s="455">
        <f t="shared" si="152"/>
        <v>24</v>
      </c>
      <c r="BC61" s="455">
        <f t="shared" si="152"/>
        <v>4</v>
      </c>
      <c r="BD61" s="455">
        <f t="shared" si="152"/>
        <v>1</v>
      </c>
      <c r="BE61" s="455">
        <f t="shared" si="152"/>
        <v>2</v>
      </c>
      <c r="BF61" s="455">
        <f t="shared" si="152"/>
        <v>2</v>
      </c>
      <c r="BG61" s="455">
        <f t="shared" si="152"/>
        <v>2</v>
      </c>
      <c r="BH61" s="455">
        <f t="shared" si="152"/>
        <v>6</v>
      </c>
      <c r="BI61" s="455">
        <f t="shared" si="152"/>
        <v>0</v>
      </c>
      <c r="BJ61" s="474">
        <f t="shared" si="152"/>
        <v>41</v>
      </c>
      <c r="BK61" s="475"/>
      <c r="BL61" s="475">
        <f>SUM(BL19:BL60)</f>
        <v>169</v>
      </c>
      <c r="BM61" s="482">
        <f t="shared" si="10"/>
        <v>4.1219512195122</v>
      </c>
    </row>
    <row r="63" spans="1:7">
      <c r="A63" s="409" t="s">
        <v>325</v>
      </c>
      <c r="B63" s="410"/>
      <c r="C63" s="410"/>
      <c r="D63" s="410"/>
      <c r="E63" s="410"/>
      <c r="F63" s="410"/>
      <c r="G63" s="411"/>
    </row>
    <row r="64" spans="1:65">
      <c r="A64" s="412"/>
      <c r="B64" s="413">
        <v>2020</v>
      </c>
      <c r="C64" s="414">
        <v>2021</v>
      </c>
      <c r="D64" s="413">
        <v>2022</v>
      </c>
      <c r="E64" s="414">
        <v>2023</v>
      </c>
      <c r="F64" s="222">
        <v>2024</v>
      </c>
      <c r="G64" s="222"/>
      <c r="BM64"/>
    </row>
    <row r="65" spans="1:65">
      <c r="A65" s="318" t="s">
        <v>346</v>
      </c>
      <c r="B65" s="319">
        <v>28</v>
      </c>
      <c r="C65" s="321">
        <v>25</v>
      </c>
      <c r="D65" s="319">
        <v>36</v>
      </c>
      <c r="E65" s="321">
        <v>35</v>
      </c>
      <c r="F65" s="319">
        <v>37</v>
      </c>
      <c r="G65" s="319"/>
      <c r="H65" s="483"/>
      <c r="BM65"/>
    </row>
    <row r="66" spans="1:65">
      <c r="A66" s="318" t="s">
        <v>347</v>
      </c>
      <c r="B66" s="319">
        <v>36</v>
      </c>
      <c r="C66" s="321">
        <v>41</v>
      </c>
      <c r="D66" s="319">
        <v>47</v>
      </c>
      <c r="E66" s="320">
        <v>35</v>
      </c>
      <c r="F66" s="322">
        <f>B61+Q61+AF61+AU61</f>
        <v>41</v>
      </c>
      <c r="G66" s="319"/>
      <c r="H66" s="483"/>
      <c r="BM66"/>
    </row>
    <row r="67" spans="1:65">
      <c r="A67" s="318" t="s">
        <v>348</v>
      </c>
      <c r="B67" s="322">
        <v>132</v>
      </c>
      <c r="C67" s="329">
        <v>143</v>
      </c>
      <c r="D67" s="322">
        <v>201</v>
      </c>
      <c r="E67" s="330">
        <v>104</v>
      </c>
      <c r="F67" s="322">
        <f>D61+S61+AH61+AW61</f>
        <v>169</v>
      </c>
      <c r="G67" s="322"/>
      <c r="BM67"/>
    </row>
    <row r="68" spans="1:65">
      <c r="A68" s="318" t="s">
        <v>344</v>
      </c>
      <c r="B68" s="323">
        <f>B67/B66</f>
        <v>3.66666666666667</v>
      </c>
      <c r="C68" s="324">
        <f>C67/C66</f>
        <v>3.48780487804878</v>
      </c>
      <c r="D68" s="323">
        <f>D67/D66</f>
        <v>4.27659574468085</v>
      </c>
      <c r="E68" s="324">
        <f>E67/E66</f>
        <v>2.97142857142857</v>
      </c>
      <c r="F68" s="323">
        <f>F67/F66</f>
        <v>4.1219512195122</v>
      </c>
      <c r="G68" s="323"/>
      <c r="BM68"/>
    </row>
    <row r="70" spans="1:7">
      <c r="A70" s="484" t="s">
        <v>349</v>
      </c>
      <c r="B70" s="485"/>
      <c r="C70" s="485"/>
      <c r="D70" s="485"/>
      <c r="E70" s="485"/>
      <c r="F70" s="485"/>
      <c r="G70" s="486"/>
    </row>
    <row r="71" spans="1:65">
      <c r="A71" s="218"/>
      <c r="B71" s="219">
        <v>2020</v>
      </c>
      <c r="C71" s="221">
        <v>2021</v>
      </c>
      <c r="D71" s="219">
        <v>2022</v>
      </c>
      <c r="E71" s="221">
        <v>2023</v>
      </c>
      <c r="F71" s="222">
        <v>2024</v>
      </c>
      <c r="G71" s="222"/>
      <c r="BM71"/>
    </row>
    <row r="72" spans="1:65">
      <c r="A72" s="318" t="s">
        <v>346</v>
      </c>
      <c r="B72" s="319">
        <v>17</v>
      </c>
      <c r="C72" s="321">
        <v>16</v>
      </c>
      <c r="D72" s="319">
        <v>23</v>
      </c>
      <c r="E72" s="321">
        <v>25</v>
      </c>
      <c r="F72" s="319">
        <v>26</v>
      </c>
      <c r="G72" s="319"/>
      <c r="BM72"/>
    </row>
    <row r="73" spans="1:65">
      <c r="A73" s="318" t="s">
        <v>347</v>
      </c>
      <c r="B73" s="319">
        <v>21</v>
      </c>
      <c r="C73" s="321">
        <v>26</v>
      </c>
      <c r="D73" s="319">
        <v>28</v>
      </c>
      <c r="E73" s="320">
        <v>26</v>
      </c>
      <c r="F73" s="322">
        <f>SUM(B19:B48,Q19:Q48,AF19:AF48,AU18:AU48)</f>
        <v>31</v>
      </c>
      <c r="G73" s="319"/>
      <c r="BM73"/>
    </row>
    <row r="74" spans="1:65">
      <c r="A74" s="318" t="s">
        <v>348</v>
      </c>
      <c r="B74" s="322">
        <v>68</v>
      </c>
      <c r="C74" s="329">
        <v>93</v>
      </c>
      <c r="D74" s="487">
        <v>122</v>
      </c>
      <c r="E74" s="330">
        <v>77</v>
      </c>
      <c r="F74" s="322">
        <f>SUM(D19:D48,S19:S48,AH19:AH48,AW19:AW48)</f>
        <v>123</v>
      </c>
      <c r="G74" s="322"/>
      <c r="BM74"/>
    </row>
    <row r="75" spans="1:65">
      <c r="A75" s="318" t="s">
        <v>344</v>
      </c>
      <c r="B75" s="323">
        <f>B74/B73</f>
        <v>3.23809523809524</v>
      </c>
      <c r="C75" s="324">
        <f>C74/C73</f>
        <v>3.57692307692308</v>
      </c>
      <c r="D75" s="323">
        <f>D74/D73</f>
        <v>4.35714285714286</v>
      </c>
      <c r="E75" s="324">
        <f>E74/E73</f>
        <v>2.96153846153846</v>
      </c>
      <c r="F75" s="323">
        <f>F74/F73</f>
        <v>3.96774193548387</v>
      </c>
      <c r="G75" s="323"/>
      <c r="BM75"/>
    </row>
    <row r="77" spans="1:7">
      <c r="A77" s="484" t="s">
        <v>350</v>
      </c>
      <c r="B77" s="485"/>
      <c r="C77" s="485"/>
      <c r="D77" s="485"/>
      <c r="E77" s="485"/>
      <c r="F77" s="485"/>
      <c r="G77" s="486"/>
    </row>
    <row r="78" spans="1:65">
      <c r="A78" s="488"/>
      <c r="B78" s="413">
        <v>2020</v>
      </c>
      <c r="C78" s="414">
        <v>2021</v>
      </c>
      <c r="D78" s="413">
        <v>2022</v>
      </c>
      <c r="E78" s="414">
        <v>2023</v>
      </c>
      <c r="F78" s="222">
        <v>2024</v>
      </c>
      <c r="G78" s="222"/>
      <c r="BM78"/>
    </row>
    <row r="79" spans="1:65">
      <c r="A79" s="318" t="s">
        <v>346</v>
      </c>
      <c r="B79" s="319">
        <v>11</v>
      </c>
      <c r="C79" s="321">
        <v>9</v>
      </c>
      <c r="D79" s="319">
        <v>13</v>
      </c>
      <c r="E79" s="321">
        <v>10</v>
      </c>
      <c r="F79" s="319">
        <v>11</v>
      </c>
      <c r="G79" s="319"/>
      <c r="BM79"/>
    </row>
    <row r="80" spans="1:65">
      <c r="A80" s="318" t="s">
        <v>347</v>
      </c>
      <c r="B80" s="319">
        <v>15</v>
      </c>
      <c r="C80" s="321">
        <v>15</v>
      </c>
      <c r="D80" s="319">
        <v>19</v>
      </c>
      <c r="E80" s="321">
        <v>9</v>
      </c>
      <c r="F80" s="322">
        <f>SUM(B49:B60,Q49:Q60,AF49:AF60,AU49:AU60)</f>
        <v>10</v>
      </c>
      <c r="G80" s="319"/>
      <c r="BM80"/>
    </row>
    <row r="81" spans="1:65">
      <c r="A81" s="318" t="s">
        <v>348</v>
      </c>
      <c r="B81" s="322">
        <v>64</v>
      </c>
      <c r="C81" s="329">
        <v>50</v>
      </c>
      <c r="D81" s="487">
        <v>79</v>
      </c>
      <c r="E81" s="330">
        <v>27</v>
      </c>
      <c r="F81" s="322">
        <f>SUM(D49:D60,S49:S60,AH49:AH60,AW49:AW60)</f>
        <v>46</v>
      </c>
      <c r="G81" s="322"/>
      <c r="BM81"/>
    </row>
    <row r="82" spans="1:65">
      <c r="A82" s="318" t="s">
        <v>344</v>
      </c>
      <c r="B82" s="323">
        <f>B81/B80</f>
        <v>4.26666666666667</v>
      </c>
      <c r="C82" s="324">
        <f>C81/C80</f>
        <v>3.33333333333333</v>
      </c>
      <c r="D82" s="323">
        <f>D81/D80</f>
        <v>4.15789473684211</v>
      </c>
      <c r="E82" s="324">
        <f>E81/E80</f>
        <v>3</v>
      </c>
      <c r="F82" s="323">
        <f>F81/F80</f>
        <v>4.6</v>
      </c>
      <c r="G82" s="323"/>
      <c r="BM82"/>
    </row>
    <row r="86" ht="15.75" spans="1:1">
      <c r="A86" s="186" t="s">
        <v>351</v>
      </c>
    </row>
    <row r="87" s="43" customFormat="1" spans="1:31">
      <c r="A87" s="332"/>
      <c r="B87" s="489" t="s">
        <v>339</v>
      </c>
      <c r="C87" s="490" t="s">
        <v>340</v>
      </c>
      <c r="D87" s="490" t="s">
        <v>341</v>
      </c>
      <c r="E87" s="491" t="s">
        <v>342</v>
      </c>
      <c r="F87" s="492" t="s">
        <v>330</v>
      </c>
      <c r="G87" s="493"/>
      <c r="H87" s="337" t="s">
        <v>352</v>
      </c>
      <c r="I87" s="337"/>
      <c r="J87" s="337"/>
      <c r="K87" s="337"/>
      <c r="L87" s="337"/>
      <c r="M87" s="337"/>
      <c r="N87" s="337"/>
      <c r="O87" s="337"/>
      <c r="P87" s="337"/>
      <c r="Q87" s="337"/>
      <c r="R87" s="337"/>
      <c r="S87" s="337"/>
      <c r="T87" s="337"/>
      <c r="U87" s="337"/>
      <c r="V87" s="337"/>
      <c r="W87" s="337"/>
      <c r="X87" s="337"/>
      <c r="Y87" s="337"/>
      <c r="Z87" s="337"/>
      <c r="AA87" s="337"/>
      <c r="AB87" s="337"/>
      <c r="AC87" s="337"/>
      <c r="AD87" s="337"/>
      <c r="AE87" s="337"/>
    </row>
    <row r="88" s="43" customFormat="1" spans="1:31">
      <c r="A88" s="338" t="s">
        <v>353</v>
      </c>
      <c r="B88" s="494">
        <f>B104+B120</f>
        <v>2</v>
      </c>
      <c r="C88" s="494">
        <f>U61</f>
        <v>9</v>
      </c>
      <c r="D88" s="495">
        <f>AJ61</f>
        <v>6</v>
      </c>
      <c r="E88" s="495">
        <f>AY61</f>
        <v>1</v>
      </c>
      <c r="F88" s="341">
        <f>SUM(B88:E88)</f>
        <v>18</v>
      </c>
      <c r="G88" s="342"/>
      <c r="H88" s="362">
        <f t="shared" ref="H88:H98" si="153">F88/$F$11</f>
        <v>0.439024390243902</v>
      </c>
      <c r="I88" s="362"/>
      <c r="J88" s="337"/>
      <c r="K88" s="337"/>
      <c r="L88" s="502"/>
      <c r="M88" s="337"/>
      <c r="N88" s="337"/>
      <c r="O88" s="337"/>
      <c r="P88" s="337"/>
      <c r="Q88" s="337"/>
      <c r="R88" s="337"/>
      <c r="S88" s="337"/>
      <c r="T88" s="337"/>
      <c r="U88" s="337"/>
      <c r="V88" s="337"/>
      <c r="W88" s="337"/>
      <c r="X88" s="337"/>
      <c r="Y88" s="337"/>
      <c r="Z88" s="337"/>
      <c r="AA88" s="337"/>
      <c r="AB88" s="337"/>
      <c r="AC88" s="337"/>
      <c r="AD88" s="337"/>
      <c r="AE88" s="337"/>
    </row>
    <row r="89" s="43" customFormat="1" spans="1:31">
      <c r="A89" s="338" t="s">
        <v>354</v>
      </c>
      <c r="B89" s="494">
        <f t="shared" ref="B89:B98" si="154">B105+B121</f>
        <v>1</v>
      </c>
      <c r="C89" s="336">
        <f>V61</f>
        <v>2</v>
      </c>
      <c r="D89" s="495">
        <f>AK61</f>
        <v>0</v>
      </c>
      <c r="E89" s="495">
        <f>AZ61</f>
        <v>0</v>
      </c>
      <c r="F89" s="341">
        <f t="shared" ref="F89:F98" si="155">SUM(B89:E89)</f>
        <v>3</v>
      </c>
      <c r="G89" s="342"/>
      <c r="H89" s="362">
        <f t="shared" si="153"/>
        <v>0.0731707317073171</v>
      </c>
      <c r="I89" s="362"/>
      <c r="J89" s="337"/>
      <c r="K89" s="337"/>
      <c r="L89" s="502"/>
      <c r="M89" s="337"/>
      <c r="N89" s="337"/>
      <c r="O89" s="337"/>
      <c r="P89" s="337"/>
      <c r="Q89" s="337"/>
      <c r="R89" s="337"/>
      <c r="S89" s="337"/>
      <c r="T89" s="337"/>
      <c r="U89" s="337"/>
      <c r="V89" s="337"/>
      <c r="W89" s="337"/>
      <c r="X89" s="337"/>
      <c r="Y89" s="337"/>
      <c r="Z89" s="337"/>
      <c r="AA89" s="337"/>
      <c r="AB89" s="337"/>
      <c r="AC89" s="337"/>
      <c r="AD89" s="337"/>
      <c r="AE89" s="337"/>
    </row>
    <row r="90" s="43" customFormat="1" spans="1:31">
      <c r="A90" s="338" t="s">
        <v>355</v>
      </c>
      <c r="B90" s="494">
        <f t="shared" si="154"/>
        <v>4</v>
      </c>
      <c r="C90" s="494">
        <f>W61</f>
        <v>1</v>
      </c>
      <c r="D90" s="495">
        <f>AL61</f>
        <v>8</v>
      </c>
      <c r="E90" s="495">
        <f>BA61</f>
        <v>4</v>
      </c>
      <c r="F90" s="341">
        <f t="shared" si="155"/>
        <v>17</v>
      </c>
      <c r="G90" s="342"/>
      <c r="H90" s="362">
        <f t="shared" si="153"/>
        <v>0.414634146341463</v>
      </c>
      <c r="I90" s="362"/>
      <c r="J90" s="337"/>
      <c r="K90" s="337"/>
      <c r="L90" s="502"/>
      <c r="M90" s="337"/>
      <c r="N90" s="337"/>
      <c r="O90" s="337"/>
      <c r="P90" s="337"/>
      <c r="Q90" s="337"/>
      <c r="R90" s="337"/>
      <c r="S90" s="337"/>
      <c r="T90" s="337"/>
      <c r="U90" s="337"/>
      <c r="V90" s="337"/>
      <c r="W90" s="337"/>
      <c r="X90" s="337"/>
      <c r="Y90" s="337"/>
      <c r="Z90" s="337"/>
      <c r="AA90" s="337"/>
      <c r="AB90" s="337"/>
      <c r="AC90" s="337"/>
      <c r="AD90" s="337"/>
      <c r="AE90" s="337"/>
    </row>
    <row r="91" s="43" customFormat="1" spans="1:31">
      <c r="A91" s="338" t="s">
        <v>356</v>
      </c>
      <c r="B91" s="494">
        <f t="shared" si="154"/>
        <v>13</v>
      </c>
      <c r="C91" s="336">
        <f>X61</f>
        <v>19</v>
      </c>
      <c r="D91" s="495">
        <f>AM61</f>
        <v>31</v>
      </c>
      <c r="E91" s="495">
        <f>BB61</f>
        <v>24</v>
      </c>
      <c r="F91" s="341">
        <f t="shared" si="155"/>
        <v>87</v>
      </c>
      <c r="G91" s="342"/>
      <c r="H91" s="362">
        <f t="shared" si="153"/>
        <v>2.1219512195122</v>
      </c>
      <c r="I91" s="362"/>
      <c r="J91" s="337"/>
      <c r="K91" s="337"/>
      <c r="L91" s="502"/>
      <c r="M91" s="337"/>
      <c r="N91" s="337"/>
      <c r="O91" s="337"/>
      <c r="P91" s="337"/>
      <c r="Q91" s="337"/>
      <c r="R91" s="337"/>
      <c r="S91" s="337"/>
      <c r="T91" s="337"/>
      <c r="U91" s="337"/>
      <c r="V91" s="337"/>
      <c r="W91" s="337"/>
      <c r="X91" s="337"/>
      <c r="Y91" s="337"/>
      <c r="Z91" s="337"/>
      <c r="AA91" s="337"/>
      <c r="AB91" s="337"/>
      <c r="AC91" s="337"/>
      <c r="AD91" s="337"/>
      <c r="AE91" s="337"/>
    </row>
    <row r="92" s="43" customFormat="1" spans="1:31">
      <c r="A92" s="338" t="s">
        <v>357</v>
      </c>
      <c r="B92" s="494">
        <f t="shared" si="154"/>
        <v>0</v>
      </c>
      <c r="C92" s="336">
        <f>Y61</f>
        <v>8</v>
      </c>
      <c r="D92" s="495">
        <f>AN61</f>
        <v>2</v>
      </c>
      <c r="E92" s="495">
        <f>BC61</f>
        <v>4</v>
      </c>
      <c r="F92" s="341">
        <f t="shared" si="155"/>
        <v>14</v>
      </c>
      <c r="G92" s="342"/>
      <c r="H92" s="362">
        <f t="shared" si="153"/>
        <v>0.341463414634146</v>
      </c>
      <c r="I92" s="362"/>
      <c r="J92" s="337"/>
      <c r="K92" s="337"/>
      <c r="L92" s="502"/>
      <c r="M92" s="337"/>
      <c r="N92" s="337"/>
      <c r="O92" s="337"/>
      <c r="P92" s="337"/>
      <c r="Q92" s="337"/>
      <c r="R92" s="337"/>
      <c r="S92" s="337"/>
      <c r="T92" s="337"/>
      <c r="U92" s="337"/>
      <c r="V92" s="337"/>
      <c r="W92" s="337"/>
      <c r="X92" s="337"/>
      <c r="Y92" s="337"/>
      <c r="Z92" s="337"/>
      <c r="AA92" s="337"/>
      <c r="AB92" s="337"/>
      <c r="AC92" s="337"/>
      <c r="AD92" s="337"/>
      <c r="AE92" s="337"/>
    </row>
    <row r="93" s="43" customFormat="1" spans="1:31">
      <c r="A93" s="338" t="s">
        <v>358</v>
      </c>
      <c r="B93" s="494">
        <f t="shared" si="154"/>
        <v>0</v>
      </c>
      <c r="C93" s="336">
        <f>Z61</f>
        <v>0</v>
      </c>
      <c r="D93" s="495">
        <f>AO61</f>
        <v>1</v>
      </c>
      <c r="E93" s="495">
        <f>BD61</f>
        <v>1</v>
      </c>
      <c r="F93" s="341">
        <f t="shared" si="155"/>
        <v>2</v>
      </c>
      <c r="G93" s="342"/>
      <c r="H93" s="362">
        <f t="shared" si="153"/>
        <v>0.0487804878048781</v>
      </c>
      <c r="I93" s="362"/>
      <c r="J93" s="337"/>
      <c r="K93" s="337"/>
      <c r="L93" s="502"/>
      <c r="M93" s="337"/>
      <c r="N93" s="337"/>
      <c r="O93" s="337"/>
      <c r="P93" s="337"/>
      <c r="Q93" s="337"/>
      <c r="R93" s="337"/>
      <c r="S93" s="337"/>
      <c r="T93" s="337"/>
      <c r="U93" s="337"/>
      <c r="V93" s="337"/>
      <c r="W93" s="337"/>
      <c r="X93" s="337"/>
      <c r="Y93" s="337"/>
      <c r="Z93" s="337"/>
      <c r="AA93" s="337"/>
      <c r="AB93" s="337"/>
      <c r="AC93" s="337"/>
      <c r="AD93" s="337"/>
      <c r="AE93" s="337"/>
    </row>
    <row r="94" s="43" customFormat="1" spans="1:31">
      <c r="A94" s="338" t="s">
        <v>359</v>
      </c>
      <c r="B94" s="494">
        <f t="shared" si="154"/>
        <v>1</v>
      </c>
      <c r="C94" s="336">
        <f>AA61</f>
        <v>0</v>
      </c>
      <c r="D94" s="495">
        <f>AP61</f>
        <v>4</v>
      </c>
      <c r="E94" s="495">
        <f>BE61</f>
        <v>2</v>
      </c>
      <c r="F94" s="341">
        <f t="shared" si="155"/>
        <v>7</v>
      </c>
      <c r="G94" s="342"/>
      <c r="H94" s="362">
        <f t="shared" si="153"/>
        <v>0.170731707317073</v>
      </c>
      <c r="I94" s="362"/>
      <c r="J94" s="337"/>
      <c r="K94" s="337"/>
      <c r="L94" s="502"/>
      <c r="M94" s="337"/>
      <c r="N94" s="337"/>
      <c r="O94" s="337"/>
      <c r="P94" s="337"/>
      <c r="Q94" s="337"/>
      <c r="R94" s="337"/>
      <c r="S94" s="337"/>
      <c r="T94" s="337"/>
      <c r="U94" s="337"/>
      <c r="V94" s="337"/>
      <c r="W94" s="337"/>
      <c r="X94" s="337"/>
      <c r="Y94" s="337"/>
      <c r="Z94" s="337"/>
      <c r="AA94" s="337"/>
      <c r="AB94" s="337"/>
      <c r="AC94" s="337"/>
      <c r="AD94" s="337"/>
      <c r="AE94" s="337"/>
    </row>
    <row r="95" s="43" customFormat="1" spans="1:31">
      <c r="A95" s="338" t="s">
        <v>360</v>
      </c>
      <c r="B95" s="494">
        <f t="shared" si="154"/>
        <v>0</v>
      </c>
      <c r="C95" s="336">
        <f>AB61</f>
        <v>0</v>
      </c>
      <c r="D95" s="495">
        <f>AQ61</f>
        <v>1</v>
      </c>
      <c r="E95" s="495">
        <f>BF61</f>
        <v>2</v>
      </c>
      <c r="F95" s="341">
        <f t="shared" si="155"/>
        <v>3</v>
      </c>
      <c r="G95" s="342"/>
      <c r="H95" s="362">
        <f t="shared" si="153"/>
        <v>0.0731707317073171</v>
      </c>
      <c r="I95" s="362"/>
      <c r="J95" s="337"/>
      <c r="K95" s="337"/>
      <c r="L95" s="502"/>
      <c r="M95" s="337"/>
      <c r="N95" s="337"/>
      <c r="O95" s="337"/>
      <c r="P95" s="337"/>
      <c r="Q95" s="337"/>
      <c r="R95" s="337"/>
      <c r="S95" s="337"/>
      <c r="T95" s="337"/>
      <c r="U95" s="337"/>
      <c r="V95" s="337"/>
      <c r="W95" s="337"/>
      <c r="X95" s="337"/>
      <c r="Y95" s="337"/>
      <c r="Z95" s="337"/>
      <c r="AA95" s="337"/>
      <c r="AB95" s="337"/>
      <c r="AC95" s="337"/>
      <c r="AD95" s="337"/>
      <c r="AE95" s="337"/>
    </row>
    <row r="96" s="43" customFormat="1" spans="1:31">
      <c r="A96" s="338" t="s">
        <v>361</v>
      </c>
      <c r="B96" s="494">
        <f t="shared" si="154"/>
        <v>0</v>
      </c>
      <c r="C96" s="336">
        <f>AC61</f>
        <v>3</v>
      </c>
      <c r="D96" s="495">
        <f>AR61</f>
        <v>1</v>
      </c>
      <c r="E96" s="495">
        <f>BG61</f>
        <v>2</v>
      </c>
      <c r="F96" s="341">
        <f t="shared" si="155"/>
        <v>6</v>
      </c>
      <c r="G96" s="342"/>
      <c r="H96" s="362">
        <f t="shared" si="153"/>
        <v>0.146341463414634</v>
      </c>
      <c r="I96" s="362"/>
      <c r="J96" s="337"/>
      <c r="K96" s="337"/>
      <c r="L96" s="502"/>
      <c r="M96" s="337"/>
      <c r="N96" s="337"/>
      <c r="O96" s="337"/>
      <c r="P96" s="337"/>
      <c r="Q96" s="337"/>
      <c r="R96" s="337"/>
      <c r="S96" s="337"/>
      <c r="T96" s="337"/>
      <c r="U96" s="337"/>
      <c r="V96" s="337"/>
      <c r="W96" s="337"/>
      <c r="X96" s="337"/>
      <c r="Y96" s="337"/>
      <c r="Z96" s="337"/>
      <c r="AA96" s="337"/>
      <c r="AB96" s="337"/>
      <c r="AC96" s="337"/>
      <c r="AD96" s="337"/>
      <c r="AE96" s="337"/>
    </row>
    <row r="97" s="43" customFormat="1" spans="1:31">
      <c r="A97" s="338" t="s">
        <v>362</v>
      </c>
      <c r="B97" s="494">
        <f t="shared" si="154"/>
        <v>1</v>
      </c>
      <c r="C97" s="336">
        <f>AD61</f>
        <v>2</v>
      </c>
      <c r="D97" s="495">
        <f>AS61</f>
        <v>3</v>
      </c>
      <c r="E97" s="495">
        <f>BH61</f>
        <v>6</v>
      </c>
      <c r="F97" s="341">
        <f t="shared" si="155"/>
        <v>12</v>
      </c>
      <c r="G97" s="342"/>
      <c r="H97" s="362">
        <f t="shared" si="153"/>
        <v>0.292682926829268</v>
      </c>
      <c r="I97" s="362"/>
      <c r="J97" s="337"/>
      <c r="K97" s="337"/>
      <c r="L97" s="502"/>
      <c r="M97" s="337"/>
      <c r="N97" s="337"/>
      <c r="O97" s="337"/>
      <c r="P97" s="337"/>
      <c r="Q97" s="337"/>
      <c r="R97" s="337"/>
      <c r="S97" s="337"/>
      <c r="T97" s="337"/>
      <c r="U97" s="337"/>
      <c r="V97" s="337"/>
      <c r="W97" s="337"/>
      <c r="X97" s="337"/>
      <c r="Y97" s="337"/>
      <c r="Z97" s="337"/>
      <c r="AA97" s="337"/>
      <c r="AB97" s="337"/>
      <c r="AC97" s="337"/>
      <c r="AD97" s="337"/>
      <c r="AE97" s="337"/>
    </row>
    <row r="98" s="43" customFormat="1" spans="1:31">
      <c r="A98" s="343" t="s">
        <v>363</v>
      </c>
      <c r="B98" s="494">
        <f t="shared" si="154"/>
        <v>0</v>
      </c>
      <c r="C98" s="496">
        <f>AE61</f>
        <v>0</v>
      </c>
      <c r="D98" s="495">
        <f>AT61</f>
        <v>0</v>
      </c>
      <c r="E98" s="497">
        <f>BI61</f>
        <v>0</v>
      </c>
      <c r="F98" s="341">
        <f t="shared" si="155"/>
        <v>0</v>
      </c>
      <c r="G98" s="342"/>
      <c r="H98" s="362">
        <f t="shared" si="153"/>
        <v>0</v>
      </c>
      <c r="I98" s="362"/>
      <c r="J98" s="337"/>
      <c r="K98" s="337"/>
      <c r="L98" s="502"/>
      <c r="M98" s="337"/>
      <c r="N98" s="337"/>
      <c r="O98" s="337"/>
      <c r="P98" s="337"/>
      <c r="Q98" s="337"/>
      <c r="R98" s="337"/>
      <c r="S98" s="337"/>
      <c r="T98" s="337"/>
      <c r="U98" s="337"/>
      <c r="V98" s="337"/>
      <c r="W98" s="337"/>
      <c r="X98" s="337"/>
      <c r="Y98" s="337"/>
      <c r="Z98" s="337"/>
      <c r="AA98" s="337"/>
      <c r="AB98" s="337"/>
      <c r="AC98" s="337"/>
      <c r="AD98" s="337"/>
      <c r="AE98" s="337"/>
    </row>
    <row r="99" s="43" customFormat="1" ht="15.75" spans="1:31">
      <c r="A99" s="345"/>
      <c r="B99" s="498">
        <f>SUM(B88:B98)</f>
        <v>22</v>
      </c>
      <c r="C99" s="498">
        <f t="shared" ref="C99:G99" si="156">SUM(C88:C98)</f>
        <v>44</v>
      </c>
      <c r="D99" s="498">
        <f t="shared" si="156"/>
        <v>57</v>
      </c>
      <c r="E99" s="498">
        <f t="shared" si="156"/>
        <v>46</v>
      </c>
      <c r="F99" s="347">
        <f t="shared" si="156"/>
        <v>169</v>
      </c>
      <c r="G99" s="342">
        <f t="shared" si="156"/>
        <v>0</v>
      </c>
      <c r="H99" s="362"/>
      <c r="I99" s="362"/>
      <c r="J99" s="337"/>
      <c r="K99" s="337"/>
      <c r="L99" s="337"/>
      <c r="M99" s="337"/>
      <c r="N99" s="337"/>
      <c r="O99" s="337"/>
      <c r="P99" s="337"/>
      <c r="Q99" s="337"/>
      <c r="R99" s="337"/>
      <c r="S99" s="337"/>
      <c r="T99" s="337"/>
      <c r="U99" s="337"/>
      <c r="V99" s="337"/>
      <c r="W99" s="337"/>
      <c r="X99" s="337"/>
      <c r="Y99" s="337"/>
      <c r="Z99" s="337"/>
      <c r="AA99" s="337"/>
      <c r="AB99" s="337"/>
      <c r="AC99" s="337"/>
      <c r="AD99" s="337"/>
      <c r="AE99" s="337"/>
    </row>
    <row r="102" s="43" customFormat="1" ht="15.75" spans="1:31">
      <c r="A102" s="186" t="s">
        <v>331</v>
      </c>
      <c r="B102" s="337"/>
      <c r="C102" s="337"/>
      <c r="D102" s="337"/>
      <c r="E102" s="337"/>
      <c r="F102" s="337"/>
      <c r="G102" s="337"/>
      <c r="H102" s="337"/>
      <c r="I102" s="337"/>
      <c r="J102" s="337"/>
      <c r="K102" s="337"/>
      <c r="L102" s="337"/>
      <c r="M102" s="337"/>
      <c r="N102" s="337"/>
      <c r="O102" s="337"/>
      <c r="P102" s="337"/>
      <c r="Q102" s="337"/>
      <c r="R102" s="337"/>
      <c r="S102" s="337"/>
      <c r="T102" s="337"/>
      <c r="U102" s="337"/>
      <c r="V102" s="337"/>
      <c r="W102" s="337"/>
      <c r="X102" s="337"/>
      <c r="Y102" s="337"/>
      <c r="Z102" s="337"/>
      <c r="AA102" s="337"/>
      <c r="AB102" s="337"/>
      <c r="AC102" s="337"/>
      <c r="AD102" s="337"/>
      <c r="AE102" s="337"/>
    </row>
    <row r="103" s="43" customFormat="1" spans="1:31">
      <c r="A103" s="332"/>
      <c r="B103" s="489" t="s">
        <v>339</v>
      </c>
      <c r="C103" s="490" t="s">
        <v>340</v>
      </c>
      <c r="D103" s="490" t="s">
        <v>341</v>
      </c>
      <c r="E103" s="491" t="s">
        <v>342</v>
      </c>
      <c r="F103" s="492" t="s">
        <v>330</v>
      </c>
      <c r="G103" s="493"/>
      <c r="H103" s="337"/>
      <c r="I103" s="337"/>
      <c r="J103" s="337"/>
      <c r="K103" s="337"/>
      <c r="L103" s="337"/>
      <c r="M103" s="337"/>
      <c r="N103" s="337"/>
      <c r="O103" s="337"/>
      <c r="P103" s="337"/>
      <c r="Q103" s="337"/>
      <c r="R103" s="337"/>
      <c r="S103" s="337"/>
      <c r="T103" s="337"/>
      <c r="U103" s="337"/>
      <c r="V103" s="337"/>
      <c r="W103" s="337"/>
      <c r="X103" s="337"/>
      <c r="Y103" s="337"/>
      <c r="Z103" s="337"/>
      <c r="AA103" s="337"/>
      <c r="AB103" s="337"/>
      <c r="AC103" s="337"/>
      <c r="AD103" s="337"/>
      <c r="AE103" s="337"/>
    </row>
    <row r="104" s="43" customFormat="1" spans="1:31">
      <c r="A104" s="338" t="s">
        <v>353</v>
      </c>
      <c r="B104" s="494">
        <f>SUM(F19:F48)</f>
        <v>1</v>
      </c>
      <c r="C104" s="494">
        <f>SUM(U19:U48)</f>
        <v>9</v>
      </c>
      <c r="D104" s="499">
        <f>SUM(AJ19:AJ48)</f>
        <v>3</v>
      </c>
      <c r="E104" s="499">
        <f>SUM(AY19:AY48)</f>
        <v>1</v>
      </c>
      <c r="F104" s="341">
        <f>SUM(B104:E104)</f>
        <v>14</v>
      </c>
      <c r="G104" s="342"/>
      <c r="H104" s="362">
        <f>F104/$W$11</f>
        <v>0.451612903225806</v>
      </c>
      <c r="I104" s="362"/>
      <c r="J104" s="337"/>
      <c r="K104" s="337"/>
      <c r="L104" s="337"/>
      <c r="M104" s="337"/>
      <c r="N104" s="337"/>
      <c r="O104" s="337"/>
      <c r="P104" s="337"/>
      <c r="Q104" s="337"/>
      <c r="R104" s="337"/>
      <c r="S104" s="337"/>
      <c r="T104" s="337"/>
      <c r="U104" s="337"/>
      <c r="V104" s="337"/>
      <c r="W104" s="337"/>
      <c r="X104" s="337"/>
      <c r="Y104" s="337"/>
      <c r="Z104" s="337"/>
      <c r="AA104" s="337"/>
      <c r="AB104" s="337"/>
      <c r="AC104" s="337"/>
      <c r="AD104" s="337"/>
      <c r="AE104" s="337"/>
    </row>
    <row r="105" s="43" customFormat="1" spans="1:31">
      <c r="A105" s="338" t="s">
        <v>354</v>
      </c>
      <c r="B105" s="494">
        <f>SUM(G19:G48)</f>
        <v>1</v>
      </c>
      <c r="C105" s="494">
        <f>SUM(V19:V48)</f>
        <v>2</v>
      </c>
      <c r="D105" s="499">
        <f>SUM(AK19:AK48)</f>
        <v>0</v>
      </c>
      <c r="E105" s="499">
        <f>SUM(AZ19:AZ48)</f>
        <v>0</v>
      </c>
      <c r="F105" s="341">
        <f t="shared" ref="F105:F114" si="157">SUM(B105:E105)</f>
        <v>3</v>
      </c>
      <c r="G105" s="342"/>
      <c r="H105" s="362">
        <f t="shared" ref="H105:H114" si="158">F105/$W$11</f>
        <v>0.0967741935483871</v>
      </c>
      <c r="I105" s="362"/>
      <c r="J105" s="337"/>
      <c r="K105" s="337"/>
      <c r="L105" s="337"/>
      <c r="M105" s="337"/>
      <c r="N105" s="337"/>
      <c r="O105" s="337"/>
      <c r="P105" s="337"/>
      <c r="Q105" s="337"/>
      <c r="R105" s="337"/>
      <c r="S105" s="337"/>
      <c r="T105" s="337"/>
      <c r="U105" s="337"/>
      <c r="V105" s="337"/>
      <c r="W105" s="337"/>
      <c r="X105" s="337"/>
      <c r="Y105" s="337"/>
      <c r="Z105" s="337"/>
      <c r="AA105" s="337"/>
      <c r="AB105" s="337"/>
      <c r="AC105" s="337"/>
      <c r="AD105" s="337"/>
      <c r="AE105" s="337"/>
    </row>
    <row r="106" s="43" customFormat="1" spans="1:31">
      <c r="A106" s="338" t="s">
        <v>355</v>
      </c>
      <c r="B106" s="494">
        <f>SUM(H19:H48)</f>
        <v>4</v>
      </c>
      <c r="C106" s="494">
        <f>SUM(W19:W48)</f>
        <v>1</v>
      </c>
      <c r="D106" s="499">
        <f>SUM(AL19:AL48)</f>
        <v>1</v>
      </c>
      <c r="E106" s="499">
        <f>SUM(BA19:BA48)</f>
        <v>2</v>
      </c>
      <c r="F106" s="341">
        <f t="shared" si="157"/>
        <v>8</v>
      </c>
      <c r="G106" s="342"/>
      <c r="H106" s="362">
        <f t="shared" si="158"/>
        <v>0.258064516129032</v>
      </c>
      <c r="I106" s="362"/>
      <c r="J106" s="337"/>
      <c r="K106" s="337"/>
      <c r="L106" s="337"/>
      <c r="M106" s="337"/>
      <c r="N106" s="337"/>
      <c r="O106" s="337"/>
      <c r="P106" s="337"/>
      <c r="Q106" s="337"/>
      <c r="R106" s="337"/>
      <c r="S106" s="337"/>
      <c r="T106" s="337"/>
      <c r="U106" s="337"/>
      <c r="V106" s="337"/>
      <c r="W106" s="337"/>
      <c r="X106" s="337"/>
      <c r="Y106" s="337"/>
      <c r="Z106" s="337"/>
      <c r="AA106" s="337"/>
      <c r="AB106" s="337"/>
      <c r="AC106" s="337"/>
      <c r="AD106" s="337"/>
      <c r="AE106" s="337"/>
    </row>
    <row r="107" s="43" customFormat="1" spans="1:31">
      <c r="A107" s="338" t="s">
        <v>356</v>
      </c>
      <c r="B107" s="494">
        <f>SUM(I19:I48)</f>
        <v>11</v>
      </c>
      <c r="C107" s="494">
        <f>SUM(X19:X48)</f>
        <v>18</v>
      </c>
      <c r="D107" s="499">
        <f>SUM(AM19:AM48)</f>
        <v>19</v>
      </c>
      <c r="E107" s="499">
        <f>SUM(BB19:BB48)</f>
        <v>19</v>
      </c>
      <c r="F107" s="341">
        <f t="shared" si="157"/>
        <v>67</v>
      </c>
      <c r="G107" s="342"/>
      <c r="H107" s="362">
        <f t="shared" si="158"/>
        <v>2.16129032258064</v>
      </c>
      <c r="I107" s="362"/>
      <c r="J107" s="337"/>
      <c r="K107" s="337"/>
      <c r="L107" s="337"/>
      <c r="M107" s="337"/>
      <c r="N107" s="337"/>
      <c r="O107" s="337"/>
      <c r="P107" s="337"/>
      <c r="Q107" s="337"/>
      <c r="R107" s="337"/>
      <c r="S107" s="337"/>
      <c r="T107" s="337"/>
      <c r="U107" s="337"/>
      <c r="V107" s="337"/>
      <c r="W107" s="337"/>
      <c r="X107" s="337"/>
      <c r="Y107" s="337"/>
      <c r="Z107" s="337"/>
      <c r="AA107" s="337"/>
      <c r="AB107" s="337"/>
      <c r="AC107" s="337"/>
      <c r="AD107" s="337"/>
      <c r="AE107" s="337"/>
    </row>
    <row r="108" s="43" customFormat="1" spans="1:31">
      <c r="A108" s="338" t="s">
        <v>357</v>
      </c>
      <c r="B108" s="494">
        <f>SUM(J19:J48)</f>
        <v>0</v>
      </c>
      <c r="C108" s="494">
        <f>SUM(Y19:Y48)</f>
        <v>5</v>
      </c>
      <c r="D108" s="499">
        <f>SUM(AN19:AN48)</f>
        <v>2</v>
      </c>
      <c r="E108" s="499">
        <f>SUM(BC19:BC48)</f>
        <v>2</v>
      </c>
      <c r="F108" s="341">
        <f t="shared" si="157"/>
        <v>9</v>
      </c>
      <c r="G108" s="342"/>
      <c r="H108" s="362">
        <f t="shared" si="158"/>
        <v>0.290322580645161</v>
      </c>
      <c r="I108" s="362"/>
      <c r="J108" s="337"/>
      <c r="K108" s="337"/>
      <c r="L108" s="337"/>
      <c r="M108" s="337"/>
      <c r="N108" s="337"/>
      <c r="O108" s="337"/>
      <c r="P108" s="337"/>
      <c r="Q108" s="337"/>
      <c r="R108" s="337"/>
      <c r="S108" s="337"/>
      <c r="T108" s="337"/>
      <c r="U108" s="337"/>
      <c r="V108" s="337"/>
      <c r="W108" s="337"/>
      <c r="X108" s="337"/>
      <c r="Y108" s="337"/>
      <c r="Z108" s="337"/>
      <c r="AA108" s="337"/>
      <c r="AB108" s="337"/>
      <c r="AC108" s="337"/>
      <c r="AD108" s="337"/>
      <c r="AE108" s="337"/>
    </row>
    <row r="109" s="43" customFormat="1" spans="1:31">
      <c r="A109" s="338" t="s">
        <v>358</v>
      </c>
      <c r="B109" s="494">
        <f>SUM(K19:K48)</f>
        <v>0</v>
      </c>
      <c r="C109" s="494">
        <f>SUM(Z19:Z48)</f>
        <v>0</v>
      </c>
      <c r="D109" s="499">
        <f>SUM(AO19:AO48)</f>
        <v>0</v>
      </c>
      <c r="E109" s="499">
        <f>SUM(BD19:BD48)</f>
        <v>0</v>
      </c>
      <c r="F109" s="341">
        <f t="shared" si="157"/>
        <v>0</v>
      </c>
      <c r="G109" s="342"/>
      <c r="H109" s="362">
        <f t="shared" si="158"/>
        <v>0</v>
      </c>
      <c r="I109" s="362"/>
      <c r="J109" s="337"/>
      <c r="K109" s="337"/>
      <c r="L109" s="337"/>
      <c r="M109" s="337"/>
      <c r="N109" s="337"/>
      <c r="O109" s="337"/>
      <c r="P109" s="337"/>
      <c r="Q109" s="337"/>
      <c r="R109" s="337"/>
      <c r="S109" s="337"/>
      <c r="T109" s="337"/>
      <c r="U109" s="337"/>
      <c r="V109" s="337"/>
      <c r="W109" s="337"/>
      <c r="X109" s="337"/>
      <c r="Y109" s="337"/>
      <c r="Z109" s="337"/>
      <c r="AA109" s="337"/>
      <c r="AB109" s="337"/>
      <c r="AC109" s="337"/>
      <c r="AD109" s="337"/>
      <c r="AE109" s="337"/>
    </row>
    <row r="110" s="43" customFormat="1" spans="1:31">
      <c r="A110" s="338" t="s">
        <v>359</v>
      </c>
      <c r="B110" s="494">
        <f>SUM(L19:L48)</f>
        <v>1</v>
      </c>
      <c r="C110" s="494">
        <f>SUM(AA19:AA48)</f>
        <v>0</v>
      </c>
      <c r="D110" s="499">
        <f>SUM(AP19:AP48)</f>
        <v>2</v>
      </c>
      <c r="E110" s="499">
        <f>SUM(BE19:BE48)</f>
        <v>2</v>
      </c>
      <c r="F110" s="341">
        <f t="shared" si="157"/>
        <v>5</v>
      </c>
      <c r="G110" s="342"/>
      <c r="H110" s="362">
        <f t="shared" si="158"/>
        <v>0.161290322580645</v>
      </c>
      <c r="I110" s="362"/>
      <c r="J110" s="337"/>
      <c r="K110" s="337"/>
      <c r="L110" s="337"/>
      <c r="M110" s="337"/>
      <c r="N110" s="337"/>
      <c r="O110" s="337"/>
      <c r="P110" s="337"/>
      <c r="Q110" s="337"/>
      <c r="R110" s="337"/>
      <c r="S110" s="337"/>
      <c r="T110" s="337"/>
      <c r="U110" s="337"/>
      <c r="V110" s="337"/>
      <c r="W110" s="337"/>
      <c r="X110" s="337"/>
      <c r="Y110" s="337"/>
      <c r="Z110" s="337"/>
      <c r="AA110" s="337"/>
      <c r="AB110" s="337"/>
      <c r="AC110" s="337"/>
      <c r="AD110" s="337"/>
      <c r="AE110" s="337"/>
    </row>
    <row r="111" s="43" customFormat="1" spans="1:31">
      <c r="A111" s="338" t="s">
        <v>360</v>
      </c>
      <c r="B111" s="494">
        <f>SUM(M19:M48)</f>
        <v>0</v>
      </c>
      <c r="C111" s="494">
        <f>SUM(AB19:AB48)</f>
        <v>0</v>
      </c>
      <c r="D111" s="499">
        <f>SUM(AQ19:AQ48)</f>
        <v>1</v>
      </c>
      <c r="E111" s="499">
        <f>SUM(BF19:BF48)</f>
        <v>2</v>
      </c>
      <c r="F111" s="341">
        <f t="shared" si="157"/>
        <v>3</v>
      </c>
      <c r="G111" s="342"/>
      <c r="H111" s="362">
        <f t="shared" si="158"/>
        <v>0.0967741935483871</v>
      </c>
      <c r="I111" s="362"/>
      <c r="J111" s="337"/>
      <c r="K111" s="337"/>
      <c r="L111" s="337"/>
      <c r="M111" s="337"/>
      <c r="N111" s="337"/>
      <c r="O111" s="337"/>
      <c r="P111" s="337"/>
      <c r="Q111" s="337"/>
      <c r="R111" s="337"/>
      <c r="S111" s="337"/>
      <c r="T111" s="337"/>
      <c r="U111" s="337"/>
      <c r="V111" s="337"/>
      <c r="W111" s="337"/>
      <c r="X111" s="337"/>
      <c r="Y111" s="337"/>
      <c r="Z111" s="337"/>
      <c r="AA111" s="337"/>
      <c r="AB111" s="337"/>
      <c r="AC111" s="337"/>
      <c r="AD111" s="337"/>
      <c r="AE111" s="337"/>
    </row>
    <row r="112" s="43" customFormat="1" spans="1:31">
      <c r="A112" s="338" t="s">
        <v>361</v>
      </c>
      <c r="B112" s="494">
        <f>SUM(N19:N48)</f>
        <v>0</v>
      </c>
      <c r="C112" s="494">
        <f>SUM(AC19:AC48)</f>
        <v>3</v>
      </c>
      <c r="D112" s="499">
        <f>SUM(AR19:AR48)</f>
        <v>1</v>
      </c>
      <c r="E112" s="499">
        <f>SUM(BG19:BG48)</f>
        <v>2</v>
      </c>
      <c r="F112" s="341">
        <f t="shared" si="157"/>
        <v>6</v>
      </c>
      <c r="G112" s="342"/>
      <c r="H112" s="362">
        <f t="shared" si="158"/>
        <v>0.193548387096774</v>
      </c>
      <c r="I112" s="362"/>
      <c r="J112" s="337"/>
      <c r="K112" s="337"/>
      <c r="L112" s="337"/>
      <c r="M112" s="337"/>
      <c r="N112" s="337"/>
      <c r="O112" s="337"/>
      <c r="P112" s="337"/>
      <c r="Q112" s="337"/>
      <c r="R112" s="337"/>
      <c r="S112" s="337"/>
      <c r="T112" s="337"/>
      <c r="U112" s="337"/>
      <c r="V112" s="337"/>
      <c r="W112" s="337"/>
      <c r="X112" s="337"/>
      <c r="Y112" s="337"/>
      <c r="Z112" s="337"/>
      <c r="AA112" s="337"/>
      <c r="AB112" s="337"/>
      <c r="AC112" s="337"/>
      <c r="AD112" s="337"/>
      <c r="AE112" s="337"/>
    </row>
    <row r="113" s="43" customFormat="1" spans="1:31">
      <c r="A113" s="338" t="s">
        <v>362</v>
      </c>
      <c r="B113" s="494">
        <f>SUM(O19:O48)</f>
        <v>1</v>
      </c>
      <c r="C113" s="494">
        <f>SUM(AD19:AD48)</f>
        <v>1</v>
      </c>
      <c r="D113" s="499">
        <f>SUM(AS19:AS48)</f>
        <v>0</v>
      </c>
      <c r="E113" s="499">
        <f>SUM(BH19:BH48)</f>
        <v>6</v>
      </c>
      <c r="F113" s="341">
        <f t="shared" si="157"/>
        <v>8</v>
      </c>
      <c r="G113" s="342"/>
      <c r="H113" s="362">
        <f t="shared" si="158"/>
        <v>0.258064516129032</v>
      </c>
      <c r="I113" s="362"/>
      <c r="J113" s="337"/>
      <c r="K113" s="337"/>
      <c r="L113" s="337"/>
      <c r="M113" s="337"/>
      <c r="N113" s="337"/>
      <c r="O113" s="337"/>
      <c r="P113" s="337"/>
      <c r="Q113" s="337"/>
      <c r="R113" s="337"/>
      <c r="S113" s="337"/>
      <c r="T113" s="337"/>
      <c r="U113" s="337"/>
      <c r="V113" s="337"/>
      <c r="W113" s="337"/>
      <c r="X113" s="337"/>
      <c r="Y113" s="337"/>
      <c r="Z113" s="337"/>
      <c r="AA113" s="337"/>
      <c r="AB113" s="337"/>
      <c r="AC113" s="337"/>
      <c r="AD113" s="337"/>
      <c r="AE113" s="337"/>
    </row>
    <row r="114" s="43" customFormat="1" spans="1:31">
      <c r="A114" s="343" t="s">
        <v>363</v>
      </c>
      <c r="B114" s="500">
        <f>SUM(P19:P48)</f>
        <v>0</v>
      </c>
      <c r="C114" s="500">
        <f>SUM(AE19:AE48)</f>
        <v>0</v>
      </c>
      <c r="D114" s="499">
        <f>SUM(AT19:AT48)</f>
        <v>0</v>
      </c>
      <c r="E114" s="501">
        <f>SUM(BI19:BI48)</f>
        <v>0</v>
      </c>
      <c r="F114" s="341">
        <f t="shared" si="157"/>
        <v>0</v>
      </c>
      <c r="G114" s="342"/>
      <c r="H114" s="362">
        <f t="shared" si="158"/>
        <v>0</v>
      </c>
      <c r="I114" s="362"/>
      <c r="J114" s="337"/>
      <c r="K114" s="337"/>
      <c r="L114" s="337"/>
      <c r="M114" s="337"/>
      <c r="N114" s="337"/>
      <c r="O114" s="337"/>
      <c r="P114" s="337"/>
      <c r="Q114" s="337"/>
      <c r="R114" s="337"/>
      <c r="S114" s="337"/>
      <c r="T114" s="337"/>
      <c r="U114" s="337"/>
      <c r="V114" s="337"/>
      <c r="W114" s="337"/>
      <c r="X114" s="337"/>
      <c r="Y114" s="337"/>
      <c r="Z114" s="337"/>
      <c r="AA114" s="337"/>
      <c r="AB114" s="337"/>
      <c r="AC114" s="337"/>
      <c r="AD114" s="337"/>
      <c r="AE114" s="337"/>
    </row>
    <row r="115" s="43" customFormat="1" ht="15.75" spans="1:31">
      <c r="A115" s="345"/>
      <c r="B115" s="498">
        <f>SUM(B104:B114)</f>
        <v>19</v>
      </c>
      <c r="C115" s="498">
        <f t="shared" ref="C115:G115" si="159">SUM(C104:C114)</f>
        <v>39</v>
      </c>
      <c r="D115" s="498">
        <f t="shared" si="159"/>
        <v>29</v>
      </c>
      <c r="E115" s="498">
        <f t="shared" si="159"/>
        <v>36</v>
      </c>
      <c r="F115" s="347">
        <f t="shared" si="159"/>
        <v>123</v>
      </c>
      <c r="G115" s="342">
        <f t="shared" si="159"/>
        <v>0</v>
      </c>
      <c r="H115" s="337"/>
      <c r="I115" s="362"/>
      <c r="J115" s="337"/>
      <c r="K115" s="337"/>
      <c r="L115" s="337"/>
      <c r="M115" s="337"/>
      <c r="N115" s="337"/>
      <c r="O115" s="337"/>
      <c r="P115" s="337"/>
      <c r="Q115" s="337"/>
      <c r="R115" s="337"/>
      <c r="S115" s="337"/>
      <c r="T115" s="337"/>
      <c r="U115" s="337"/>
      <c r="V115" s="337"/>
      <c r="W115" s="337"/>
      <c r="X115" s="337"/>
      <c r="Y115" s="337"/>
      <c r="Z115" s="337"/>
      <c r="AA115" s="337"/>
      <c r="AB115" s="337"/>
      <c r="AC115" s="337"/>
      <c r="AD115" s="337"/>
      <c r="AE115" s="337"/>
    </row>
    <row r="118" s="43" customFormat="1" ht="15.75" spans="1:31">
      <c r="A118" s="186" t="s">
        <v>364</v>
      </c>
      <c r="B118" s="337"/>
      <c r="C118" s="337"/>
      <c r="D118" s="337"/>
      <c r="E118" s="337"/>
      <c r="F118" s="337"/>
      <c r="G118" s="337"/>
      <c r="H118" s="337"/>
      <c r="I118" s="337"/>
      <c r="J118" s="337"/>
      <c r="K118" s="337"/>
      <c r="L118" s="337"/>
      <c r="M118" s="337"/>
      <c r="N118" s="337"/>
      <c r="O118" s="337"/>
      <c r="P118" s="337"/>
      <c r="Q118" s="337"/>
      <c r="R118" s="337"/>
      <c r="S118" s="337"/>
      <c r="T118" s="337"/>
      <c r="U118" s="337"/>
      <c r="V118" s="337"/>
      <c r="W118" s="337"/>
      <c r="X118" s="337"/>
      <c r="Y118" s="337"/>
      <c r="Z118" s="337"/>
      <c r="AA118" s="337"/>
      <c r="AB118" s="337"/>
      <c r="AC118" s="337"/>
      <c r="AD118" s="337"/>
      <c r="AE118" s="337"/>
    </row>
    <row r="119" s="43" customFormat="1" spans="1:31">
      <c r="A119" s="332"/>
      <c r="B119" s="489" t="s">
        <v>339</v>
      </c>
      <c r="C119" s="490" t="s">
        <v>340</v>
      </c>
      <c r="D119" s="490" t="s">
        <v>341</v>
      </c>
      <c r="E119" s="491" t="s">
        <v>342</v>
      </c>
      <c r="F119" s="492" t="s">
        <v>330</v>
      </c>
      <c r="G119" s="493"/>
      <c r="H119" s="337"/>
      <c r="I119" s="337"/>
      <c r="J119" s="337"/>
      <c r="K119" s="337"/>
      <c r="L119" s="337"/>
      <c r="M119" s="337"/>
      <c r="N119" s="337"/>
      <c r="O119" s="337"/>
      <c r="P119" s="337"/>
      <c r="Q119" s="337"/>
      <c r="R119" s="337"/>
      <c r="S119" s="337"/>
      <c r="T119" s="337"/>
      <c r="U119" s="337"/>
      <c r="V119" s="337"/>
      <c r="W119" s="337"/>
      <c r="X119" s="337"/>
      <c r="Y119" s="337"/>
      <c r="Z119" s="337"/>
      <c r="AA119" s="337"/>
      <c r="AB119" s="337"/>
      <c r="AC119" s="337"/>
      <c r="AD119" s="337"/>
      <c r="AE119" s="337"/>
    </row>
    <row r="120" s="43" customFormat="1" spans="1:31">
      <c r="A120" s="338" t="s">
        <v>353</v>
      </c>
      <c r="B120" s="494">
        <f>SUM(F49:F60)</f>
        <v>1</v>
      </c>
      <c r="C120" s="494">
        <f>SUM(U49:U60)</f>
        <v>0</v>
      </c>
      <c r="D120" s="494">
        <f>SUM(AJ49:AJ60)</f>
        <v>3</v>
      </c>
      <c r="E120" s="499">
        <f>SUM(AY49:AY60)</f>
        <v>0</v>
      </c>
      <c r="F120" s="341">
        <f t="shared" ref="F120:F131" si="160">SUM(B120:E120)</f>
        <v>4</v>
      </c>
      <c r="G120" s="342"/>
      <c r="H120" s="362">
        <f>F120/$AM$11</f>
        <v>0.4</v>
      </c>
      <c r="I120" s="362"/>
      <c r="J120" s="337"/>
      <c r="K120" s="337"/>
      <c r="L120" s="337"/>
      <c r="M120" s="337"/>
      <c r="N120" s="337"/>
      <c r="O120" s="337"/>
      <c r="P120" s="337"/>
      <c r="Q120" s="337"/>
      <c r="R120" s="337"/>
      <c r="S120" s="337"/>
      <c r="T120" s="337"/>
      <c r="U120" s="337"/>
      <c r="V120" s="337"/>
      <c r="W120" s="337"/>
      <c r="X120" s="337"/>
      <c r="Y120" s="337"/>
      <c r="Z120" s="337"/>
      <c r="AA120" s="337"/>
      <c r="AB120" s="337"/>
      <c r="AC120" s="337"/>
      <c r="AD120" s="337"/>
      <c r="AE120" s="337"/>
    </row>
    <row r="121" s="43" customFormat="1" spans="1:31">
      <c r="A121" s="338" t="s">
        <v>354</v>
      </c>
      <c r="B121" s="494">
        <f>SUM(G49:G60)</f>
        <v>0</v>
      </c>
      <c r="C121" s="494">
        <f>SUM(V49:V60)</f>
        <v>0</v>
      </c>
      <c r="D121" s="499">
        <f>SUM(AK49:AK60)</f>
        <v>0</v>
      </c>
      <c r="E121" s="499">
        <f>SUM(AZ49:AZ60)</f>
        <v>0</v>
      </c>
      <c r="F121" s="341">
        <f t="shared" si="160"/>
        <v>0</v>
      </c>
      <c r="G121" s="342"/>
      <c r="H121" s="362">
        <f t="shared" ref="H121:H130" si="161">F121/$AM$11</f>
        <v>0</v>
      </c>
      <c r="I121" s="362"/>
      <c r="J121" s="337"/>
      <c r="K121" s="337"/>
      <c r="L121" s="337"/>
      <c r="M121" s="337"/>
      <c r="N121" s="337"/>
      <c r="O121" s="337"/>
      <c r="P121" s="337"/>
      <c r="Q121" s="337"/>
      <c r="R121" s="337"/>
      <c r="S121" s="337"/>
      <c r="T121" s="337"/>
      <c r="U121" s="337"/>
      <c r="V121" s="337"/>
      <c r="W121" s="337"/>
      <c r="X121" s="337"/>
      <c r="Y121" s="337"/>
      <c r="Z121" s="337"/>
      <c r="AA121" s="337"/>
      <c r="AB121" s="337"/>
      <c r="AC121" s="337"/>
      <c r="AD121" s="337"/>
      <c r="AE121" s="337"/>
    </row>
    <row r="122" s="43" customFormat="1" spans="1:31">
      <c r="A122" s="338" t="s">
        <v>355</v>
      </c>
      <c r="B122" s="494">
        <f>SUM(H49:H60)</f>
        <v>0</v>
      </c>
      <c r="C122" s="494">
        <f>SUM(W49:W60)</f>
        <v>0</v>
      </c>
      <c r="D122" s="499">
        <f>SUM(AL49:AL60)</f>
        <v>7</v>
      </c>
      <c r="E122" s="499">
        <f>SUM(BA49:BA60)</f>
        <v>2</v>
      </c>
      <c r="F122" s="341">
        <f t="shared" si="160"/>
        <v>9</v>
      </c>
      <c r="G122" s="342"/>
      <c r="H122" s="362">
        <f t="shared" si="161"/>
        <v>0.9</v>
      </c>
      <c r="I122" s="362"/>
      <c r="J122" s="337"/>
      <c r="K122" s="337"/>
      <c r="L122" s="337"/>
      <c r="M122" s="337"/>
      <c r="N122" s="337"/>
      <c r="O122" s="337"/>
      <c r="P122" s="337"/>
      <c r="Q122" s="337"/>
      <c r="R122" s="337"/>
      <c r="S122" s="337"/>
      <c r="T122" s="337"/>
      <c r="U122" s="337"/>
      <c r="V122" s="337"/>
      <c r="W122" s="337"/>
      <c r="X122" s="337"/>
      <c r="Y122" s="337"/>
      <c r="Z122" s="337"/>
      <c r="AA122" s="337"/>
      <c r="AB122" s="337"/>
      <c r="AC122" s="337"/>
      <c r="AD122" s="337"/>
      <c r="AE122" s="337"/>
    </row>
    <row r="123" s="43" customFormat="1" spans="1:31">
      <c r="A123" s="338" t="s">
        <v>356</v>
      </c>
      <c r="B123" s="494">
        <f>SUM(I49:I60)</f>
        <v>2</v>
      </c>
      <c r="C123" s="494">
        <f>SUM(X49:X60)</f>
        <v>1</v>
      </c>
      <c r="D123" s="499">
        <f>SUM(AM49:AM60)</f>
        <v>12</v>
      </c>
      <c r="E123" s="499">
        <f>SUM(BB49:BB60)</f>
        <v>5</v>
      </c>
      <c r="F123" s="341">
        <f t="shared" si="160"/>
        <v>20</v>
      </c>
      <c r="G123" s="342"/>
      <c r="H123" s="362">
        <f t="shared" si="161"/>
        <v>2</v>
      </c>
      <c r="I123" s="362"/>
      <c r="J123" s="337"/>
      <c r="K123" s="337"/>
      <c r="L123" s="337"/>
      <c r="M123" s="337"/>
      <c r="N123" s="337"/>
      <c r="O123" s="337"/>
      <c r="P123" s="337"/>
      <c r="Q123" s="337"/>
      <c r="R123" s="337"/>
      <c r="S123" s="337"/>
      <c r="T123" s="337"/>
      <c r="U123" s="337"/>
      <c r="V123" s="337"/>
      <c r="W123" s="337"/>
      <c r="X123" s="337"/>
      <c r="Y123" s="337"/>
      <c r="Z123" s="337"/>
      <c r="AA123" s="337"/>
      <c r="AB123" s="337"/>
      <c r="AC123" s="337"/>
      <c r="AD123" s="337"/>
      <c r="AE123" s="337"/>
    </row>
    <row r="124" s="43" customFormat="1" spans="1:31">
      <c r="A124" s="338" t="s">
        <v>357</v>
      </c>
      <c r="B124" s="494">
        <f>SUM(J49:J60)</f>
        <v>0</v>
      </c>
      <c r="C124" s="494">
        <f>SUM(Y49:Y60)</f>
        <v>3</v>
      </c>
      <c r="D124" s="499">
        <f>SUM(AN49:AN60)</f>
        <v>0</v>
      </c>
      <c r="E124" s="499">
        <f>SUM(BC49:BC60)</f>
        <v>2</v>
      </c>
      <c r="F124" s="341">
        <f t="shared" si="160"/>
        <v>5</v>
      </c>
      <c r="G124" s="342"/>
      <c r="H124" s="362">
        <f t="shared" si="161"/>
        <v>0.5</v>
      </c>
      <c r="I124" s="362"/>
      <c r="J124" s="337"/>
      <c r="K124" s="337"/>
      <c r="L124" s="337"/>
      <c r="M124" s="337"/>
      <c r="N124" s="337"/>
      <c r="O124" s="337"/>
      <c r="P124" s="337"/>
      <c r="Q124" s="337"/>
      <c r="R124" s="337"/>
      <c r="S124" s="337"/>
      <c r="T124" s="337"/>
      <c r="U124" s="337"/>
      <c r="V124" s="337"/>
      <c r="W124" s="337"/>
      <c r="X124" s="337"/>
      <c r="Y124" s="337"/>
      <c r="Z124" s="337"/>
      <c r="AA124" s="337"/>
      <c r="AB124" s="337"/>
      <c r="AC124" s="337"/>
      <c r="AD124" s="337"/>
      <c r="AE124" s="337"/>
    </row>
    <row r="125" s="43" customFormat="1" spans="1:31">
      <c r="A125" s="338" t="s">
        <v>358</v>
      </c>
      <c r="B125" s="494">
        <f>SUM(K49:K60)</f>
        <v>0</v>
      </c>
      <c r="C125" s="494">
        <f>SUM(Z49:Z60)</f>
        <v>0</v>
      </c>
      <c r="D125" s="499">
        <f>SUM(AO49:AO60)</f>
        <v>1</v>
      </c>
      <c r="E125" s="499">
        <f>SUM(BD49:BD60)</f>
        <v>1</v>
      </c>
      <c r="F125" s="341">
        <f t="shared" si="160"/>
        <v>2</v>
      </c>
      <c r="G125" s="342"/>
      <c r="H125" s="362">
        <f t="shared" si="161"/>
        <v>0.2</v>
      </c>
      <c r="I125" s="362"/>
      <c r="J125" s="337"/>
      <c r="K125" s="337"/>
      <c r="L125" s="337"/>
      <c r="M125" s="337"/>
      <c r="N125" s="337"/>
      <c r="O125" s="337"/>
      <c r="P125" s="337"/>
      <c r="Q125" s="337"/>
      <c r="R125" s="337"/>
      <c r="S125" s="337"/>
      <c r="T125" s="337"/>
      <c r="U125" s="337"/>
      <c r="V125" s="337"/>
      <c r="W125" s="337"/>
      <c r="X125" s="337"/>
      <c r="Y125" s="337"/>
      <c r="Z125" s="337"/>
      <c r="AA125" s="337"/>
      <c r="AB125" s="337"/>
      <c r="AC125" s="337"/>
      <c r="AD125" s="337"/>
      <c r="AE125" s="337"/>
    </row>
    <row r="126" s="43" customFormat="1" spans="1:31">
      <c r="A126" s="338" t="s">
        <v>359</v>
      </c>
      <c r="B126" s="494">
        <f>SUM(L49:L60)</f>
        <v>0</v>
      </c>
      <c r="C126" s="494">
        <f>SUM(AA49:AA60)</f>
        <v>0</v>
      </c>
      <c r="D126" s="499">
        <f>SUM(AP49:AP60)</f>
        <v>2</v>
      </c>
      <c r="E126" s="499">
        <f>SUM(BE49:BE60)</f>
        <v>0</v>
      </c>
      <c r="F126" s="341">
        <f t="shared" si="160"/>
        <v>2</v>
      </c>
      <c r="G126" s="342"/>
      <c r="H126" s="362">
        <f t="shared" si="161"/>
        <v>0.2</v>
      </c>
      <c r="I126" s="362"/>
      <c r="J126" s="337"/>
      <c r="K126" s="337"/>
      <c r="L126" s="337"/>
      <c r="M126" s="337"/>
      <c r="N126" s="337"/>
      <c r="O126" s="337"/>
      <c r="P126" s="337"/>
      <c r="Q126" s="337"/>
      <c r="R126" s="337"/>
      <c r="S126" s="337"/>
      <c r="T126" s="337"/>
      <c r="U126" s="337"/>
      <c r="V126" s="337"/>
      <c r="W126" s="337"/>
      <c r="X126" s="337"/>
      <c r="Y126" s="337"/>
      <c r="Z126" s="337"/>
      <c r="AA126" s="337"/>
      <c r="AB126" s="337"/>
      <c r="AC126" s="337"/>
      <c r="AD126" s="337"/>
      <c r="AE126" s="337"/>
    </row>
    <row r="127" s="43" customFormat="1" spans="1:31">
      <c r="A127" s="338" t="s">
        <v>360</v>
      </c>
      <c r="B127" s="494">
        <f>SUM(M49:M60)</f>
        <v>0</v>
      </c>
      <c r="C127" s="494">
        <f>SUM(AB49:AB60)</f>
        <v>0</v>
      </c>
      <c r="D127" s="499">
        <f>SUM(AQ49:AQ60)</f>
        <v>0</v>
      </c>
      <c r="E127" s="499">
        <f>SUM(BF49:BF60)</f>
        <v>0</v>
      </c>
      <c r="F127" s="341">
        <f t="shared" si="160"/>
        <v>0</v>
      </c>
      <c r="G127" s="342"/>
      <c r="H127" s="362">
        <f t="shared" si="161"/>
        <v>0</v>
      </c>
      <c r="I127" s="362"/>
      <c r="J127" s="337"/>
      <c r="K127" s="337"/>
      <c r="L127" s="337"/>
      <c r="M127" s="337"/>
      <c r="N127" s="337"/>
      <c r="O127" s="337"/>
      <c r="P127" s="337"/>
      <c r="Q127" s="337"/>
      <c r="R127" s="337"/>
      <c r="S127" s="337"/>
      <c r="T127" s="337"/>
      <c r="U127" s="337"/>
      <c r="V127" s="337"/>
      <c r="W127" s="337"/>
      <c r="X127" s="337"/>
      <c r="Y127" s="337"/>
      <c r="Z127" s="337"/>
      <c r="AA127" s="337"/>
      <c r="AB127" s="337"/>
      <c r="AC127" s="337"/>
      <c r="AD127" s="337"/>
      <c r="AE127" s="337"/>
    </row>
    <row r="128" s="43" customFormat="1" spans="1:31">
      <c r="A128" s="338" t="s">
        <v>361</v>
      </c>
      <c r="B128" s="494">
        <f>SUM(N49:N60)</f>
        <v>0</v>
      </c>
      <c r="C128" s="494">
        <f>SUM(AC49:AC60)</f>
        <v>0</v>
      </c>
      <c r="D128" s="499">
        <f>SUM(AR49:AR60)</f>
        <v>0</v>
      </c>
      <c r="E128" s="499">
        <f>SUM(BG49:BG60)</f>
        <v>0</v>
      </c>
      <c r="F128" s="341">
        <f t="shared" si="160"/>
        <v>0</v>
      </c>
      <c r="G128" s="342"/>
      <c r="H128" s="362">
        <f t="shared" si="161"/>
        <v>0</v>
      </c>
      <c r="I128" s="362"/>
      <c r="J128" s="337"/>
      <c r="K128" s="337"/>
      <c r="L128" s="337"/>
      <c r="M128" s="337"/>
      <c r="N128" s="337"/>
      <c r="O128" s="337"/>
      <c r="P128" s="337"/>
      <c r="Q128" s="337"/>
      <c r="R128" s="337"/>
      <c r="S128" s="337"/>
      <c r="T128" s="337"/>
      <c r="U128" s="337"/>
      <c r="V128" s="337"/>
      <c r="W128" s="337"/>
      <c r="X128" s="337"/>
      <c r="Y128" s="337"/>
      <c r="Z128" s="337"/>
      <c r="AA128" s="337"/>
      <c r="AB128" s="337"/>
      <c r="AC128" s="337"/>
      <c r="AD128" s="337"/>
      <c r="AE128" s="337"/>
    </row>
    <row r="129" s="43" customFormat="1" spans="1:31">
      <c r="A129" s="338" t="s">
        <v>362</v>
      </c>
      <c r="B129" s="494">
        <f>SUM(O49:O60)</f>
        <v>0</v>
      </c>
      <c r="C129" s="494">
        <f>SUM(AD49:AD60)</f>
        <v>1</v>
      </c>
      <c r="D129" s="499">
        <f>SUM(AS49:AS60)</f>
        <v>3</v>
      </c>
      <c r="E129" s="499">
        <f>SUM(BH49:BH60)</f>
        <v>0</v>
      </c>
      <c r="F129" s="341">
        <f t="shared" si="160"/>
        <v>4</v>
      </c>
      <c r="G129" s="342"/>
      <c r="H129" s="362">
        <f t="shared" si="161"/>
        <v>0.4</v>
      </c>
      <c r="I129" s="362"/>
      <c r="J129" s="337"/>
      <c r="K129" s="337"/>
      <c r="L129" s="337"/>
      <c r="M129" s="337"/>
      <c r="N129" s="337"/>
      <c r="O129" s="337"/>
      <c r="P129" s="337"/>
      <c r="Q129" s="337"/>
      <c r="R129" s="337"/>
      <c r="S129" s="337"/>
      <c r="T129" s="337"/>
      <c r="U129" s="337"/>
      <c r="V129" s="337"/>
      <c r="W129" s="337"/>
      <c r="X129" s="337"/>
      <c r="Y129" s="337"/>
      <c r="Z129" s="337"/>
      <c r="AA129" s="337"/>
      <c r="AB129" s="337"/>
      <c r="AC129" s="337"/>
      <c r="AD129" s="337"/>
      <c r="AE129" s="337"/>
    </row>
    <row r="130" s="43" customFormat="1" spans="1:31">
      <c r="A130" s="343" t="s">
        <v>363</v>
      </c>
      <c r="B130" s="500">
        <f>SUM(P49:P60)</f>
        <v>0</v>
      </c>
      <c r="C130" s="500">
        <f>SUM(AE49:AE60)</f>
        <v>0</v>
      </c>
      <c r="D130" s="499">
        <f>SUM(AT49:AT60)</f>
        <v>0</v>
      </c>
      <c r="E130" s="501">
        <f>SUM(BI49:BI60)</f>
        <v>0</v>
      </c>
      <c r="F130" s="341">
        <f t="shared" si="160"/>
        <v>0</v>
      </c>
      <c r="G130" s="342"/>
      <c r="H130" s="362">
        <f t="shared" si="161"/>
        <v>0</v>
      </c>
      <c r="I130" s="362"/>
      <c r="J130" s="337"/>
      <c r="K130" s="337"/>
      <c r="L130" s="337"/>
      <c r="M130" s="337"/>
      <c r="N130" s="337"/>
      <c r="O130" s="337"/>
      <c r="P130" s="337"/>
      <c r="Q130" s="337"/>
      <c r="R130" s="337"/>
      <c r="S130" s="337"/>
      <c r="T130" s="337"/>
      <c r="U130" s="337"/>
      <c r="V130" s="337"/>
      <c r="W130" s="337"/>
      <c r="X130" s="337"/>
      <c r="Y130" s="337"/>
      <c r="Z130" s="337"/>
      <c r="AA130" s="337"/>
      <c r="AB130" s="337"/>
      <c r="AC130" s="337"/>
      <c r="AD130" s="337"/>
      <c r="AE130" s="337"/>
    </row>
    <row r="131" s="43" customFormat="1" ht="15.75" spans="1:31">
      <c r="A131" s="345"/>
      <c r="B131" s="498">
        <f>SUM(B120:B130)</f>
        <v>3</v>
      </c>
      <c r="C131" s="498">
        <f t="shared" ref="C131:E131" si="162">SUM(C120:C130)</f>
        <v>5</v>
      </c>
      <c r="D131" s="498">
        <f t="shared" si="162"/>
        <v>28</v>
      </c>
      <c r="E131" s="498">
        <f t="shared" si="162"/>
        <v>10</v>
      </c>
      <c r="F131" s="341">
        <f t="shared" si="160"/>
        <v>46</v>
      </c>
      <c r="G131" s="342"/>
      <c r="H131" s="362"/>
      <c r="I131" s="362"/>
      <c r="J131" s="337"/>
      <c r="K131" s="337"/>
      <c r="L131" s="337"/>
      <c r="M131" s="337"/>
      <c r="N131" s="337"/>
      <c r="O131" s="337"/>
      <c r="P131" s="337"/>
      <c r="Q131" s="337"/>
      <c r="R131" s="337"/>
      <c r="S131" s="337"/>
      <c r="T131" s="337"/>
      <c r="U131" s="337"/>
      <c r="V131" s="337"/>
      <c r="W131" s="337"/>
      <c r="X131" s="337"/>
      <c r="Y131" s="337"/>
      <c r="Z131" s="337"/>
      <c r="AA131" s="337"/>
      <c r="AB131" s="337"/>
      <c r="AC131" s="337"/>
      <c r="AD131" s="337"/>
      <c r="AE131" s="337"/>
    </row>
  </sheetData>
  <sheetProtection algorithmName="SHA-512" hashValue="B80WeqA4UXVHE6p9dLJrcmepinLxiSlfqWHutnNjdP50a3D4Abu9WlLlFDUdRm+jd2LDzmrTN7RZ20lbF6u5Cw==" saltValue="dD69Nx5ZxIYm/AvfcrfICA==" spinCount="100000" sheet="1" objects="1" scenarios="1"/>
  <mergeCells count="92">
    <mergeCell ref="F9:G9"/>
    <mergeCell ref="U9:V9"/>
    <mergeCell ref="W9:X9"/>
    <mergeCell ref="Y9:Z9"/>
    <mergeCell ref="AM9:AO9"/>
    <mergeCell ref="F10:G10"/>
    <mergeCell ref="U10:V10"/>
    <mergeCell ref="W10:X10"/>
    <mergeCell ref="Y10:Z10"/>
    <mergeCell ref="AJ10:AL10"/>
    <mergeCell ref="AM10:AO10"/>
    <mergeCell ref="F11:G11"/>
    <mergeCell ref="U11:V11"/>
    <mergeCell ref="W11:X11"/>
    <mergeCell ref="Y11:Z11"/>
    <mergeCell ref="AJ11:AL11"/>
    <mergeCell ref="AM11:AO11"/>
    <mergeCell ref="F12:G12"/>
    <mergeCell ref="U12:V12"/>
    <mergeCell ref="W12:X12"/>
    <mergeCell ref="Y12:Z12"/>
    <mergeCell ref="AJ12:AL12"/>
    <mergeCell ref="AM12:AO12"/>
    <mergeCell ref="F13:G13"/>
    <mergeCell ref="U13:V13"/>
    <mergeCell ref="W13:X13"/>
    <mergeCell ref="Y13:Z13"/>
    <mergeCell ref="AJ13:AL13"/>
    <mergeCell ref="AM13:AO13"/>
    <mergeCell ref="B17:P17"/>
    <mergeCell ref="Q17:AE17"/>
    <mergeCell ref="AF17:AT17"/>
    <mergeCell ref="AU17:BI17"/>
    <mergeCell ref="BJ17:BM17"/>
    <mergeCell ref="A63:G63"/>
    <mergeCell ref="F64:G64"/>
    <mergeCell ref="F65:G65"/>
    <mergeCell ref="F66:G66"/>
    <mergeCell ref="F67:G67"/>
    <mergeCell ref="F68:G68"/>
    <mergeCell ref="A70:G70"/>
    <mergeCell ref="F71:G71"/>
    <mergeCell ref="F72:G72"/>
    <mergeCell ref="F73:G73"/>
    <mergeCell ref="F74:G74"/>
    <mergeCell ref="F75:G75"/>
    <mergeCell ref="A77:G77"/>
    <mergeCell ref="F78:G78"/>
    <mergeCell ref="F79:G79"/>
    <mergeCell ref="F80:G80"/>
    <mergeCell ref="F81:G81"/>
    <mergeCell ref="F82:G82"/>
    <mergeCell ref="F87:G87"/>
    <mergeCell ref="F88:G88"/>
    <mergeCell ref="F89:G89"/>
    <mergeCell ref="F90:G90"/>
    <mergeCell ref="F91:G91"/>
    <mergeCell ref="F92:G92"/>
    <mergeCell ref="F93:G93"/>
    <mergeCell ref="F94:G94"/>
    <mergeCell ref="F95:G95"/>
    <mergeCell ref="F96:G96"/>
    <mergeCell ref="F97:G97"/>
    <mergeCell ref="F98:G98"/>
    <mergeCell ref="F99:G99"/>
    <mergeCell ref="F103:G103"/>
    <mergeCell ref="F104:G104"/>
    <mergeCell ref="F105:G105"/>
    <mergeCell ref="F106:G106"/>
    <mergeCell ref="F107:G107"/>
    <mergeCell ref="F108:G108"/>
    <mergeCell ref="F109:G109"/>
    <mergeCell ref="F110:G110"/>
    <mergeCell ref="F111:G111"/>
    <mergeCell ref="F112:G112"/>
    <mergeCell ref="F113:G113"/>
    <mergeCell ref="F114:G114"/>
    <mergeCell ref="F115:G115"/>
    <mergeCell ref="F119:G119"/>
    <mergeCell ref="F120:G120"/>
    <mergeCell ref="F121:G121"/>
    <mergeCell ref="F122:G122"/>
    <mergeCell ref="F123:G123"/>
    <mergeCell ref="F124:G124"/>
    <mergeCell ref="F125:G125"/>
    <mergeCell ref="F126:G126"/>
    <mergeCell ref="F127:G127"/>
    <mergeCell ref="F128:G128"/>
    <mergeCell ref="F129:G129"/>
    <mergeCell ref="F130:G130"/>
    <mergeCell ref="F131:G131"/>
    <mergeCell ref="C1:Q3"/>
  </mergeCells>
  <pageMargins left="0.7" right="0.7" top="0.75" bottom="0.75" header="0.3" footer="0.3"/>
  <pageSetup paperSize="9" orientation="portrait" verticalDpi="9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BN131"/>
  <sheetViews>
    <sheetView zoomScale="85" zoomScaleNormal="85" topLeftCell="A3" workbookViewId="0">
      <pane ySplit="16" topLeftCell="A19" activePane="bottomLeft" state="frozen"/>
      <selection/>
      <selection pane="bottomLeft" activeCell="Q120" sqref="Q120"/>
    </sheetView>
  </sheetViews>
  <sheetFormatPr defaultColWidth="9" defaultRowHeight="15"/>
  <cols>
    <col min="1" max="1" width="20.5714285714286" style="43" customWidth="1"/>
    <col min="2" max="2" width="10.4285714285714" style="43" customWidth="1"/>
    <col min="3" max="3" width="11.4285714285714" style="43" customWidth="1"/>
    <col min="4" max="4" width="10.4285714285714" style="43" customWidth="1"/>
    <col min="5" max="5" width="11" style="43" customWidth="1"/>
    <col min="6" max="6" width="5" style="43" customWidth="1"/>
    <col min="7" max="7" width="4.42857142857143" style="43" customWidth="1"/>
    <col min="8" max="8" width="6.57142857142857" style="43" customWidth="1"/>
    <col min="9" max="9" width="8.42857142857143" style="43" customWidth="1"/>
    <col min="10" max="10" width="4" style="43" customWidth="1"/>
    <col min="11" max="11" width="4.57142857142857" style="43" customWidth="1"/>
    <col min="12" max="13" width="4.42857142857143" style="43" customWidth="1"/>
    <col min="14" max="16" width="5.42857142857143" style="43" customWidth="1"/>
    <col min="17" max="17" width="8.57142857142857" style="43"/>
    <col min="18" max="18" width="9.42857142857143" style="43"/>
    <col min="19" max="20" width="8.57142857142857" style="43"/>
    <col min="21" max="21" width="4.57142857142857" style="43" customWidth="1"/>
    <col min="22" max="24" width="4.42857142857143" style="43" customWidth="1"/>
    <col min="25" max="26" width="4" style="43" customWidth="1"/>
    <col min="27" max="27" width="4.42857142857143" style="43" customWidth="1"/>
    <col min="28" max="28" width="3.57142857142857" style="43" customWidth="1"/>
    <col min="29" max="29" width="4.42857142857143" style="43" customWidth="1"/>
    <col min="30" max="31" width="4" style="43" customWidth="1"/>
    <col min="32" max="35" width="8.57142857142857" style="43"/>
    <col min="36" max="37" width="3.57142857142857" style="43" customWidth="1"/>
    <col min="38" max="38" width="3.42857142857143" style="43" customWidth="1"/>
    <col min="39" max="39" width="4" style="43" customWidth="1"/>
    <col min="40" max="40" width="3.42857142857143" style="43" customWidth="1"/>
    <col min="41" max="41" width="3.57142857142857" style="43" customWidth="1"/>
    <col min="42" max="42" width="3.42857142857143" style="43" customWidth="1"/>
    <col min="43" max="43" width="4" style="43" customWidth="1"/>
    <col min="44" max="46" width="4.42857142857143" style="43" customWidth="1"/>
    <col min="47" max="50" width="8.57142857142857" style="43"/>
    <col min="51" max="51" width="4.42857142857143" style="43" customWidth="1"/>
    <col min="52" max="52" width="3.57142857142857" style="43" customWidth="1"/>
    <col min="53" max="53" width="4" style="43" customWidth="1"/>
    <col min="54" max="55" width="3.57142857142857" style="43" customWidth="1"/>
    <col min="56" max="56" width="4" style="43" customWidth="1"/>
    <col min="57" max="57" width="4.42857142857143" style="43" customWidth="1"/>
    <col min="58" max="59" width="4" style="43" customWidth="1"/>
    <col min="60" max="60" width="3.57142857142857" style="43" customWidth="1"/>
    <col min="61" max="61" width="4.42857142857143" style="43" customWidth="1"/>
    <col min="62" max="62" width="11.5714285714286" style="43" customWidth="1"/>
    <col min="63" max="65" width="8.57142857142857" style="43"/>
  </cols>
  <sheetData>
    <row r="1" ht="26.25" spans="3:18">
      <c r="C1" s="165" t="s">
        <v>365</v>
      </c>
      <c r="D1" s="166"/>
      <c r="E1" s="166"/>
      <c r="F1" s="166"/>
      <c r="G1" s="166"/>
      <c r="H1" s="166"/>
      <c r="I1" s="166"/>
      <c r="J1" s="166"/>
      <c r="K1" s="166"/>
      <c r="L1" s="166"/>
      <c r="M1" s="166"/>
      <c r="N1" s="166"/>
      <c r="O1" s="166"/>
      <c r="P1" s="166"/>
      <c r="Q1" s="225"/>
      <c r="R1" s="168"/>
    </row>
    <row r="2" ht="26.25" spans="3:18">
      <c r="C2" s="167"/>
      <c r="D2" s="168"/>
      <c r="E2" s="168"/>
      <c r="F2" s="168"/>
      <c r="G2" s="168"/>
      <c r="H2" s="168"/>
      <c r="I2" s="168"/>
      <c r="J2" s="168"/>
      <c r="K2" s="168"/>
      <c r="L2" s="168"/>
      <c r="M2" s="168"/>
      <c r="N2" s="168"/>
      <c r="O2" s="168"/>
      <c r="P2" s="168"/>
      <c r="Q2" s="226"/>
      <c r="R2" s="168"/>
    </row>
    <row r="3" ht="27" spans="3:18">
      <c r="C3" s="169"/>
      <c r="D3" s="170"/>
      <c r="E3" s="170"/>
      <c r="F3" s="170"/>
      <c r="G3" s="170"/>
      <c r="H3" s="170"/>
      <c r="I3" s="170"/>
      <c r="J3" s="170"/>
      <c r="K3" s="170"/>
      <c r="L3" s="170"/>
      <c r="M3" s="170"/>
      <c r="N3" s="170"/>
      <c r="O3" s="170"/>
      <c r="P3" s="170"/>
      <c r="Q3" s="227"/>
      <c r="R3" s="168"/>
    </row>
    <row r="8" ht="15.75"/>
    <row r="9" ht="15.75" spans="1:48">
      <c r="A9" s="171" t="s">
        <v>325</v>
      </c>
      <c r="B9" s="172" t="s">
        <v>326</v>
      </c>
      <c r="C9" s="172" t="s">
        <v>327</v>
      </c>
      <c r="D9" s="172" t="s">
        <v>328</v>
      </c>
      <c r="E9" s="172" t="s">
        <v>329</v>
      </c>
      <c r="F9" s="173" t="s">
        <v>330</v>
      </c>
      <c r="G9" s="174"/>
      <c r="H9" s="175"/>
      <c r="I9" s="175"/>
      <c r="J9" s="175"/>
      <c r="K9" s="175"/>
      <c r="L9" s="175"/>
      <c r="M9" s="175"/>
      <c r="N9" s="175"/>
      <c r="O9" s="175"/>
      <c r="P9" s="175"/>
      <c r="Q9" s="228" t="s">
        <v>331</v>
      </c>
      <c r="R9" s="228"/>
      <c r="S9" s="172" t="s">
        <v>326</v>
      </c>
      <c r="T9" s="172" t="s">
        <v>327</v>
      </c>
      <c r="U9" s="173" t="s">
        <v>328</v>
      </c>
      <c r="V9" s="174"/>
      <c r="W9" s="173" t="s">
        <v>329</v>
      </c>
      <c r="X9" s="174"/>
      <c r="Y9" s="173" t="s">
        <v>330</v>
      </c>
      <c r="Z9" s="174"/>
      <c r="AA9" s="180"/>
      <c r="AB9" s="180"/>
      <c r="AC9" s="180"/>
      <c r="AD9" s="180"/>
      <c r="AE9" s="180"/>
      <c r="AF9" s="228" t="s">
        <v>366</v>
      </c>
      <c r="AG9" s="256" t="s">
        <v>326</v>
      </c>
      <c r="AH9" s="256" t="s">
        <v>327</v>
      </c>
      <c r="AI9" s="256" t="s">
        <v>328</v>
      </c>
      <c r="AJ9" s="256" t="s">
        <v>329</v>
      </c>
      <c r="AK9" s="257"/>
      <c r="AL9" s="258"/>
      <c r="AM9" s="173" t="s">
        <v>330</v>
      </c>
      <c r="AN9" s="259"/>
      <c r="AO9" s="174"/>
      <c r="AP9" s="283"/>
      <c r="AQ9" s="283"/>
      <c r="AR9" s="283"/>
      <c r="AS9" s="283"/>
      <c r="AT9" s="283"/>
      <c r="AU9" s="283"/>
      <c r="AV9" s="284"/>
    </row>
    <row r="10" ht="15.75" spans="1:48">
      <c r="A10" s="176" t="s">
        <v>333</v>
      </c>
      <c r="B10" s="177">
        <v>34</v>
      </c>
      <c r="C10" s="177">
        <v>34</v>
      </c>
      <c r="D10" s="177">
        <v>35</v>
      </c>
      <c r="E10" s="177">
        <v>37</v>
      </c>
      <c r="F10" s="178"/>
      <c r="G10" s="179"/>
      <c r="H10" s="180"/>
      <c r="I10" s="180"/>
      <c r="J10" s="180"/>
      <c r="K10" s="180"/>
      <c r="L10" s="180"/>
      <c r="M10" s="180"/>
      <c r="N10" s="180"/>
      <c r="O10" s="180"/>
      <c r="P10" s="180"/>
      <c r="Q10" s="229" t="s">
        <v>333</v>
      </c>
      <c r="R10" s="229"/>
      <c r="S10" s="177">
        <v>25</v>
      </c>
      <c r="T10" s="177">
        <v>25</v>
      </c>
      <c r="U10" s="178">
        <v>25</v>
      </c>
      <c r="V10" s="230"/>
      <c r="W10" s="178">
        <v>26</v>
      </c>
      <c r="X10" s="230"/>
      <c r="Y10" s="178"/>
      <c r="Z10" s="179"/>
      <c r="AA10" s="180"/>
      <c r="AB10" s="180"/>
      <c r="AC10" s="180"/>
      <c r="AD10" s="180"/>
      <c r="AE10" s="180"/>
      <c r="AF10" s="229" t="s">
        <v>333</v>
      </c>
      <c r="AG10" s="177">
        <v>9</v>
      </c>
      <c r="AH10" s="177">
        <v>9</v>
      </c>
      <c r="AI10" s="177">
        <v>10</v>
      </c>
      <c r="AJ10" s="178">
        <v>11</v>
      </c>
      <c r="AK10" s="230"/>
      <c r="AL10" s="179"/>
      <c r="AM10" s="178"/>
      <c r="AN10" s="230"/>
      <c r="AO10" s="179"/>
      <c r="AV10" s="285"/>
    </row>
    <row r="11" ht="15.75" spans="1:48">
      <c r="A11" s="176" t="s">
        <v>367</v>
      </c>
      <c r="B11" s="177">
        <f>B61</f>
        <v>7</v>
      </c>
      <c r="C11" s="177">
        <f>Q61</f>
        <v>7</v>
      </c>
      <c r="D11" s="177">
        <f>AF61</f>
        <v>9</v>
      </c>
      <c r="E11" s="177">
        <f>AU61</f>
        <v>11</v>
      </c>
      <c r="F11" s="178">
        <f>SUM(B11:E11)</f>
        <v>34</v>
      </c>
      <c r="G11" s="179"/>
      <c r="H11" s="180"/>
      <c r="I11" s="180"/>
      <c r="J11" s="180"/>
      <c r="K11" s="180"/>
      <c r="L11" s="180"/>
      <c r="M11" s="180"/>
      <c r="N11" s="180"/>
      <c r="O11" s="180"/>
      <c r="P11" s="180"/>
      <c r="Q11" s="229" t="s">
        <v>367</v>
      </c>
      <c r="R11" s="229"/>
      <c r="S11" s="177">
        <f>SUM(B19:B48)</f>
        <v>7</v>
      </c>
      <c r="T11" s="231">
        <f>SUM(Q19:Q48)</f>
        <v>7</v>
      </c>
      <c r="U11" s="232">
        <f>SUM(AF19:AF48)</f>
        <v>6</v>
      </c>
      <c r="V11" s="179"/>
      <c r="W11" s="232">
        <f>SUM(AU19:AU48)</f>
        <v>9</v>
      </c>
      <c r="X11" s="230"/>
      <c r="Y11" s="178">
        <f>SUM(S11:X11)</f>
        <v>29</v>
      </c>
      <c r="Z11" s="179"/>
      <c r="AA11" s="180"/>
      <c r="AB11" s="180"/>
      <c r="AC11" s="180"/>
      <c r="AD11" s="180"/>
      <c r="AE11" s="180"/>
      <c r="AF11" s="229" t="s">
        <v>367</v>
      </c>
      <c r="AG11" s="177">
        <f>SUM(B49:B60)</f>
        <v>0</v>
      </c>
      <c r="AH11" s="177">
        <f>SUM(Q49:Q60)</f>
        <v>0</v>
      </c>
      <c r="AI11" s="177">
        <f>SUM(AF49:AF60)</f>
        <v>3</v>
      </c>
      <c r="AJ11" s="178">
        <f>SUM(AU49:AU60)</f>
        <v>2</v>
      </c>
      <c r="AK11" s="230"/>
      <c r="AL11" s="179"/>
      <c r="AM11" s="178">
        <f>SUM(AG11:AL11)</f>
        <v>5</v>
      </c>
      <c r="AN11" s="230"/>
      <c r="AO11" s="179"/>
      <c r="AV11" s="285"/>
    </row>
    <row r="12" ht="15.75" spans="1:48">
      <c r="A12" s="176" t="s">
        <v>336</v>
      </c>
      <c r="B12" s="177">
        <f>D61</f>
        <v>26</v>
      </c>
      <c r="C12" s="177">
        <f>S61</f>
        <v>31</v>
      </c>
      <c r="D12" s="177">
        <f>AH61</f>
        <v>51</v>
      </c>
      <c r="E12" s="177">
        <f>AW61</f>
        <v>62</v>
      </c>
      <c r="F12" s="178">
        <f>SUM(B12:E12)</f>
        <v>170</v>
      </c>
      <c r="G12" s="179"/>
      <c r="H12" s="180"/>
      <c r="I12" s="180"/>
      <c r="J12" s="180"/>
      <c r="K12" s="180"/>
      <c r="L12" s="180"/>
      <c r="M12" s="180"/>
      <c r="N12" s="180"/>
      <c r="O12" s="180"/>
      <c r="P12" s="180"/>
      <c r="Q12" s="229" t="s">
        <v>336</v>
      </c>
      <c r="R12" s="229"/>
      <c r="S12" s="231">
        <f>SUM(D19:D48)</f>
        <v>26</v>
      </c>
      <c r="T12" s="231">
        <f>SUM(S19:S48)</f>
        <v>31</v>
      </c>
      <c r="U12" s="232">
        <f>SUM(AH19:AH48)</f>
        <v>34</v>
      </c>
      <c r="V12" s="233"/>
      <c r="W12" s="232">
        <f>SUM(AW19:AW48)</f>
        <v>53</v>
      </c>
      <c r="X12" s="234"/>
      <c r="Y12" s="232">
        <f>SUM(S12:X12)</f>
        <v>144</v>
      </c>
      <c r="Z12" s="179"/>
      <c r="AA12" s="180"/>
      <c r="AB12" s="180"/>
      <c r="AC12" s="180"/>
      <c r="AD12" s="180"/>
      <c r="AE12" s="180"/>
      <c r="AF12" s="229" t="s">
        <v>336</v>
      </c>
      <c r="AG12" s="231">
        <f>SUM(D49:D60)</f>
        <v>0</v>
      </c>
      <c r="AH12" s="231">
        <f>SUM(S49:S60)</f>
        <v>0</v>
      </c>
      <c r="AI12" s="231">
        <f>SUM(AH49:AH60)</f>
        <v>17</v>
      </c>
      <c r="AJ12" s="232">
        <f>SUM(AW49:AW60)</f>
        <v>9</v>
      </c>
      <c r="AK12" s="230"/>
      <c r="AL12" s="179"/>
      <c r="AM12" s="232">
        <f>SUM(AG12:AL12)</f>
        <v>26</v>
      </c>
      <c r="AN12" s="230"/>
      <c r="AO12" s="179"/>
      <c r="AV12" s="285"/>
    </row>
    <row r="13" ht="15.75" spans="1:48">
      <c r="A13" s="176" t="s">
        <v>337</v>
      </c>
      <c r="B13" s="181">
        <f>E61</f>
        <v>3.71428571428571</v>
      </c>
      <c r="C13" s="181">
        <f>T61</f>
        <v>4.42857142857143</v>
      </c>
      <c r="D13" s="181">
        <f>AI61</f>
        <v>5.66666666666667</v>
      </c>
      <c r="E13" s="181">
        <f>AX61</f>
        <v>5.63636363636364</v>
      </c>
      <c r="F13" s="182">
        <f>F12/F11</f>
        <v>5</v>
      </c>
      <c r="G13" s="183"/>
      <c r="H13" s="184"/>
      <c r="I13" s="184"/>
      <c r="J13" s="184"/>
      <c r="K13" s="184"/>
      <c r="L13" s="184"/>
      <c r="M13" s="184"/>
      <c r="N13" s="184"/>
      <c r="O13" s="184"/>
      <c r="P13" s="184"/>
      <c r="Q13" s="229" t="s">
        <v>337</v>
      </c>
      <c r="R13" s="229"/>
      <c r="S13" s="181">
        <f>S12/S11</f>
        <v>3.71428571428571</v>
      </c>
      <c r="T13" s="181">
        <f>T12/T11</f>
        <v>4.42857142857143</v>
      </c>
      <c r="U13" s="182">
        <f>U12/U11</f>
        <v>5.66666666666667</v>
      </c>
      <c r="V13" s="235"/>
      <c r="W13" s="182">
        <f>W12/W11</f>
        <v>5.88888888888889</v>
      </c>
      <c r="X13" s="235"/>
      <c r="Y13" s="182">
        <f>Y12/Y11</f>
        <v>4.96551724137931</v>
      </c>
      <c r="Z13" s="183"/>
      <c r="AA13" s="249"/>
      <c r="AB13" s="249"/>
      <c r="AC13" s="249"/>
      <c r="AD13" s="249"/>
      <c r="AE13" s="249"/>
      <c r="AF13" s="229" t="s">
        <v>337</v>
      </c>
      <c r="AG13" s="181" t="e">
        <f>AG12/AG11</f>
        <v>#DIV/0!</v>
      </c>
      <c r="AH13" s="181" t="e">
        <f>AH12/AH11</f>
        <v>#DIV/0!</v>
      </c>
      <c r="AI13" s="181">
        <f>AI12/AI11</f>
        <v>5.66666666666667</v>
      </c>
      <c r="AJ13" s="182">
        <f>AJ12/AJ11</f>
        <v>4.5</v>
      </c>
      <c r="AK13" s="235"/>
      <c r="AL13" s="183"/>
      <c r="AM13" s="182">
        <f>AM12/AM11</f>
        <v>5.2</v>
      </c>
      <c r="AN13" s="235"/>
      <c r="AO13" s="183"/>
      <c r="AV13" s="285"/>
    </row>
    <row r="14" spans="34:48">
      <c r="AH14" s="260"/>
      <c r="AV14" s="285"/>
    </row>
    <row r="15" spans="34:48">
      <c r="AH15" s="260"/>
      <c r="AV15" s="285"/>
    </row>
    <row r="16" ht="27" spans="1:48">
      <c r="A16" s="185" t="s">
        <v>368</v>
      </c>
      <c r="B16" s="186"/>
      <c r="C16" s="186"/>
      <c r="D16" s="187"/>
      <c r="AH16" s="260"/>
      <c r="AV16" s="285"/>
    </row>
    <row r="17" ht="15.75" spans="1:65">
      <c r="A17" s="188"/>
      <c r="B17" s="189" t="s">
        <v>339</v>
      </c>
      <c r="C17" s="189"/>
      <c r="D17" s="189"/>
      <c r="E17" s="189"/>
      <c r="F17" s="189"/>
      <c r="G17" s="189"/>
      <c r="H17" s="189"/>
      <c r="I17" s="189"/>
      <c r="J17" s="189"/>
      <c r="K17" s="189"/>
      <c r="L17" s="189"/>
      <c r="M17" s="189"/>
      <c r="N17" s="189"/>
      <c r="O17" s="189"/>
      <c r="P17" s="223"/>
      <c r="Q17" s="236" t="s">
        <v>340</v>
      </c>
      <c r="R17" s="237"/>
      <c r="S17" s="237"/>
      <c r="T17" s="237"/>
      <c r="U17" s="237"/>
      <c r="V17" s="237"/>
      <c r="W17" s="237"/>
      <c r="X17" s="237"/>
      <c r="Y17" s="237"/>
      <c r="Z17" s="237"/>
      <c r="AA17" s="237"/>
      <c r="AB17" s="237"/>
      <c r="AC17" s="237"/>
      <c r="AD17" s="237"/>
      <c r="AE17" s="237"/>
      <c r="AF17" s="236" t="s">
        <v>341</v>
      </c>
      <c r="AG17" s="237"/>
      <c r="AH17" s="237"/>
      <c r="AI17" s="237"/>
      <c r="AJ17" s="237"/>
      <c r="AK17" s="237"/>
      <c r="AL17" s="237"/>
      <c r="AM17" s="237"/>
      <c r="AN17" s="237"/>
      <c r="AO17" s="237"/>
      <c r="AP17" s="237"/>
      <c r="AQ17" s="237"/>
      <c r="AR17" s="237"/>
      <c r="AS17" s="237"/>
      <c r="AT17" s="286"/>
      <c r="AU17" s="237" t="s">
        <v>342</v>
      </c>
      <c r="AV17" s="237"/>
      <c r="AW17" s="237"/>
      <c r="AX17" s="237"/>
      <c r="AY17" s="237"/>
      <c r="AZ17" s="237"/>
      <c r="BA17" s="237"/>
      <c r="BB17" s="237"/>
      <c r="BC17" s="237"/>
      <c r="BD17" s="237"/>
      <c r="BE17" s="237"/>
      <c r="BF17" s="237"/>
      <c r="BG17" s="237"/>
      <c r="BH17" s="237"/>
      <c r="BI17" s="237"/>
      <c r="BJ17" s="302" t="s">
        <v>330</v>
      </c>
      <c r="BK17" s="303"/>
      <c r="BL17" s="303"/>
      <c r="BM17" s="312"/>
    </row>
    <row r="18" spans="1:65">
      <c r="A18" s="190"/>
      <c r="B18" s="191" t="s">
        <v>343</v>
      </c>
      <c r="C18" s="192"/>
      <c r="D18" s="192" t="s">
        <v>336</v>
      </c>
      <c r="E18" s="193" t="s">
        <v>344</v>
      </c>
      <c r="F18" s="193">
        <v>2</v>
      </c>
      <c r="G18" s="193">
        <v>3</v>
      </c>
      <c r="H18" s="193">
        <v>4</v>
      </c>
      <c r="I18" s="193">
        <v>5</v>
      </c>
      <c r="J18" s="193">
        <v>6</v>
      </c>
      <c r="K18" s="193">
        <v>7</v>
      </c>
      <c r="L18" s="193">
        <v>8</v>
      </c>
      <c r="M18" s="193">
        <v>9</v>
      </c>
      <c r="N18" s="192">
        <v>10</v>
      </c>
      <c r="O18" s="193">
        <v>11</v>
      </c>
      <c r="P18" s="193">
        <v>12</v>
      </c>
      <c r="Q18" s="238" t="s">
        <v>343</v>
      </c>
      <c r="R18" s="191"/>
      <c r="S18" s="192" t="s">
        <v>336</v>
      </c>
      <c r="T18" s="193" t="s">
        <v>344</v>
      </c>
      <c r="U18" s="193">
        <v>2</v>
      </c>
      <c r="V18" s="193">
        <v>3</v>
      </c>
      <c r="W18" s="193">
        <v>4</v>
      </c>
      <c r="X18" s="193">
        <v>5</v>
      </c>
      <c r="Y18" s="193">
        <v>6</v>
      </c>
      <c r="Z18" s="193">
        <v>7</v>
      </c>
      <c r="AA18" s="193">
        <v>8</v>
      </c>
      <c r="AB18" s="193">
        <v>9</v>
      </c>
      <c r="AC18" s="192">
        <v>10</v>
      </c>
      <c r="AD18" s="193">
        <v>11</v>
      </c>
      <c r="AE18" s="193">
        <v>12</v>
      </c>
      <c r="AF18" s="250" t="s">
        <v>343</v>
      </c>
      <c r="AG18" s="261"/>
      <c r="AH18" s="262" t="s">
        <v>336</v>
      </c>
      <c r="AI18" s="263" t="s">
        <v>344</v>
      </c>
      <c r="AJ18" s="263">
        <v>2</v>
      </c>
      <c r="AK18" s="263">
        <v>3</v>
      </c>
      <c r="AL18" s="263">
        <v>4</v>
      </c>
      <c r="AM18" s="263">
        <v>5</v>
      </c>
      <c r="AN18" s="263">
        <v>6</v>
      </c>
      <c r="AO18" s="263">
        <v>7</v>
      </c>
      <c r="AP18" s="263">
        <v>8</v>
      </c>
      <c r="AQ18" s="263">
        <v>9</v>
      </c>
      <c r="AR18" s="262">
        <v>10</v>
      </c>
      <c r="AS18" s="263">
        <v>11</v>
      </c>
      <c r="AT18" s="287">
        <v>12</v>
      </c>
      <c r="AU18" s="261" t="s">
        <v>343</v>
      </c>
      <c r="AV18" s="261"/>
      <c r="AW18" s="296" t="s">
        <v>336</v>
      </c>
      <c r="AX18" s="297" t="s">
        <v>344</v>
      </c>
      <c r="AY18" s="296">
        <v>2</v>
      </c>
      <c r="AZ18" s="297">
        <v>3</v>
      </c>
      <c r="BA18" s="297">
        <v>4</v>
      </c>
      <c r="BB18" s="297">
        <v>5</v>
      </c>
      <c r="BC18" s="297">
        <v>6</v>
      </c>
      <c r="BD18" s="297">
        <v>7</v>
      </c>
      <c r="BE18" s="297">
        <v>8</v>
      </c>
      <c r="BF18" s="297">
        <v>9</v>
      </c>
      <c r="BG18" s="296">
        <v>10</v>
      </c>
      <c r="BH18" s="297">
        <v>11</v>
      </c>
      <c r="BI18" s="297">
        <v>12</v>
      </c>
      <c r="BJ18" s="304" t="s">
        <v>343</v>
      </c>
      <c r="BK18" s="296"/>
      <c r="BL18" s="296" t="s">
        <v>336</v>
      </c>
      <c r="BM18" s="313" t="s">
        <v>344</v>
      </c>
    </row>
    <row r="19" spans="1:65">
      <c r="A19" s="194" t="str">
        <f>'IA-SI  TANKER'!B4</f>
        <v>Alpine Pembroke (Sold)</v>
      </c>
      <c r="B19" s="195"/>
      <c r="C19" s="196"/>
      <c r="D19" s="197">
        <f t="shared" ref="D19:D48" si="0">SUM(F19:P19)</f>
        <v>0</v>
      </c>
      <c r="E19" s="198" t="e">
        <f t="shared" ref="E19:E61" si="1">(D19/B19)</f>
        <v>#DIV/0!</v>
      </c>
      <c r="F19" s="199"/>
      <c r="G19" s="199"/>
      <c r="H19" s="199"/>
      <c r="I19" s="199"/>
      <c r="J19" s="199"/>
      <c r="K19" s="199"/>
      <c r="L19" s="199"/>
      <c r="M19" s="199"/>
      <c r="N19" s="199"/>
      <c r="O19" s="199"/>
      <c r="P19" s="199"/>
      <c r="Q19" s="239"/>
      <c r="R19" s="240"/>
      <c r="S19" s="197">
        <f t="shared" ref="S19:S56" si="2">SUM(U19:AE19)</f>
        <v>0</v>
      </c>
      <c r="T19" s="198" t="e">
        <f t="shared" ref="T19:T61" si="3">(S19/Q19)</f>
        <v>#DIV/0!</v>
      </c>
      <c r="U19" s="199"/>
      <c r="V19" s="199"/>
      <c r="W19" s="199"/>
      <c r="X19" s="199"/>
      <c r="Y19" s="199"/>
      <c r="Z19" s="199"/>
      <c r="AA19" s="199"/>
      <c r="AB19" s="199"/>
      <c r="AC19" s="199"/>
      <c r="AD19" s="199"/>
      <c r="AE19" s="199"/>
      <c r="AF19" s="251"/>
      <c r="AG19" s="264"/>
      <c r="AH19" s="265">
        <f t="shared" ref="AH19:AH56" si="4">SUM(AJ19:AT19)</f>
        <v>0</v>
      </c>
      <c r="AI19" s="266" t="e">
        <f t="shared" ref="AI19:AI61" si="5">(AH19/AF19)</f>
        <v>#DIV/0!</v>
      </c>
      <c r="AJ19" s="267"/>
      <c r="AK19" s="267"/>
      <c r="AL19" s="267"/>
      <c r="AM19" s="267"/>
      <c r="AN19" s="267"/>
      <c r="AO19" s="267"/>
      <c r="AP19" s="267"/>
      <c r="AQ19" s="267"/>
      <c r="AR19" s="267"/>
      <c r="AS19" s="267"/>
      <c r="AT19" s="288"/>
      <c r="AU19" s="289"/>
      <c r="AV19" s="264"/>
      <c r="AW19" s="265">
        <f t="shared" ref="AW19:AW50" si="6">SUM(AY19:BI19)</f>
        <v>0</v>
      </c>
      <c r="AX19" s="266" t="e">
        <f t="shared" ref="AX19:AX61" si="7">(AW19/AU19)</f>
        <v>#DIV/0!</v>
      </c>
      <c r="AY19" s="267"/>
      <c r="AZ19" s="267"/>
      <c r="BA19" s="267"/>
      <c r="BB19" s="267"/>
      <c r="BC19" s="267"/>
      <c r="BD19" s="267"/>
      <c r="BE19" s="267"/>
      <c r="BF19" s="267"/>
      <c r="BG19" s="267"/>
      <c r="BH19" s="267"/>
      <c r="BI19" s="267"/>
      <c r="BJ19" s="305">
        <f t="shared" ref="BJ19" si="8">SUM(B19+Q19+AF19+AU19)</f>
        <v>0</v>
      </c>
      <c r="BK19" s="306"/>
      <c r="BL19" s="306">
        <f t="shared" ref="BL19" si="9">SUM(D19,S19,AH19,AW19)</f>
        <v>0</v>
      </c>
      <c r="BM19" s="314" t="e">
        <f t="shared" ref="BM19:BM61" si="10">(BL19/BJ19)</f>
        <v>#DIV/0!</v>
      </c>
    </row>
    <row r="20" spans="1:65">
      <c r="A20" s="194" t="str">
        <f>'IA-SI  TANKER'!B5</f>
        <v>Alpine Pioneer (Sold)</v>
      </c>
      <c r="B20" s="195"/>
      <c r="C20" s="196"/>
      <c r="D20" s="197">
        <f t="shared" si="0"/>
        <v>0</v>
      </c>
      <c r="E20" s="198" t="e">
        <f t="shared" si="1"/>
        <v>#DIV/0!</v>
      </c>
      <c r="F20" s="199"/>
      <c r="G20" s="199"/>
      <c r="H20" s="199"/>
      <c r="I20" s="199"/>
      <c r="J20" s="199"/>
      <c r="K20" s="199"/>
      <c r="L20" s="199"/>
      <c r="M20" s="199"/>
      <c r="N20" s="199"/>
      <c r="O20" s="199"/>
      <c r="P20" s="199"/>
      <c r="Q20" s="239"/>
      <c r="R20" s="240"/>
      <c r="S20" s="197">
        <f t="shared" si="2"/>
        <v>0</v>
      </c>
      <c r="T20" s="198" t="e">
        <f t="shared" si="3"/>
        <v>#DIV/0!</v>
      </c>
      <c r="U20" s="199"/>
      <c r="V20" s="199"/>
      <c r="W20" s="199"/>
      <c r="X20" s="199"/>
      <c r="Y20" s="199"/>
      <c r="Z20" s="199"/>
      <c r="AA20" s="199"/>
      <c r="AB20" s="199"/>
      <c r="AC20" s="199"/>
      <c r="AD20" s="199"/>
      <c r="AE20" s="199"/>
      <c r="AF20" s="251"/>
      <c r="AG20" s="264"/>
      <c r="AH20" s="265">
        <f t="shared" si="4"/>
        <v>0</v>
      </c>
      <c r="AI20" s="266" t="e">
        <f t="shared" si="5"/>
        <v>#DIV/0!</v>
      </c>
      <c r="AJ20" s="267"/>
      <c r="AK20" s="267"/>
      <c r="AL20" s="267"/>
      <c r="AM20" s="267"/>
      <c r="AN20" s="267"/>
      <c r="AO20" s="267"/>
      <c r="AP20" s="267"/>
      <c r="AQ20" s="267"/>
      <c r="AR20" s="267"/>
      <c r="AS20" s="267"/>
      <c r="AT20" s="288"/>
      <c r="AU20" s="289"/>
      <c r="AV20" s="264"/>
      <c r="AW20" s="265">
        <f t="shared" si="6"/>
        <v>0</v>
      </c>
      <c r="AX20" s="266" t="e">
        <f t="shared" si="7"/>
        <v>#DIV/0!</v>
      </c>
      <c r="AY20" s="267"/>
      <c r="AZ20" s="267"/>
      <c r="BA20" s="267"/>
      <c r="BB20" s="267"/>
      <c r="BC20" s="267"/>
      <c r="BD20" s="267"/>
      <c r="BE20" s="267"/>
      <c r="BF20" s="267"/>
      <c r="BG20" s="267"/>
      <c r="BH20" s="267"/>
      <c r="BI20" s="267"/>
      <c r="BJ20" s="305">
        <f t="shared" ref="BJ20:BJ60" si="11">SUM(B20+Q20+AF20+AU20)</f>
        <v>0</v>
      </c>
      <c r="BK20" s="306"/>
      <c r="BL20" s="306">
        <f t="shared" ref="BL20:BL60" si="12">SUM(D20,S20,AH20,AW20)</f>
        <v>0</v>
      </c>
      <c r="BM20" s="314" t="e">
        <f t="shared" ref="BM20:BM60" si="13">(BL20/BJ20)</f>
        <v>#DIV/0!</v>
      </c>
    </row>
    <row r="21" spans="1:65">
      <c r="A21" s="194" t="str">
        <f>'IA-SI  TANKER'!B6</f>
        <v>Bagheera</v>
      </c>
      <c r="B21" s="195"/>
      <c r="C21" s="196"/>
      <c r="D21" s="197">
        <f t="shared" ref="D21" si="14">SUM(F21:P21)</f>
        <v>0</v>
      </c>
      <c r="E21" s="198" t="e">
        <f t="shared" ref="E21" si="15">(D21/B21)</f>
        <v>#DIV/0!</v>
      </c>
      <c r="F21" s="199"/>
      <c r="G21" s="199"/>
      <c r="H21" s="199"/>
      <c r="I21" s="199"/>
      <c r="J21" s="199"/>
      <c r="K21" s="199"/>
      <c r="L21" s="199"/>
      <c r="M21" s="199"/>
      <c r="N21" s="199"/>
      <c r="O21" s="199"/>
      <c r="P21" s="199"/>
      <c r="Q21" s="239">
        <v>1</v>
      </c>
      <c r="R21" s="240"/>
      <c r="S21" s="197">
        <f t="shared" ref="S21" si="16">SUM(U21:AE21)</f>
        <v>5</v>
      </c>
      <c r="T21" s="198">
        <f t="shared" ref="T21" si="17">(S21/Q21)</f>
        <v>5</v>
      </c>
      <c r="U21" s="199"/>
      <c r="V21" s="199"/>
      <c r="W21" s="199"/>
      <c r="X21" s="199">
        <v>5</v>
      </c>
      <c r="Y21" s="199"/>
      <c r="Z21" s="199"/>
      <c r="AA21" s="199"/>
      <c r="AB21" s="199"/>
      <c r="AC21" s="199"/>
      <c r="AD21" s="199"/>
      <c r="AE21" s="199"/>
      <c r="AF21" s="251"/>
      <c r="AG21" s="264"/>
      <c r="AH21" s="265">
        <f t="shared" ref="AH21" si="18">SUM(AJ21:AT21)</f>
        <v>0</v>
      </c>
      <c r="AI21" s="266" t="e">
        <f t="shared" ref="AI21" si="19">(AH21/AF21)</f>
        <v>#DIV/0!</v>
      </c>
      <c r="AJ21" s="267"/>
      <c r="AK21" s="267"/>
      <c r="AL21" s="267"/>
      <c r="AM21" s="267"/>
      <c r="AN21" s="267"/>
      <c r="AO21" s="267"/>
      <c r="AP21" s="267"/>
      <c r="AQ21" s="267"/>
      <c r="AR21" s="267"/>
      <c r="AS21" s="267"/>
      <c r="AT21" s="288"/>
      <c r="AU21" s="289"/>
      <c r="AV21" s="264"/>
      <c r="AW21" s="265">
        <f t="shared" ref="AW21" si="20">SUM(AY21:BI21)</f>
        <v>0</v>
      </c>
      <c r="AX21" s="266" t="e">
        <f t="shared" ref="AX21" si="21">(AW21/AU21)</f>
        <v>#DIV/0!</v>
      </c>
      <c r="AY21" s="267"/>
      <c r="AZ21" s="267"/>
      <c r="BA21" s="267"/>
      <c r="BB21" s="267"/>
      <c r="BC21" s="267"/>
      <c r="BD21" s="267"/>
      <c r="BE21" s="267"/>
      <c r="BF21" s="267"/>
      <c r="BG21" s="267"/>
      <c r="BH21" s="267"/>
      <c r="BI21" s="267"/>
      <c r="BJ21" s="305">
        <f t="shared" si="11"/>
        <v>1</v>
      </c>
      <c r="BK21" s="306"/>
      <c r="BL21" s="306">
        <f t="shared" si="12"/>
        <v>5</v>
      </c>
      <c r="BM21" s="314">
        <f t="shared" si="13"/>
        <v>5</v>
      </c>
    </row>
    <row r="22" spans="1:65">
      <c r="A22" s="194" t="str">
        <f>'IA-SI  TANKER'!B7</f>
        <v>Bantry Bay</v>
      </c>
      <c r="B22" s="195"/>
      <c r="C22" s="196"/>
      <c r="D22" s="197">
        <f t="shared" ref="D22" si="22">SUM(F22:P22)</f>
        <v>0</v>
      </c>
      <c r="E22" s="198" t="e">
        <f t="shared" ref="E22" si="23">(D22/B22)</f>
        <v>#DIV/0!</v>
      </c>
      <c r="F22" s="199"/>
      <c r="G22" s="199"/>
      <c r="H22" s="199"/>
      <c r="I22" s="199"/>
      <c r="J22" s="199"/>
      <c r="K22" s="199"/>
      <c r="L22" s="199"/>
      <c r="M22" s="199"/>
      <c r="N22" s="199"/>
      <c r="O22" s="199"/>
      <c r="P22" s="199"/>
      <c r="Q22" s="239"/>
      <c r="R22" s="240"/>
      <c r="S22" s="197">
        <f t="shared" ref="S22" si="24">SUM(U22:AE22)</f>
        <v>0</v>
      </c>
      <c r="T22" s="198" t="e">
        <f t="shared" ref="T22" si="25">(S22/Q22)</f>
        <v>#DIV/0!</v>
      </c>
      <c r="U22" s="199"/>
      <c r="V22" s="199"/>
      <c r="W22" s="199"/>
      <c r="X22" s="199"/>
      <c r="Y22" s="199"/>
      <c r="Z22" s="199"/>
      <c r="AA22" s="199"/>
      <c r="AB22" s="199"/>
      <c r="AC22" s="199"/>
      <c r="AD22" s="199"/>
      <c r="AE22" s="199"/>
      <c r="AF22" s="251">
        <v>1</v>
      </c>
      <c r="AG22" s="264"/>
      <c r="AH22" s="265">
        <f t="shared" ref="AH22" si="26">SUM(AJ22:AT22)</f>
        <v>6</v>
      </c>
      <c r="AI22" s="266">
        <f t="shared" ref="AI22" si="27">(AH22/AF22)</f>
        <v>6</v>
      </c>
      <c r="AJ22" s="267"/>
      <c r="AK22" s="267"/>
      <c r="AL22" s="267">
        <v>1</v>
      </c>
      <c r="AM22" s="267">
        <v>3</v>
      </c>
      <c r="AN22" s="267"/>
      <c r="AO22" s="267"/>
      <c r="AP22" s="267"/>
      <c r="AQ22" s="267"/>
      <c r="AR22" s="267">
        <v>1</v>
      </c>
      <c r="AS22" s="267">
        <v>1</v>
      </c>
      <c r="AT22" s="288"/>
      <c r="AU22" s="289"/>
      <c r="AV22" s="264"/>
      <c r="AW22" s="265">
        <f t="shared" ref="AW22" si="28">SUM(AY22:BI22)</f>
        <v>0</v>
      </c>
      <c r="AX22" s="266" t="e">
        <f t="shared" ref="AX22" si="29">(AW22/AU22)</f>
        <v>#DIV/0!</v>
      </c>
      <c r="AY22" s="267"/>
      <c r="AZ22" s="267"/>
      <c r="BA22" s="267"/>
      <c r="BB22" s="267"/>
      <c r="BC22" s="267"/>
      <c r="BD22" s="267"/>
      <c r="BE22" s="267"/>
      <c r="BF22" s="267"/>
      <c r="BG22" s="267"/>
      <c r="BH22" s="267"/>
      <c r="BI22" s="267"/>
      <c r="BJ22" s="305">
        <f t="shared" si="11"/>
        <v>1</v>
      </c>
      <c r="BK22" s="306"/>
      <c r="BL22" s="306">
        <f t="shared" si="12"/>
        <v>6</v>
      </c>
      <c r="BM22" s="314">
        <f t="shared" si="13"/>
        <v>6</v>
      </c>
    </row>
    <row r="23" spans="1:65">
      <c r="A23" s="194" t="str">
        <f>'IA-SI  TANKER'!B8</f>
        <v>Bright Future</v>
      </c>
      <c r="B23" s="195"/>
      <c r="C23" s="196"/>
      <c r="D23" s="197">
        <f t="shared" si="0"/>
        <v>0</v>
      </c>
      <c r="E23" s="198" t="e">
        <f t="shared" si="1"/>
        <v>#DIV/0!</v>
      </c>
      <c r="F23" s="199"/>
      <c r="G23" s="199"/>
      <c r="H23" s="199"/>
      <c r="I23" s="199"/>
      <c r="J23" s="199"/>
      <c r="K23" s="199"/>
      <c r="L23" s="199"/>
      <c r="M23" s="199"/>
      <c r="N23" s="199"/>
      <c r="O23" s="199"/>
      <c r="P23" s="199"/>
      <c r="Q23" s="239">
        <v>1</v>
      </c>
      <c r="R23" s="240"/>
      <c r="S23" s="197">
        <f t="shared" si="2"/>
        <v>5</v>
      </c>
      <c r="T23" s="198">
        <f t="shared" si="3"/>
        <v>5</v>
      </c>
      <c r="U23" s="199"/>
      <c r="V23" s="199"/>
      <c r="W23" s="199"/>
      <c r="X23" s="199">
        <v>3</v>
      </c>
      <c r="Y23" s="199"/>
      <c r="Z23" s="199"/>
      <c r="AA23" s="199"/>
      <c r="AB23" s="199"/>
      <c r="AC23" s="199">
        <v>2</v>
      </c>
      <c r="AD23" s="199"/>
      <c r="AE23" s="199"/>
      <c r="AF23" s="251"/>
      <c r="AG23" s="264"/>
      <c r="AH23" s="265">
        <f t="shared" si="4"/>
        <v>0</v>
      </c>
      <c r="AI23" s="266" t="e">
        <f t="shared" si="5"/>
        <v>#DIV/0!</v>
      </c>
      <c r="AJ23" s="267"/>
      <c r="AK23" s="267"/>
      <c r="AL23" s="267"/>
      <c r="AM23" s="267"/>
      <c r="AN23" s="267"/>
      <c r="AO23" s="267"/>
      <c r="AP23" s="267"/>
      <c r="AQ23" s="267"/>
      <c r="AR23" s="267"/>
      <c r="AS23" s="267"/>
      <c r="AT23" s="288"/>
      <c r="AU23" s="289"/>
      <c r="AV23" s="264"/>
      <c r="AW23" s="265">
        <f t="shared" si="6"/>
        <v>0</v>
      </c>
      <c r="AX23" s="266" t="e">
        <f t="shared" si="7"/>
        <v>#DIV/0!</v>
      </c>
      <c r="AY23" s="267"/>
      <c r="AZ23" s="267"/>
      <c r="BA23" s="267"/>
      <c r="BB23" s="267"/>
      <c r="BC23" s="267"/>
      <c r="BD23" s="267"/>
      <c r="BE23" s="267"/>
      <c r="BF23" s="267"/>
      <c r="BG23" s="267"/>
      <c r="BH23" s="267"/>
      <c r="BI23" s="267"/>
      <c r="BJ23" s="305">
        <f t="shared" si="11"/>
        <v>1</v>
      </c>
      <c r="BK23" s="306"/>
      <c r="BL23" s="306">
        <f t="shared" si="12"/>
        <v>5</v>
      </c>
      <c r="BM23" s="314">
        <f t="shared" si="13"/>
        <v>5</v>
      </c>
    </row>
    <row r="24" spans="1:65">
      <c r="A24" s="194" t="str">
        <f>'IA-SI  TANKER'!B9</f>
        <v>Cielo di Houston</v>
      </c>
      <c r="B24" s="195">
        <v>1</v>
      </c>
      <c r="C24" s="196"/>
      <c r="D24" s="197">
        <f t="shared" si="0"/>
        <v>2</v>
      </c>
      <c r="E24" s="198">
        <f t="shared" si="1"/>
        <v>2</v>
      </c>
      <c r="F24" s="199"/>
      <c r="G24" s="199"/>
      <c r="H24" s="199"/>
      <c r="I24" s="199">
        <v>1</v>
      </c>
      <c r="J24" s="199"/>
      <c r="K24" s="199"/>
      <c r="L24" s="199"/>
      <c r="M24" s="199">
        <v>1</v>
      </c>
      <c r="N24" s="199"/>
      <c r="O24" s="199"/>
      <c r="P24" s="199"/>
      <c r="Q24" s="239"/>
      <c r="R24" s="240"/>
      <c r="S24" s="197">
        <f t="shared" si="2"/>
        <v>0</v>
      </c>
      <c r="T24" s="198" t="e">
        <f t="shared" si="3"/>
        <v>#DIV/0!</v>
      </c>
      <c r="U24" s="199"/>
      <c r="V24" s="199"/>
      <c r="W24" s="199"/>
      <c r="X24" s="199"/>
      <c r="Y24" s="199"/>
      <c r="Z24" s="199"/>
      <c r="AA24" s="199"/>
      <c r="AB24" s="199"/>
      <c r="AC24" s="199"/>
      <c r="AD24" s="199"/>
      <c r="AE24" s="199"/>
      <c r="AF24" s="251"/>
      <c r="AG24" s="264"/>
      <c r="AH24" s="265">
        <f t="shared" si="4"/>
        <v>0</v>
      </c>
      <c r="AI24" s="266" t="e">
        <f t="shared" si="5"/>
        <v>#DIV/0!</v>
      </c>
      <c r="AJ24" s="267"/>
      <c r="AK24" s="267"/>
      <c r="AL24" s="267"/>
      <c r="AM24" s="267"/>
      <c r="AN24" s="267"/>
      <c r="AO24" s="267"/>
      <c r="AP24" s="267"/>
      <c r="AQ24" s="267"/>
      <c r="AR24" s="267"/>
      <c r="AS24" s="267"/>
      <c r="AT24" s="288"/>
      <c r="AU24" s="289">
        <v>1</v>
      </c>
      <c r="AV24" s="264"/>
      <c r="AW24" s="265">
        <f t="shared" si="6"/>
        <v>4</v>
      </c>
      <c r="AX24" s="266">
        <f t="shared" si="7"/>
        <v>4</v>
      </c>
      <c r="AY24" s="267"/>
      <c r="AZ24" s="267"/>
      <c r="BA24" s="267"/>
      <c r="BB24" s="267">
        <v>4</v>
      </c>
      <c r="BC24" s="267"/>
      <c r="BD24" s="267"/>
      <c r="BE24" s="267"/>
      <c r="BF24" s="267"/>
      <c r="BG24" s="267"/>
      <c r="BH24" s="267"/>
      <c r="BI24" s="267"/>
      <c r="BJ24" s="305">
        <f t="shared" si="11"/>
        <v>2</v>
      </c>
      <c r="BK24" s="306"/>
      <c r="BL24" s="306">
        <f t="shared" si="12"/>
        <v>6</v>
      </c>
      <c r="BM24" s="314">
        <f t="shared" si="13"/>
        <v>3</v>
      </c>
    </row>
    <row r="25" spans="1:65">
      <c r="A25" s="194" t="str">
        <f>'IA-SI  TANKER'!B10</f>
        <v>Cielo Rosso</v>
      </c>
      <c r="B25" s="195"/>
      <c r="C25" s="200"/>
      <c r="D25" s="197">
        <f t="shared" si="0"/>
        <v>0</v>
      </c>
      <c r="E25" s="198" t="e">
        <f t="shared" si="1"/>
        <v>#DIV/0!</v>
      </c>
      <c r="F25" s="199"/>
      <c r="G25" s="199"/>
      <c r="H25" s="199"/>
      <c r="I25" s="199"/>
      <c r="J25" s="199"/>
      <c r="K25" s="199"/>
      <c r="L25" s="199"/>
      <c r="M25" s="199"/>
      <c r="N25" s="199"/>
      <c r="O25" s="199"/>
      <c r="P25" s="199"/>
      <c r="Q25" s="239">
        <v>1</v>
      </c>
      <c r="R25" s="240"/>
      <c r="S25" s="197">
        <f t="shared" si="2"/>
        <v>2</v>
      </c>
      <c r="T25" s="198">
        <f t="shared" si="3"/>
        <v>2</v>
      </c>
      <c r="U25" s="199"/>
      <c r="V25" s="199"/>
      <c r="W25" s="199"/>
      <c r="X25" s="199">
        <v>2</v>
      </c>
      <c r="Y25" s="199"/>
      <c r="Z25" s="199"/>
      <c r="AA25" s="199"/>
      <c r="AB25" s="199"/>
      <c r="AC25" s="199"/>
      <c r="AD25" s="199"/>
      <c r="AE25" s="199"/>
      <c r="AF25" s="251"/>
      <c r="AG25" s="264"/>
      <c r="AH25" s="265">
        <f t="shared" si="4"/>
        <v>0</v>
      </c>
      <c r="AI25" s="266" t="e">
        <f t="shared" si="5"/>
        <v>#DIV/0!</v>
      </c>
      <c r="AJ25" s="267"/>
      <c r="AK25" s="267"/>
      <c r="AL25" s="267"/>
      <c r="AM25" s="267"/>
      <c r="AN25" s="267"/>
      <c r="AO25" s="267"/>
      <c r="AP25" s="267"/>
      <c r="AQ25" s="267"/>
      <c r="AR25" s="267"/>
      <c r="AS25" s="267"/>
      <c r="AT25" s="288"/>
      <c r="AU25" s="289">
        <v>1</v>
      </c>
      <c r="AV25" s="264"/>
      <c r="AW25" s="265">
        <f t="shared" si="6"/>
        <v>4</v>
      </c>
      <c r="AX25" s="266">
        <f t="shared" si="7"/>
        <v>4</v>
      </c>
      <c r="AY25" s="267"/>
      <c r="AZ25" s="267"/>
      <c r="BA25" s="267"/>
      <c r="BB25" s="267">
        <v>4</v>
      </c>
      <c r="BC25" s="267"/>
      <c r="BD25" s="267"/>
      <c r="BE25" s="267"/>
      <c r="BF25" s="267"/>
      <c r="BG25" s="267"/>
      <c r="BH25" s="267"/>
      <c r="BI25" s="267"/>
      <c r="BJ25" s="305">
        <f t="shared" si="11"/>
        <v>2</v>
      </c>
      <c r="BK25" s="306"/>
      <c r="BL25" s="306">
        <f t="shared" si="12"/>
        <v>6</v>
      </c>
      <c r="BM25" s="314">
        <f t="shared" si="13"/>
        <v>3</v>
      </c>
    </row>
    <row r="26" spans="1:65">
      <c r="A26" s="194" t="str">
        <f>'IA-SI  TANKER'!B11</f>
        <v>Clearocean Maria</v>
      </c>
      <c r="B26" s="195"/>
      <c r="C26" s="196"/>
      <c r="D26" s="197">
        <f t="shared" si="0"/>
        <v>0</v>
      </c>
      <c r="E26" s="198" t="e">
        <f t="shared" si="1"/>
        <v>#DIV/0!</v>
      </c>
      <c r="F26" s="199"/>
      <c r="G26" s="199"/>
      <c r="H26" s="199"/>
      <c r="I26" s="199"/>
      <c r="J26" s="199"/>
      <c r="K26" s="199"/>
      <c r="L26" s="199"/>
      <c r="M26" s="199"/>
      <c r="N26" s="199"/>
      <c r="O26" s="199"/>
      <c r="P26" s="199"/>
      <c r="Q26" s="239"/>
      <c r="R26" s="240"/>
      <c r="S26" s="197">
        <f t="shared" si="2"/>
        <v>0</v>
      </c>
      <c r="T26" s="198" t="e">
        <f t="shared" si="3"/>
        <v>#DIV/0!</v>
      </c>
      <c r="U26" s="199"/>
      <c r="V26" s="199"/>
      <c r="W26" s="199"/>
      <c r="X26" s="199"/>
      <c r="Y26" s="199"/>
      <c r="Z26" s="199"/>
      <c r="AA26" s="199"/>
      <c r="AB26" s="199"/>
      <c r="AC26" s="199"/>
      <c r="AD26" s="199"/>
      <c r="AE26" s="199"/>
      <c r="AF26" s="251">
        <v>1</v>
      </c>
      <c r="AG26" s="264"/>
      <c r="AH26" s="265">
        <f t="shared" si="4"/>
        <v>6</v>
      </c>
      <c r="AI26" s="266">
        <f t="shared" si="5"/>
        <v>6</v>
      </c>
      <c r="AJ26" s="267"/>
      <c r="AK26" s="267">
        <v>1</v>
      </c>
      <c r="AL26" s="267">
        <v>1</v>
      </c>
      <c r="AM26" s="267">
        <v>2</v>
      </c>
      <c r="AN26" s="267"/>
      <c r="AO26" s="267"/>
      <c r="AP26" s="267"/>
      <c r="AQ26" s="267"/>
      <c r="AR26" s="267">
        <v>2</v>
      </c>
      <c r="AS26" s="267"/>
      <c r="AT26" s="288"/>
      <c r="AU26" s="289"/>
      <c r="AV26" s="264"/>
      <c r="AW26" s="265">
        <f t="shared" si="6"/>
        <v>0</v>
      </c>
      <c r="AX26" s="266" t="e">
        <f t="shared" si="7"/>
        <v>#DIV/0!</v>
      </c>
      <c r="AY26" s="267"/>
      <c r="AZ26" s="267"/>
      <c r="BA26" s="267"/>
      <c r="BB26" s="267"/>
      <c r="BC26" s="267"/>
      <c r="BD26" s="267"/>
      <c r="BE26" s="267"/>
      <c r="BF26" s="267"/>
      <c r="BG26" s="267"/>
      <c r="BH26" s="267"/>
      <c r="BI26" s="267"/>
      <c r="BJ26" s="305">
        <f t="shared" si="11"/>
        <v>1</v>
      </c>
      <c r="BK26" s="306"/>
      <c r="BL26" s="306">
        <f t="shared" si="12"/>
        <v>6</v>
      </c>
      <c r="BM26" s="314">
        <f t="shared" si="13"/>
        <v>6</v>
      </c>
    </row>
    <row r="27" spans="1:65">
      <c r="A27" s="194" t="str">
        <f>'IA-SI  TANKER'!B12</f>
        <v>Clearocean Mary</v>
      </c>
      <c r="B27" s="195"/>
      <c r="C27" s="196"/>
      <c r="D27" s="197">
        <f t="shared" si="0"/>
        <v>0</v>
      </c>
      <c r="E27" s="198" t="e">
        <f t="shared" si="1"/>
        <v>#DIV/0!</v>
      </c>
      <c r="F27" s="199"/>
      <c r="G27" s="199"/>
      <c r="H27" s="199"/>
      <c r="I27" s="199"/>
      <c r="J27" s="199"/>
      <c r="K27" s="199"/>
      <c r="L27" s="199"/>
      <c r="M27" s="199"/>
      <c r="N27" s="199"/>
      <c r="O27" s="199"/>
      <c r="P27" s="199"/>
      <c r="Q27" s="239"/>
      <c r="R27" s="240"/>
      <c r="S27" s="197">
        <f t="shared" si="2"/>
        <v>0</v>
      </c>
      <c r="T27" s="198" t="e">
        <f t="shared" si="3"/>
        <v>#DIV/0!</v>
      </c>
      <c r="U27" s="199"/>
      <c r="V27" s="199"/>
      <c r="W27" s="199"/>
      <c r="X27" s="199"/>
      <c r="Y27" s="199"/>
      <c r="Z27" s="199"/>
      <c r="AA27" s="199"/>
      <c r="AB27" s="199"/>
      <c r="AC27" s="199"/>
      <c r="AD27" s="199"/>
      <c r="AE27" s="199"/>
      <c r="AF27" s="251"/>
      <c r="AG27" s="264"/>
      <c r="AH27" s="265">
        <f t="shared" si="4"/>
        <v>0</v>
      </c>
      <c r="AI27" s="266" t="e">
        <f t="shared" si="5"/>
        <v>#DIV/0!</v>
      </c>
      <c r="AJ27" s="267"/>
      <c r="AK27" s="267"/>
      <c r="AL27" s="267"/>
      <c r="AM27" s="267"/>
      <c r="AN27" s="267"/>
      <c r="AO27" s="267"/>
      <c r="AP27" s="267"/>
      <c r="AQ27" s="267"/>
      <c r="AR27" s="267"/>
      <c r="AS27" s="267"/>
      <c r="AT27" s="288"/>
      <c r="AU27" s="289">
        <v>1</v>
      </c>
      <c r="AV27" s="264"/>
      <c r="AW27" s="265">
        <f t="shared" si="6"/>
        <v>7</v>
      </c>
      <c r="AX27" s="266">
        <f t="shared" si="7"/>
        <v>7</v>
      </c>
      <c r="AY27" s="267"/>
      <c r="AZ27" s="267"/>
      <c r="BA27" s="267"/>
      <c r="BB27" s="267">
        <v>6</v>
      </c>
      <c r="BC27" s="267"/>
      <c r="BD27" s="267"/>
      <c r="BE27" s="267"/>
      <c r="BF27" s="267"/>
      <c r="BG27" s="267">
        <v>1</v>
      </c>
      <c r="BH27" s="267"/>
      <c r="BI27" s="267"/>
      <c r="BJ27" s="305">
        <f t="shared" si="11"/>
        <v>1</v>
      </c>
      <c r="BK27" s="306"/>
      <c r="BL27" s="306">
        <f t="shared" si="12"/>
        <v>7</v>
      </c>
      <c r="BM27" s="314">
        <f t="shared" si="13"/>
        <v>7</v>
      </c>
    </row>
    <row r="28" spans="1:65">
      <c r="A28" s="194" t="str">
        <f>'IA-SI  TANKER'!B13</f>
        <v>Clearocean Mathilde</v>
      </c>
      <c r="B28" s="195"/>
      <c r="C28" s="196"/>
      <c r="D28" s="197">
        <f t="shared" si="0"/>
        <v>0</v>
      </c>
      <c r="E28" s="198" t="e">
        <f t="shared" si="1"/>
        <v>#DIV/0!</v>
      </c>
      <c r="F28" s="199"/>
      <c r="G28" s="199"/>
      <c r="H28" s="199"/>
      <c r="I28" s="199"/>
      <c r="J28" s="199"/>
      <c r="K28" s="199"/>
      <c r="L28" s="199"/>
      <c r="M28" s="199"/>
      <c r="N28" s="199"/>
      <c r="O28" s="199"/>
      <c r="P28" s="199"/>
      <c r="Q28" s="239"/>
      <c r="R28" s="240"/>
      <c r="S28" s="197">
        <f t="shared" si="2"/>
        <v>0</v>
      </c>
      <c r="T28" s="198" t="e">
        <f t="shared" si="3"/>
        <v>#DIV/0!</v>
      </c>
      <c r="U28" s="199"/>
      <c r="V28" s="199"/>
      <c r="W28" s="199"/>
      <c r="X28" s="199"/>
      <c r="Y28" s="199"/>
      <c r="Z28" s="199"/>
      <c r="AA28" s="199"/>
      <c r="AB28" s="199"/>
      <c r="AC28" s="199"/>
      <c r="AD28" s="199"/>
      <c r="AE28" s="199"/>
      <c r="AF28" s="251">
        <v>1</v>
      </c>
      <c r="AG28" s="264"/>
      <c r="AH28" s="265">
        <f t="shared" si="4"/>
        <v>3</v>
      </c>
      <c r="AI28" s="266">
        <f t="shared" si="5"/>
        <v>3</v>
      </c>
      <c r="AJ28" s="267"/>
      <c r="AK28" s="267"/>
      <c r="AL28" s="267"/>
      <c r="AM28" s="267">
        <v>3</v>
      </c>
      <c r="AN28" s="267"/>
      <c r="AO28" s="267"/>
      <c r="AP28" s="267"/>
      <c r="AQ28" s="267"/>
      <c r="AR28" s="267"/>
      <c r="AS28" s="267"/>
      <c r="AT28" s="288"/>
      <c r="AU28" s="289"/>
      <c r="AV28" s="264"/>
      <c r="AW28" s="265">
        <f t="shared" si="6"/>
        <v>0</v>
      </c>
      <c r="AX28" s="266" t="e">
        <f t="shared" si="7"/>
        <v>#DIV/0!</v>
      </c>
      <c r="AY28" s="267"/>
      <c r="AZ28" s="267"/>
      <c r="BA28" s="267"/>
      <c r="BB28" s="267"/>
      <c r="BC28" s="267"/>
      <c r="BD28" s="267"/>
      <c r="BE28" s="267"/>
      <c r="BF28" s="267"/>
      <c r="BG28" s="267"/>
      <c r="BH28" s="267"/>
      <c r="BI28" s="267"/>
      <c r="BJ28" s="305">
        <f t="shared" si="11"/>
        <v>1</v>
      </c>
      <c r="BK28" s="306"/>
      <c r="BL28" s="306">
        <f t="shared" si="12"/>
        <v>3</v>
      </c>
      <c r="BM28" s="314">
        <f t="shared" si="13"/>
        <v>3</v>
      </c>
    </row>
    <row r="29" spans="1:65">
      <c r="A29" s="194" t="str">
        <f>'IA-SI  TANKER'!B14</f>
        <v>Clearocean Music</v>
      </c>
      <c r="B29" s="195"/>
      <c r="C29" s="196"/>
      <c r="D29" s="201">
        <f t="shared" si="0"/>
        <v>0</v>
      </c>
      <c r="E29" s="202" t="e">
        <f t="shared" si="1"/>
        <v>#DIV/0!</v>
      </c>
      <c r="F29" s="199"/>
      <c r="G29" s="199"/>
      <c r="H29" s="199"/>
      <c r="I29" s="199"/>
      <c r="J29" s="199"/>
      <c r="K29" s="199"/>
      <c r="L29" s="199"/>
      <c r="M29" s="199"/>
      <c r="N29" s="199"/>
      <c r="O29" s="199"/>
      <c r="P29" s="199"/>
      <c r="Q29" s="239"/>
      <c r="R29" s="241"/>
      <c r="S29" s="201">
        <f t="shared" si="2"/>
        <v>0</v>
      </c>
      <c r="T29" s="202" t="e">
        <f t="shared" si="3"/>
        <v>#DIV/0!</v>
      </c>
      <c r="U29" s="199"/>
      <c r="V29" s="199"/>
      <c r="W29" s="199"/>
      <c r="X29" s="199"/>
      <c r="Y29" s="199"/>
      <c r="Z29" s="199"/>
      <c r="AA29" s="199"/>
      <c r="AB29" s="199"/>
      <c r="AC29" s="199"/>
      <c r="AD29" s="199"/>
      <c r="AE29" s="199"/>
      <c r="AF29" s="251"/>
      <c r="AG29" s="268"/>
      <c r="AH29" s="269">
        <f t="shared" si="4"/>
        <v>0</v>
      </c>
      <c r="AI29" s="270" t="e">
        <f t="shared" si="5"/>
        <v>#DIV/0!</v>
      </c>
      <c r="AJ29" s="267"/>
      <c r="AK29" s="267"/>
      <c r="AL29" s="267"/>
      <c r="AM29" s="267"/>
      <c r="AN29" s="267"/>
      <c r="AO29" s="267"/>
      <c r="AP29" s="267"/>
      <c r="AQ29" s="267"/>
      <c r="AR29" s="267"/>
      <c r="AS29" s="267"/>
      <c r="AT29" s="288"/>
      <c r="AU29" s="289">
        <v>1</v>
      </c>
      <c r="AV29" s="268"/>
      <c r="AW29" s="269">
        <v>5</v>
      </c>
      <c r="AX29" s="270">
        <f t="shared" si="7"/>
        <v>5</v>
      </c>
      <c r="AY29" s="267"/>
      <c r="AZ29" s="267"/>
      <c r="BA29" s="267"/>
      <c r="BB29" s="267">
        <v>4</v>
      </c>
      <c r="BC29" s="267"/>
      <c r="BD29" s="267"/>
      <c r="BE29" s="267"/>
      <c r="BF29" s="267"/>
      <c r="BG29" s="267">
        <v>1</v>
      </c>
      <c r="BH29" s="267"/>
      <c r="BI29" s="267"/>
      <c r="BJ29" s="305">
        <f t="shared" si="11"/>
        <v>1</v>
      </c>
      <c r="BK29" s="306"/>
      <c r="BL29" s="306">
        <f t="shared" si="12"/>
        <v>5</v>
      </c>
      <c r="BM29" s="314">
        <f t="shared" si="13"/>
        <v>5</v>
      </c>
    </row>
    <row r="30" spans="1:65">
      <c r="A30" s="194" t="str">
        <f>'IA-SI  TANKER'!B15</f>
        <v>Rui Fu Xing (Glenda Melanie)</v>
      </c>
      <c r="B30" s="195"/>
      <c r="C30" s="200"/>
      <c r="D30" s="201">
        <f t="shared" si="0"/>
        <v>0</v>
      </c>
      <c r="E30" s="202" t="e">
        <f t="shared" si="1"/>
        <v>#DIV/0!</v>
      </c>
      <c r="F30" s="199"/>
      <c r="G30" s="199"/>
      <c r="H30" s="199"/>
      <c r="I30" s="199"/>
      <c r="J30" s="199"/>
      <c r="K30" s="199"/>
      <c r="L30" s="199"/>
      <c r="M30" s="199"/>
      <c r="N30" s="199"/>
      <c r="O30" s="199"/>
      <c r="P30" s="199"/>
      <c r="Q30" s="239">
        <v>1</v>
      </c>
      <c r="R30" s="241"/>
      <c r="S30" s="201">
        <f t="shared" si="2"/>
        <v>5</v>
      </c>
      <c r="T30" s="202">
        <f t="shared" si="3"/>
        <v>5</v>
      </c>
      <c r="U30" s="199"/>
      <c r="V30" s="199"/>
      <c r="W30" s="199"/>
      <c r="X30" s="199">
        <v>4</v>
      </c>
      <c r="Y30" s="199"/>
      <c r="Z30" s="199"/>
      <c r="AA30" s="199"/>
      <c r="AB30" s="199"/>
      <c r="AC30" s="199"/>
      <c r="AD30" s="199">
        <v>1</v>
      </c>
      <c r="AE30" s="199"/>
      <c r="AF30" s="251"/>
      <c r="AG30" s="268"/>
      <c r="AH30" s="269">
        <f t="shared" si="4"/>
        <v>0</v>
      </c>
      <c r="AI30" s="270" t="e">
        <f t="shared" si="5"/>
        <v>#DIV/0!</v>
      </c>
      <c r="AJ30" s="267"/>
      <c r="AK30" s="267"/>
      <c r="AL30" s="267"/>
      <c r="AM30" s="267"/>
      <c r="AN30" s="267"/>
      <c r="AO30" s="267"/>
      <c r="AP30" s="267"/>
      <c r="AQ30" s="267"/>
      <c r="AR30" s="267"/>
      <c r="AS30" s="267"/>
      <c r="AT30" s="288"/>
      <c r="AU30" s="289"/>
      <c r="AV30" s="268"/>
      <c r="AW30" s="269">
        <f t="shared" si="6"/>
        <v>0</v>
      </c>
      <c r="AX30" s="270" t="e">
        <f t="shared" si="7"/>
        <v>#DIV/0!</v>
      </c>
      <c r="AY30" s="267"/>
      <c r="AZ30" s="267"/>
      <c r="BA30" s="267"/>
      <c r="BB30" s="267"/>
      <c r="BC30" s="267"/>
      <c r="BD30" s="267"/>
      <c r="BE30" s="267"/>
      <c r="BF30" s="267"/>
      <c r="BG30" s="267"/>
      <c r="BH30" s="267"/>
      <c r="BI30" s="267"/>
      <c r="BJ30" s="305">
        <f t="shared" si="11"/>
        <v>1</v>
      </c>
      <c r="BK30" s="306"/>
      <c r="BL30" s="306">
        <f t="shared" si="12"/>
        <v>5</v>
      </c>
      <c r="BM30" s="314">
        <f t="shared" si="13"/>
        <v>5</v>
      </c>
    </row>
    <row r="31" spans="1:65">
      <c r="A31" s="194" t="str">
        <f>'IA-SI  TANKER'!B16</f>
        <v>Glenda Melissa</v>
      </c>
      <c r="B31" s="195">
        <v>1</v>
      </c>
      <c r="C31" s="200"/>
      <c r="D31" s="201">
        <f t="shared" si="0"/>
        <v>5</v>
      </c>
      <c r="E31" s="202">
        <f t="shared" si="1"/>
        <v>5</v>
      </c>
      <c r="F31" s="199"/>
      <c r="G31" s="199"/>
      <c r="H31" s="199"/>
      <c r="I31" s="199">
        <v>2</v>
      </c>
      <c r="J31" s="199"/>
      <c r="K31" s="199"/>
      <c r="L31" s="199">
        <v>2</v>
      </c>
      <c r="M31" s="199">
        <v>1</v>
      </c>
      <c r="N31" s="199"/>
      <c r="O31" s="199"/>
      <c r="P31" s="199"/>
      <c r="Q31" s="239"/>
      <c r="R31" s="241"/>
      <c r="S31" s="201">
        <f t="shared" si="2"/>
        <v>0</v>
      </c>
      <c r="T31" s="202" t="e">
        <f t="shared" si="3"/>
        <v>#DIV/0!</v>
      </c>
      <c r="U31" s="199"/>
      <c r="V31" s="199"/>
      <c r="W31" s="199"/>
      <c r="X31" s="199"/>
      <c r="Y31" s="199"/>
      <c r="Z31" s="199"/>
      <c r="AA31" s="199"/>
      <c r="AB31" s="199"/>
      <c r="AC31" s="199"/>
      <c r="AD31" s="199"/>
      <c r="AE31" s="199"/>
      <c r="AF31" s="251"/>
      <c r="AG31" s="268"/>
      <c r="AH31" s="269">
        <f t="shared" si="4"/>
        <v>0</v>
      </c>
      <c r="AI31" s="270" t="e">
        <f t="shared" si="5"/>
        <v>#DIV/0!</v>
      </c>
      <c r="AJ31" s="267"/>
      <c r="AK31" s="267"/>
      <c r="AL31" s="267"/>
      <c r="AM31" s="267"/>
      <c r="AN31" s="267"/>
      <c r="AO31" s="267"/>
      <c r="AP31" s="267"/>
      <c r="AQ31" s="267"/>
      <c r="AR31" s="267"/>
      <c r="AS31" s="267"/>
      <c r="AT31" s="288"/>
      <c r="AU31" s="289"/>
      <c r="AV31" s="268"/>
      <c r="AW31" s="269">
        <f t="shared" si="6"/>
        <v>0</v>
      </c>
      <c r="AX31" s="270" t="e">
        <f t="shared" si="7"/>
        <v>#DIV/0!</v>
      </c>
      <c r="AY31" s="267"/>
      <c r="AZ31" s="267"/>
      <c r="BA31" s="267"/>
      <c r="BB31" s="267"/>
      <c r="BC31" s="267"/>
      <c r="BD31" s="267"/>
      <c r="BE31" s="267"/>
      <c r="BF31" s="267"/>
      <c r="BG31" s="267"/>
      <c r="BH31" s="267"/>
      <c r="BI31" s="267"/>
      <c r="BJ31" s="305">
        <f t="shared" si="11"/>
        <v>1</v>
      </c>
      <c r="BK31" s="306"/>
      <c r="BL31" s="306">
        <f t="shared" si="12"/>
        <v>5</v>
      </c>
      <c r="BM31" s="314">
        <f t="shared" si="13"/>
        <v>5</v>
      </c>
    </row>
    <row r="32" spans="1:65">
      <c r="A32" s="194" t="str">
        <f>'IA-SI  TANKER'!B17</f>
        <v>Glenda Melody</v>
      </c>
      <c r="B32" s="195"/>
      <c r="C32" s="200"/>
      <c r="D32" s="201">
        <f t="shared" si="0"/>
        <v>0</v>
      </c>
      <c r="E32" s="202">
        <f>(D32/B31)</f>
        <v>0</v>
      </c>
      <c r="F32" s="199"/>
      <c r="G32" s="199"/>
      <c r="H32" s="199"/>
      <c r="I32" s="199"/>
      <c r="J32" s="199"/>
      <c r="K32" s="199"/>
      <c r="L32" s="199"/>
      <c r="M32" s="199"/>
      <c r="N32" s="199"/>
      <c r="O32" s="199"/>
      <c r="P32" s="199"/>
      <c r="Q32" s="239"/>
      <c r="R32" s="241"/>
      <c r="S32" s="201">
        <f t="shared" si="2"/>
        <v>0</v>
      </c>
      <c r="T32" s="202" t="e">
        <f t="shared" si="3"/>
        <v>#DIV/0!</v>
      </c>
      <c r="U32" s="199"/>
      <c r="V32" s="199"/>
      <c r="W32" s="199"/>
      <c r="X32" s="199"/>
      <c r="Y32" s="199"/>
      <c r="Z32" s="199"/>
      <c r="AA32" s="199"/>
      <c r="AB32" s="199"/>
      <c r="AC32" s="199"/>
      <c r="AD32" s="199"/>
      <c r="AE32" s="199"/>
      <c r="AF32" s="251"/>
      <c r="AG32" s="268"/>
      <c r="AH32" s="269">
        <f t="shared" si="4"/>
        <v>0</v>
      </c>
      <c r="AI32" s="270" t="e">
        <f t="shared" si="5"/>
        <v>#DIV/0!</v>
      </c>
      <c r="AJ32" s="267"/>
      <c r="AK32" s="267"/>
      <c r="AL32" s="267"/>
      <c r="AM32" s="267"/>
      <c r="AN32" s="267"/>
      <c r="AO32" s="267"/>
      <c r="AP32" s="267"/>
      <c r="AQ32" s="267"/>
      <c r="AR32" s="267"/>
      <c r="AS32" s="267"/>
      <c r="AT32" s="288"/>
      <c r="AU32" s="289"/>
      <c r="AV32" s="268"/>
      <c r="AW32" s="269">
        <f t="shared" si="6"/>
        <v>0</v>
      </c>
      <c r="AX32" s="270" t="e">
        <f t="shared" si="7"/>
        <v>#DIV/0!</v>
      </c>
      <c r="AY32" s="267"/>
      <c r="AZ32" s="267"/>
      <c r="BA32" s="267"/>
      <c r="BB32" s="267"/>
      <c r="BC32" s="267"/>
      <c r="BD32" s="267"/>
      <c r="BE32" s="267"/>
      <c r="BF32" s="267"/>
      <c r="BG32" s="267"/>
      <c r="BH32" s="267"/>
      <c r="BI32" s="267"/>
      <c r="BJ32" s="305">
        <f t="shared" si="11"/>
        <v>0</v>
      </c>
      <c r="BK32" s="306"/>
      <c r="BL32" s="306">
        <f t="shared" si="12"/>
        <v>0</v>
      </c>
      <c r="BM32" s="314" t="e">
        <f t="shared" si="13"/>
        <v>#DIV/0!</v>
      </c>
    </row>
    <row r="33" spans="1:65">
      <c r="A33" s="194" t="str">
        <f>'IA-SI  TANKER'!B18</f>
        <v>Glenda Meryl</v>
      </c>
      <c r="B33" s="195"/>
      <c r="C33" s="200"/>
      <c r="D33" s="201">
        <f t="shared" ref="D33:D35" si="30">SUM(F33:P33)</f>
        <v>0</v>
      </c>
      <c r="E33" s="202" t="e">
        <f t="shared" ref="E33:E35" si="31">(D33/B33)</f>
        <v>#DIV/0!</v>
      </c>
      <c r="F33" s="199"/>
      <c r="G33" s="199"/>
      <c r="H33" s="199"/>
      <c r="I33" s="199"/>
      <c r="J33" s="199"/>
      <c r="K33" s="199"/>
      <c r="L33" s="199"/>
      <c r="M33" s="199"/>
      <c r="N33" s="199"/>
      <c r="O33" s="199"/>
      <c r="P33" s="199"/>
      <c r="Q33" s="239"/>
      <c r="R33" s="241"/>
      <c r="S33" s="201">
        <f t="shared" ref="S33:S35" si="32">SUM(U33:AE33)</f>
        <v>0</v>
      </c>
      <c r="T33" s="202" t="e">
        <f t="shared" si="3"/>
        <v>#DIV/0!</v>
      </c>
      <c r="U33" s="199"/>
      <c r="V33" s="199"/>
      <c r="W33" s="199"/>
      <c r="X33" s="199"/>
      <c r="Y33" s="199"/>
      <c r="Z33" s="199"/>
      <c r="AA33" s="199"/>
      <c r="AB33" s="199"/>
      <c r="AC33" s="199"/>
      <c r="AD33" s="199"/>
      <c r="AE33" s="199"/>
      <c r="AF33" s="251"/>
      <c r="AG33" s="268"/>
      <c r="AH33" s="269">
        <f t="shared" ref="AH33:AH35" si="33">SUM(AJ33:AT33)</f>
        <v>0</v>
      </c>
      <c r="AI33" s="270" t="e">
        <f t="shared" ref="AI33:AI35" si="34">(AH33/AF33)</f>
        <v>#DIV/0!</v>
      </c>
      <c r="AJ33" s="267"/>
      <c r="AK33" s="267"/>
      <c r="AL33" s="267"/>
      <c r="AM33" s="267"/>
      <c r="AN33" s="267"/>
      <c r="AO33" s="267"/>
      <c r="AP33" s="267"/>
      <c r="AQ33" s="267"/>
      <c r="AR33" s="267"/>
      <c r="AS33" s="267"/>
      <c r="AT33" s="288"/>
      <c r="AU33" s="289">
        <v>1</v>
      </c>
      <c r="AV33" s="268"/>
      <c r="AW33" s="269">
        <f t="shared" ref="AW33:AW35" si="35">SUM(AY33:BI33)</f>
        <v>9</v>
      </c>
      <c r="AX33" s="270">
        <f t="shared" ref="AX33:AX35" si="36">(AW33/AU33)</f>
        <v>9</v>
      </c>
      <c r="AY33" s="267"/>
      <c r="AZ33" s="267"/>
      <c r="BA33" s="267"/>
      <c r="BB33" s="267">
        <v>4</v>
      </c>
      <c r="BC33" s="267">
        <v>1</v>
      </c>
      <c r="BD33" s="267">
        <v>1</v>
      </c>
      <c r="BE33" s="267">
        <v>1</v>
      </c>
      <c r="BF33" s="267"/>
      <c r="BG33" s="267">
        <v>1</v>
      </c>
      <c r="BH33" s="267">
        <v>1</v>
      </c>
      <c r="BI33" s="267"/>
      <c r="BJ33" s="305">
        <f t="shared" si="11"/>
        <v>1</v>
      </c>
      <c r="BK33" s="306"/>
      <c r="BL33" s="306">
        <f t="shared" si="12"/>
        <v>9</v>
      </c>
      <c r="BM33" s="314">
        <f t="shared" si="13"/>
        <v>9</v>
      </c>
    </row>
    <row r="34" spans="1:65">
      <c r="A34" s="194" t="str">
        <f>'IA-SI  TANKER'!B19</f>
        <v>Herolds Bay</v>
      </c>
      <c r="B34" s="195"/>
      <c r="C34" s="195"/>
      <c r="D34" s="201">
        <f t="shared" ref="D34" si="37">SUM(F34:P34)</f>
        <v>0</v>
      </c>
      <c r="E34" s="202" t="e">
        <f t="shared" ref="E34" si="38">(D34/B34)</f>
        <v>#DIV/0!</v>
      </c>
      <c r="F34" s="199"/>
      <c r="G34" s="199"/>
      <c r="H34" s="199"/>
      <c r="I34" s="199"/>
      <c r="J34" s="199"/>
      <c r="K34" s="199"/>
      <c r="L34" s="199"/>
      <c r="M34" s="199"/>
      <c r="N34" s="199"/>
      <c r="O34" s="199"/>
      <c r="P34" s="199"/>
      <c r="Q34" s="239"/>
      <c r="R34" s="241"/>
      <c r="S34" s="201">
        <f t="shared" ref="S34" si="39">SUM(U34:AE34)</f>
        <v>0</v>
      </c>
      <c r="T34" s="202" t="e">
        <f t="shared" ref="T34" si="40">(S34/Q34)</f>
        <v>#DIV/0!</v>
      </c>
      <c r="U34" s="199"/>
      <c r="V34" s="199"/>
      <c r="W34" s="199"/>
      <c r="X34" s="199"/>
      <c r="Y34" s="199"/>
      <c r="Z34" s="199"/>
      <c r="AA34" s="199"/>
      <c r="AB34" s="199"/>
      <c r="AC34" s="199"/>
      <c r="AD34" s="199"/>
      <c r="AE34" s="199"/>
      <c r="AF34" s="251"/>
      <c r="AG34" s="268"/>
      <c r="AH34" s="269">
        <f t="shared" ref="AH34" si="41">SUM(AJ34:AT34)</f>
        <v>0</v>
      </c>
      <c r="AI34" s="270" t="e">
        <f t="shared" ref="AI34" si="42">(AH34/AF34)</f>
        <v>#DIV/0!</v>
      </c>
      <c r="AJ34" s="267"/>
      <c r="AK34" s="267"/>
      <c r="AL34" s="267"/>
      <c r="AM34" s="267"/>
      <c r="AN34" s="267"/>
      <c r="AO34" s="267"/>
      <c r="AP34" s="267"/>
      <c r="AQ34" s="267"/>
      <c r="AR34" s="267"/>
      <c r="AS34" s="267"/>
      <c r="AT34" s="288"/>
      <c r="AU34" s="289">
        <v>1</v>
      </c>
      <c r="AV34" s="268"/>
      <c r="AW34" s="269">
        <f t="shared" ref="AW34" si="43">SUM(AY34:BI34)</f>
        <v>8</v>
      </c>
      <c r="AX34" s="270">
        <f t="shared" ref="AX34" si="44">(AW34/AU34)</f>
        <v>8</v>
      </c>
      <c r="AY34" s="267"/>
      <c r="AZ34" s="267"/>
      <c r="BA34" s="267"/>
      <c r="BB34" s="267">
        <v>3</v>
      </c>
      <c r="BC34" s="267"/>
      <c r="BD34" s="267"/>
      <c r="BE34" s="267"/>
      <c r="BF34" s="267"/>
      <c r="BG34" s="267">
        <v>4</v>
      </c>
      <c r="BH34" s="267">
        <v>1</v>
      </c>
      <c r="BI34" s="267"/>
      <c r="BJ34" s="305">
        <f t="shared" si="11"/>
        <v>1</v>
      </c>
      <c r="BK34" s="306"/>
      <c r="BL34" s="306">
        <f t="shared" si="12"/>
        <v>8</v>
      </c>
      <c r="BM34" s="314">
        <f t="shared" si="13"/>
        <v>8</v>
      </c>
    </row>
    <row r="35" spans="1:65">
      <c r="A35" s="194" t="str">
        <f>'IA-SI  TANKER'!B20</f>
        <v>High Explorer</v>
      </c>
      <c r="B35" s="195"/>
      <c r="C35" s="195"/>
      <c r="D35" s="201">
        <f t="shared" si="30"/>
        <v>0</v>
      </c>
      <c r="E35" s="202" t="e">
        <f t="shared" si="31"/>
        <v>#DIV/0!</v>
      </c>
      <c r="F35" s="199"/>
      <c r="G35" s="199"/>
      <c r="H35" s="199"/>
      <c r="I35" s="199"/>
      <c r="J35" s="199"/>
      <c r="K35" s="199"/>
      <c r="L35" s="199"/>
      <c r="M35" s="199"/>
      <c r="N35" s="199"/>
      <c r="O35" s="199"/>
      <c r="P35" s="199"/>
      <c r="Q35" s="239"/>
      <c r="R35" s="241"/>
      <c r="S35" s="201">
        <f t="shared" si="32"/>
        <v>0</v>
      </c>
      <c r="T35" s="202" t="e">
        <f t="shared" si="3"/>
        <v>#DIV/0!</v>
      </c>
      <c r="U35" s="199"/>
      <c r="V35" s="199"/>
      <c r="W35" s="199"/>
      <c r="X35" s="199"/>
      <c r="Y35" s="199"/>
      <c r="Z35" s="199"/>
      <c r="AA35" s="199"/>
      <c r="AB35" s="199"/>
      <c r="AC35" s="199"/>
      <c r="AD35" s="199"/>
      <c r="AE35" s="199"/>
      <c r="AF35" s="251">
        <v>1</v>
      </c>
      <c r="AG35" s="268"/>
      <c r="AH35" s="269">
        <f t="shared" si="33"/>
        <v>7</v>
      </c>
      <c r="AI35" s="270">
        <f t="shared" si="34"/>
        <v>7</v>
      </c>
      <c r="AJ35" s="267"/>
      <c r="AK35" s="267"/>
      <c r="AL35" s="267"/>
      <c r="AM35" s="267">
        <v>5</v>
      </c>
      <c r="AN35" s="267"/>
      <c r="AO35" s="267"/>
      <c r="AP35" s="267">
        <v>1</v>
      </c>
      <c r="AQ35" s="267"/>
      <c r="AR35" s="267"/>
      <c r="AS35" s="267">
        <v>1</v>
      </c>
      <c r="AT35" s="288"/>
      <c r="AU35" s="289"/>
      <c r="AV35" s="268"/>
      <c r="AW35" s="269">
        <f t="shared" si="35"/>
        <v>0</v>
      </c>
      <c r="AX35" s="270" t="e">
        <f t="shared" si="36"/>
        <v>#DIV/0!</v>
      </c>
      <c r="AY35" s="267"/>
      <c r="AZ35" s="267"/>
      <c r="BA35" s="267"/>
      <c r="BB35" s="267"/>
      <c r="BC35" s="267"/>
      <c r="BD35" s="267"/>
      <c r="BE35" s="267"/>
      <c r="BF35" s="267"/>
      <c r="BG35" s="267"/>
      <c r="BH35" s="267"/>
      <c r="BI35" s="267"/>
      <c r="BJ35" s="305">
        <f t="shared" si="11"/>
        <v>1</v>
      </c>
      <c r="BK35" s="306"/>
      <c r="BL35" s="306">
        <f t="shared" si="12"/>
        <v>7</v>
      </c>
      <c r="BM35" s="314">
        <f t="shared" si="13"/>
        <v>7</v>
      </c>
    </row>
    <row r="36" spans="1:65">
      <c r="A36" s="194" t="str">
        <f>'IA-SI  TANKER'!B21</f>
        <v>High Mariner</v>
      </c>
      <c r="B36" s="195"/>
      <c r="C36" s="195"/>
      <c r="D36" s="201">
        <f t="shared" ref="D36:D37" si="45">SUM(F36:P36)</f>
        <v>0</v>
      </c>
      <c r="E36" s="202" t="e">
        <f t="shared" ref="E36:E37" si="46">(D36/B36)</f>
        <v>#DIV/0!</v>
      </c>
      <c r="F36" s="199"/>
      <c r="G36" s="199"/>
      <c r="H36" s="199"/>
      <c r="I36" s="199"/>
      <c r="J36" s="199"/>
      <c r="K36" s="199"/>
      <c r="L36" s="199"/>
      <c r="M36" s="199"/>
      <c r="N36" s="199"/>
      <c r="O36" s="199"/>
      <c r="P36" s="199"/>
      <c r="Q36" s="239"/>
      <c r="R36" s="241"/>
      <c r="S36" s="201">
        <f t="shared" ref="S36:S37" si="47">SUM(U36:AE36)</f>
        <v>0</v>
      </c>
      <c r="T36" s="202" t="e">
        <f t="shared" ref="T36:T37" si="48">(S36/Q36)</f>
        <v>#DIV/0!</v>
      </c>
      <c r="U36" s="199"/>
      <c r="V36" s="199"/>
      <c r="W36" s="199"/>
      <c r="X36" s="199"/>
      <c r="Y36" s="199"/>
      <c r="Z36" s="199"/>
      <c r="AA36" s="199"/>
      <c r="AB36" s="199"/>
      <c r="AC36" s="199"/>
      <c r="AD36" s="199"/>
      <c r="AE36" s="199"/>
      <c r="AF36" s="251"/>
      <c r="AG36" s="268"/>
      <c r="AH36" s="269">
        <f t="shared" ref="AH36:AH37" si="49">SUM(AJ36:AT36)</f>
        <v>0</v>
      </c>
      <c r="AI36" s="270" t="e">
        <f t="shared" ref="AI36:AI37" si="50">(AH36/AF36)</f>
        <v>#DIV/0!</v>
      </c>
      <c r="AJ36" s="267"/>
      <c r="AK36" s="267"/>
      <c r="AL36" s="267"/>
      <c r="AM36" s="267"/>
      <c r="AN36" s="267"/>
      <c r="AO36" s="267"/>
      <c r="AP36" s="267"/>
      <c r="AQ36" s="267"/>
      <c r="AR36" s="267"/>
      <c r="AS36" s="267"/>
      <c r="AT36" s="288"/>
      <c r="AU36" s="289"/>
      <c r="AV36" s="268"/>
      <c r="AW36" s="269">
        <f t="shared" ref="AW36:AW37" si="51">SUM(AY36:BI36)</f>
        <v>0</v>
      </c>
      <c r="AX36" s="270" t="e">
        <f t="shared" ref="AX36:AX37" si="52">(AW36/AU36)</f>
        <v>#DIV/0!</v>
      </c>
      <c r="AY36" s="267"/>
      <c r="AZ36" s="267"/>
      <c r="BA36" s="267"/>
      <c r="BB36" s="267"/>
      <c r="BC36" s="267"/>
      <c r="BD36" s="267"/>
      <c r="BE36" s="267"/>
      <c r="BF36" s="267"/>
      <c r="BG36" s="267"/>
      <c r="BH36" s="267"/>
      <c r="BI36" s="267"/>
      <c r="BJ36" s="305">
        <f t="shared" si="11"/>
        <v>0</v>
      </c>
      <c r="BK36" s="306"/>
      <c r="BL36" s="306">
        <f t="shared" si="12"/>
        <v>0</v>
      </c>
      <c r="BM36" s="314" t="e">
        <f t="shared" si="13"/>
        <v>#DIV/0!</v>
      </c>
    </row>
    <row r="37" spans="1:65">
      <c r="A37" s="194" t="str">
        <f>'IA-SI  TANKER'!B22</f>
        <v>High Transporter</v>
      </c>
      <c r="B37" s="195"/>
      <c r="C37" s="195"/>
      <c r="D37" s="201">
        <f t="shared" si="45"/>
        <v>0</v>
      </c>
      <c r="E37" s="202" t="e">
        <f t="shared" si="46"/>
        <v>#DIV/0!</v>
      </c>
      <c r="F37" s="199"/>
      <c r="G37" s="199"/>
      <c r="H37" s="199"/>
      <c r="I37" s="199"/>
      <c r="J37" s="199"/>
      <c r="K37" s="199"/>
      <c r="L37" s="199"/>
      <c r="M37" s="199"/>
      <c r="N37" s="199"/>
      <c r="O37" s="199"/>
      <c r="P37" s="199"/>
      <c r="Q37" s="239"/>
      <c r="R37" s="241"/>
      <c r="S37" s="201">
        <f t="shared" si="47"/>
        <v>0</v>
      </c>
      <c r="T37" s="202" t="e">
        <f t="shared" si="48"/>
        <v>#DIV/0!</v>
      </c>
      <c r="U37" s="199"/>
      <c r="V37" s="199"/>
      <c r="W37" s="199"/>
      <c r="X37" s="199"/>
      <c r="Y37" s="199"/>
      <c r="Z37" s="199"/>
      <c r="AA37" s="199"/>
      <c r="AB37" s="199"/>
      <c r="AC37" s="199"/>
      <c r="AD37" s="199"/>
      <c r="AE37" s="199"/>
      <c r="AF37" s="251"/>
      <c r="AG37" s="268"/>
      <c r="AH37" s="269">
        <f t="shared" si="49"/>
        <v>0</v>
      </c>
      <c r="AI37" s="270" t="e">
        <f t="shared" si="50"/>
        <v>#DIV/0!</v>
      </c>
      <c r="AJ37" s="267"/>
      <c r="AK37" s="267"/>
      <c r="AL37" s="267"/>
      <c r="AM37" s="267"/>
      <c r="AN37" s="267"/>
      <c r="AO37" s="267"/>
      <c r="AP37" s="267"/>
      <c r="AQ37" s="267"/>
      <c r="AR37" s="267"/>
      <c r="AS37" s="267"/>
      <c r="AT37" s="288"/>
      <c r="AU37" s="289">
        <v>1</v>
      </c>
      <c r="AV37" s="268"/>
      <c r="AW37" s="269">
        <f t="shared" si="51"/>
        <v>6</v>
      </c>
      <c r="AX37" s="270">
        <f t="shared" si="52"/>
        <v>6</v>
      </c>
      <c r="AY37" s="267"/>
      <c r="AZ37" s="267"/>
      <c r="BA37" s="267"/>
      <c r="BB37" s="267">
        <v>2</v>
      </c>
      <c r="BC37" s="267"/>
      <c r="BD37" s="267">
        <v>1</v>
      </c>
      <c r="BE37" s="267">
        <v>1</v>
      </c>
      <c r="BF37" s="267"/>
      <c r="BG37" s="267">
        <v>1</v>
      </c>
      <c r="BH37" s="267">
        <v>1</v>
      </c>
      <c r="BI37" s="267"/>
      <c r="BJ37" s="305">
        <f t="shared" si="11"/>
        <v>1</v>
      </c>
      <c r="BK37" s="306"/>
      <c r="BL37" s="306">
        <f t="shared" si="12"/>
        <v>6</v>
      </c>
      <c r="BM37" s="314">
        <f t="shared" si="13"/>
        <v>6</v>
      </c>
    </row>
    <row r="38" spans="1:65">
      <c r="A38" s="194" t="str">
        <f>'IA-SI  TANKER'!B$23</f>
        <v>Kalk Bay</v>
      </c>
      <c r="B38" s="195"/>
      <c r="C38" s="195"/>
      <c r="D38" s="201">
        <f t="shared" ref="D38:D39" si="53">SUM(F38:P38)</f>
        <v>0</v>
      </c>
      <c r="E38" s="202" t="e">
        <f t="shared" ref="E38:E39" si="54">(D38/B38)</f>
        <v>#DIV/0!</v>
      </c>
      <c r="F38" s="199"/>
      <c r="G38" s="199"/>
      <c r="H38" s="199"/>
      <c r="I38" s="199"/>
      <c r="J38" s="199"/>
      <c r="K38" s="199"/>
      <c r="L38" s="199"/>
      <c r="M38" s="199"/>
      <c r="N38" s="199"/>
      <c r="O38" s="199"/>
      <c r="P38" s="199"/>
      <c r="Q38" s="239">
        <v>1</v>
      </c>
      <c r="R38" s="241"/>
      <c r="S38" s="201">
        <f t="shared" ref="S38:S39" si="55">SUM(U38:AE38)</f>
        <v>5</v>
      </c>
      <c r="T38" s="202">
        <f t="shared" ref="T38:T39" si="56">(S38/Q38)</f>
        <v>5</v>
      </c>
      <c r="U38" s="199"/>
      <c r="V38" s="199"/>
      <c r="W38" s="199"/>
      <c r="X38" s="199">
        <v>5</v>
      </c>
      <c r="Y38" s="199"/>
      <c r="Z38" s="199"/>
      <c r="AA38" s="199"/>
      <c r="AB38" s="199"/>
      <c r="AC38" s="199"/>
      <c r="AD38" s="199"/>
      <c r="AE38" s="199"/>
      <c r="AF38" s="251"/>
      <c r="AG38" s="268"/>
      <c r="AH38" s="269">
        <f t="shared" ref="AH38:AH39" si="57">SUM(AJ38:AT38)</f>
        <v>0</v>
      </c>
      <c r="AI38" s="270" t="e">
        <f t="shared" ref="AI38:AI39" si="58">(AH38/AF38)</f>
        <v>#DIV/0!</v>
      </c>
      <c r="AJ38" s="267"/>
      <c r="AK38" s="267"/>
      <c r="AL38" s="267"/>
      <c r="AM38" s="267"/>
      <c r="AN38" s="267"/>
      <c r="AO38" s="267"/>
      <c r="AP38" s="267"/>
      <c r="AQ38" s="267"/>
      <c r="AR38" s="267"/>
      <c r="AS38" s="267"/>
      <c r="AT38" s="288"/>
      <c r="AU38" s="289"/>
      <c r="AV38" s="268"/>
      <c r="AW38" s="269">
        <f t="shared" ref="AW38:AW40" si="59">SUM(AY38:BI38)</f>
        <v>0</v>
      </c>
      <c r="AX38" s="270" t="e">
        <f t="shared" ref="AX38:AX40" si="60">(AW38/AU38)</f>
        <v>#DIV/0!</v>
      </c>
      <c r="AY38" s="267"/>
      <c r="AZ38" s="267"/>
      <c r="BA38" s="267"/>
      <c r="BB38" s="267"/>
      <c r="BC38" s="267"/>
      <c r="BD38" s="267"/>
      <c r="BE38" s="267"/>
      <c r="BF38" s="267"/>
      <c r="BG38" s="267"/>
      <c r="BH38" s="267"/>
      <c r="BI38" s="267"/>
      <c r="BJ38" s="305">
        <f t="shared" si="11"/>
        <v>1</v>
      </c>
      <c r="BK38" s="306"/>
      <c r="BL38" s="306">
        <f t="shared" si="12"/>
        <v>5</v>
      </c>
      <c r="BM38" s="314">
        <f t="shared" si="13"/>
        <v>5</v>
      </c>
    </row>
    <row r="39" spans="1:66">
      <c r="A39" s="194" t="str">
        <f>'IA-SI  TANKER'!B$24</f>
        <v>Mossel Bay</v>
      </c>
      <c r="B39" s="195">
        <v>1</v>
      </c>
      <c r="C39" s="195"/>
      <c r="D39" s="201">
        <f t="shared" si="53"/>
        <v>5</v>
      </c>
      <c r="E39" s="202">
        <f t="shared" si="54"/>
        <v>5</v>
      </c>
      <c r="F39" s="199"/>
      <c r="G39" s="199"/>
      <c r="H39" s="199"/>
      <c r="I39" s="199">
        <v>4</v>
      </c>
      <c r="J39" s="199"/>
      <c r="K39" s="199"/>
      <c r="L39" s="199"/>
      <c r="M39" s="199"/>
      <c r="N39" s="199">
        <v>1</v>
      </c>
      <c r="O39" s="199"/>
      <c r="P39" s="199"/>
      <c r="Q39" s="239"/>
      <c r="R39" s="241"/>
      <c r="S39" s="201">
        <f t="shared" si="55"/>
        <v>0</v>
      </c>
      <c r="T39" s="202" t="e">
        <f t="shared" si="56"/>
        <v>#DIV/0!</v>
      </c>
      <c r="U39" s="199"/>
      <c r="V39" s="199"/>
      <c r="W39" s="199"/>
      <c r="X39" s="199"/>
      <c r="Y39" s="199"/>
      <c r="Z39" s="199"/>
      <c r="AA39" s="199"/>
      <c r="AB39" s="199"/>
      <c r="AC39" s="199"/>
      <c r="AD39" s="199"/>
      <c r="AE39" s="199"/>
      <c r="AF39" s="251"/>
      <c r="AG39" s="268"/>
      <c r="AH39" s="269">
        <f t="shared" si="57"/>
        <v>0</v>
      </c>
      <c r="AI39" s="270" t="e">
        <f t="shared" si="58"/>
        <v>#DIV/0!</v>
      </c>
      <c r="AJ39" s="267"/>
      <c r="AK39" s="267"/>
      <c r="AL39" s="267"/>
      <c r="AM39" s="267"/>
      <c r="AN39" s="267"/>
      <c r="AO39" s="267"/>
      <c r="AP39" s="267"/>
      <c r="AQ39" s="267"/>
      <c r="AR39" s="267"/>
      <c r="AS39" s="267"/>
      <c r="AT39" s="288"/>
      <c r="AU39" s="289">
        <v>1</v>
      </c>
      <c r="AV39" s="268"/>
      <c r="AW39" s="269">
        <f t="shared" si="59"/>
        <v>6</v>
      </c>
      <c r="AX39" s="270">
        <f t="shared" si="60"/>
        <v>6</v>
      </c>
      <c r="AY39" s="267"/>
      <c r="AZ39" s="267"/>
      <c r="BA39" s="267"/>
      <c r="BB39" s="267">
        <v>4</v>
      </c>
      <c r="BC39" s="267"/>
      <c r="BD39" s="267"/>
      <c r="BE39" s="267"/>
      <c r="BF39" s="267"/>
      <c r="BG39" s="267"/>
      <c r="BH39" s="267">
        <v>2</v>
      </c>
      <c r="BI39" s="267"/>
      <c r="BJ39" s="305">
        <f t="shared" si="11"/>
        <v>2</v>
      </c>
      <c r="BK39" s="306"/>
      <c r="BL39" s="306">
        <f t="shared" si="12"/>
        <v>11</v>
      </c>
      <c r="BM39" s="314">
        <f t="shared" si="13"/>
        <v>5.5</v>
      </c>
      <c r="BN39" s="315"/>
    </row>
    <row r="40" spans="1:65">
      <c r="A40" s="194" t="str">
        <f>'IA-SI  TANKER'!B25</f>
        <v>Philotimos</v>
      </c>
      <c r="B40" s="195"/>
      <c r="C40" s="195"/>
      <c r="D40" s="201">
        <f t="shared" ref="D40" si="61">SUM(F40:P40)</f>
        <v>0</v>
      </c>
      <c r="E40" s="202" t="e">
        <f t="shared" ref="E40" si="62">(D40/B40)</f>
        <v>#DIV/0!</v>
      </c>
      <c r="F40" s="199"/>
      <c r="G40" s="199"/>
      <c r="H40" s="199"/>
      <c r="I40" s="199"/>
      <c r="J40" s="199"/>
      <c r="K40" s="199"/>
      <c r="L40" s="199"/>
      <c r="M40" s="199"/>
      <c r="N40" s="199"/>
      <c r="O40" s="199"/>
      <c r="P40" s="199"/>
      <c r="Q40" s="239"/>
      <c r="R40" s="241"/>
      <c r="S40" s="201">
        <f t="shared" ref="S40" si="63">SUM(U40:AE40)</f>
        <v>0</v>
      </c>
      <c r="T40" s="202" t="e">
        <f t="shared" ref="T40" si="64">(S40/Q40)</f>
        <v>#DIV/0!</v>
      </c>
      <c r="U40" s="199"/>
      <c r="V40" s="199"/>
      <c r="W40" s="199"/>
      <c r="X40" s="199"/>
      <c r="Y40" s="199"/>
      <c r="Z40" s="199"/>
      <c r="AA40" s="199"/>
      <c r="AB40" s="199"/>
      <c r="AC40" s="199"/>
      <c r="AD40" s="199"/>
      <c r="AE40" s="199"/>
      <c r="AF40" s="251">
        <v>1</v>
      </c>
      <c r="AG40" s="268"/>
      <c r="AH40" s="269">
        <f t="shared" ref="AH40" si="65">SUM(AJ40:AT40)</f>
        <v>6</v>
      </c>
      <c r="AI40" s="270">
        <f t="shared" ref="AI40" si="66">(AH40/AF40)</f>
        <v>6</v>
      </c>
      <c r="AJ40" s="267"/>
      <c r="AK40" s="267"/>
      <c r="AL40" s="267"/>
      <c r="AM40" s="267">
        <v>4</v>
      </c>
      <c r="AN40" s="267">
        <v>1</v>
      </c>
      <c r="AO40" s="267"/>
      <c r="AP40" s="267"/>
      <c r="AQ40" s="267"/>
      <c r="AR40" s="267">
        <v>1</v>
      </c>
      <c r="AS40" s="267"/>
      <c r="AT40" s="288"/>
      <c r="AU40" s="289"/>
      <c r="AV40" s="268"/>
      <c r="AW40" s="269">
        <f t="shared" si="59"/>
        <v>0</v>
      </c>
      <c r="AX40" s="270" t="e">
        <f t="shared" si="60"/>
        <v>#DIV/0!</v>
      </c>
      <c r="AY40" s="267"/>
      <c r="AZ40" s="267"/>
      <c r="BA40" s="267"/>
      <c r="BB40" s="267"/>
      <c r="BC40" s="267"/>
      <c r="BD40" s="267"/>
      <c r="BE40" s="267"/>
      <c r="BF40" s="267"/>
      <c r="BG40" s="267"/>
      <c r="BH40" s="267"/>
      <c r="BI40" s="267"/>
      <c r="BJ40" s="305">
        <f t="shared" si="11"/>
        <v>1</v>
      </c>
      <c r="BK40" s="306"/>
      <c r="BL40" s="306">
        <f t="shared" si="12"/>
        <v>6</v>
      </c>
      <c r="BM40" s="314">
        <f t="shared" si="13"/>
        <v>6</v>
      </c>
    </row>
    <row r="41" spans="1:65">
      <c r="A41" s="194" t="str">
        <f>'IA-SI  TANKER'!B26</f>
        <v>Philoxenia</v>
      </c>
      <c r="B41" s="195">
        <v>1</v>
      </c>
      <c r="C41" s="200"/>
      <c r="D41" s="201">
        <f t="shared" ref="D41:D43" si="67">SUM(F41:P41)</f>
        <v>4</v>
      </c>
      <c r="E41" s="202">
        <f t="shared" ref="E41:E43" si="68">(D41/B41)</f>
        <v>4</v>
      </c>
      <c r="F41" s="199"/>
      <c r="G41" s="199"/>
      <c r="H41" s="199"/>
      <c r="I41" s="199">
        <v>3</v>
      </c>
      <c r="J41" s="199"/>
      <c r="K41" s="199"/>
      <c r="L41" s="199"/>
      <c r="M41" s="199"/>
      <c r="N41" s="199">
        <v>1</v>
      </c>
      <c r="O41" s="199"/>
      <c r="P41" s="199"/>
      <c r="Q41" s="239"/>
      <c r="R41" s="241"/>
      <c r="S41" s="201">
        <f t="shared" ref="S41:S43" si="69">SUM(U41:AE41)</f>
        <v>0</v>
      </c>
      <c r="T41" s="202" t="e">
        <f t="shared" ref="T41:T43" si="70">(S41/Q41)</f>
        <v>#DIV/0!</v>
      </c>
      <c r="U41" s="199"/>
      <c r="V41" s="199"/>
      <c r="W41" s="199"/>
      <c r="X41" s="199"/>
      <c r="Y41" s="199"/>
      <c r="Z41" s="199"/>
      <c r="AA41" s="199"/>
      <c r="AB41" s="199"/>
      <c r="AC41" s="199"/>
      <c r="AD41" s="199"/>
      <c r="AE41" s="199"/>
      <c r="AF41" s="251"/>
      <c r="AG41" s="268"/>
      <c r="AH41" s="269">
        <f t="shared" ref="AH41:AH43" si="71">SUM(AJ41:AT41)</f>
        <v>0</v>
      </c>
      <c r="AI41" s="270" t="e">
        <f t="shared" ref="AI41:AI43" si="72">(AH41/AF41)</f>
        <v>#DIV/0!</v>
      </c>
      <c r="AJ41" s="267"/>
      <c r="AK41" s="267"/>
      <c r="AL41" s="267"/>
      <c r="AM41" s="267"/>
      <c r="AN41" s="267"/>
      <c r="AO41" s="267"/>
      <c r="AP41" s="267"/>
      <c r="AQ41" s="267"/>
      <c r="AR41" s="267"/>
      <c r="AS41" s="267"/>
      <c r="AT41" s="288"/>
      <c r="AU41" s="289">
        <v>1</v>
      </c>
      <c r="AV41" s="268"/>
      <c r="AW41" s="269">
        <f t="shared" ref="AW41:AW46" si="73">SUM(AY41:BI41)</f>
        <v>4</v>
      </c>
      <c r="AX41" s="270">
        <f t="shared" ref="AX41:AX46" si="74">(AW41/AU41)</f>
        <v>4</v>
      </c>
      <c r="AY41" s="267"/>
      <c r="AZ41" s="267">
        <v>1</v>
      </c>
      <c r="BA41" s="267"/>
      <c r="BB41" s="267">
        <v>3</v>
      </c>
      <c r="BC41" s="267"/>
      <c r="BD41" s="267"/>
      <c r="BE41" s="267"/>
      <c r="BF41" s="267"/>
      <c r="BG41" s="267"/>
      <c r="BH41" s="267"/>
      <c r="BI41" s="267"/>
      <c r="BJ41" s="305">
        <f t="shared" si="11"/>
        <v>2</v>
      </c>
      <c r="BK41" s="306"/>
      <c r="BL41" s="306">
        <f t="shared" si="12"/>
        <v>8</v>
      </c>
      <c r="BM41" s="314">
        <f t="shared" si="13"/>
        <v>4</v>
      </c>
    </row>
    <row r="42" spans="1:65">
      <c r="A42" s="194" t="str">
        <f>'IA-SI  TANKER'!B27</f>
        <v>PNX Conqueror</v>
      </c>
      <c r="B42" s="203">
        <v>1</v>
      </c>
      <c r="C42" s="203"/>
      <c r="D42" s="201">
        <f t="shared" ref="D42" si="75">SUM(F42:P42)</f>
        <v>5</v>
      </c>
      <c r="E42" s="202">
        <f t="shared" ref="E42" si="76">(D42/B42)</f>
        <v>5</v>
      </c>
      <c r="F42" s="204"/>
      <c r="G42" s="204"/>
      <c r="H42" s="204"/>
      <c r="I42" s="204">
        <v>1</v>
      </c>
      <c r="J42" s="204"/>
      <c r="K42" s="204"/>
      <c r="L42" s="204">
        <v>1</v>
      </c>
      <c r="M42" s="204">
        <v>2</v>
      </c>
      <c r="N42" s="204"/>
      <c r="O42" s="204">
        <v>1</v>
      </c>
      <c r="P42" s="204"/>
      <c r="Q42" s="242"/>
      <c r="R42" s="240"/>
      <c r="S42" s="201">
        <f t="shared" ref="S42" si="77">SUM(U42:AE42)</f>
        <v>0</v>
      </c>
      <c r="T42" s="202" t="e">
        <f t="shared" ref="T42" si="78">(S42/Q42)</f>
        <v>#DIV/0!</v>
      </c>
      <c r="U42" s="204"/>
      <c r="V42" s="204"/>
      <c r="W42" s="204"/>
      <c r="X42" s="204"/>
      <c r="Y42" s="204"/>
      <c r="Z42" s="204"/>
      <c r="AA42" s="204"/>
      <c r="AB42" s="204"/>
      <c r="AC42" s="204"/>
      <c r="AD42" s="204"/>
      <c r="AE42" s="204"/>
      <c r="AF42" s="251"/>
      <c r="AG42" s="264"/>
      <c r="AH42" s="269">
        <f t="shared" ref="AH42" si="79">SUM(AJ42:AT42)</f>
        <v>0</v>
      </c>
      <c r="AI42" s="270" t="e">
        <f t="shared" ref="AI42" si="80">(AH42/AF42)</f>
        <v>#DIV/0!</v>
      </c>
      <c r="AJ42" s="271"/>
      <c r="AK42" s="271"/>
      <c r="AL42" s="271"/>
      <c r="AM42" s="271"/>
      <c r="AN42" s="271"/>
      <c r="AO42" s="271"/>
      <c r="AP42" s="271"/>
      <c r="AQ42" s="271"/>
      <c r="AR42" s="271"/>
      <c r="AS42" s="271"/>
      <c r="AT42" s="290"/>
      <c r="AU42" s="291"/>
      <c r="AV42" s="264"/>
      <c r="AW42" s="269">
        <f t="shared" ref="AW42" si="81">SUM(AY42:BI42)</f>
        <v>0</v>
      </c>
      <c r="AX42" s="270" t="e">
        <f t="shared" ref="AX42" si="82">(AW42/AU42)</f>
        <v>#DIV/0!</v>
      </c>
      <c r="AY42" s="271"/>
      <c r="AZ42" s="271"/>
      <c r="BA42" s="271"/>
      <c r="BB42" s="271"/>
      <c r="BC42" s="271"/>
      <c r="BD42" s="271"/>
      <c r="BE42" s="271"/>
      <c r="BF42" s="271"/>
      <c r="BG42" s="271"/>
      <c r="BH42" s="271"/>
      <c r="BI42" s="271"/>
      <c r="BJ42" s="305">
        <f t="shared" si="11"/>
        <v>1</v>
      </c>
      <c r="BK42" s="306"/>
      <c r="BL42" s="306">
        <f t="shared" si="12"/>
        <v>5</v>
      </c>
      <c r="BM42" s="314">
        <f t="shared" si="13"/>
        <v>5</v>
      </c>
    </row>
    <row r="43" spans="1:65">
      <c r="A43" s="194" t="str">
        <f>'IA-SI  TANKER'!B28</f>
        <v>PS Tokyo (Gone)</v>
      </c>
      <c r="B43" s="203">
        <v>1</v>
      </c>
      <c r="C43" s="203"/>
      <c r="D43" s="197">
        <f t="shared" si="67"/>
        <v>3</v>
      </c>
      <c r="E43" s="198">
        <f t="shared" si="68"/>
        <v>3</v>
      </c>
      <c r="F43" s="204"/>
      <c r="G43" s="204"/>
      <c r="H43" s="204"/>
      <c r="I43" s="204">
        <v>3</v>
      </c>
      <c r="J43" s="204"/>
      <c r="K43" s="204"/>
      <c r="L43" s="204"/>
      <c r="M43" s="204"/>
      <c r="N43" s="204"/>
      <c r="O43" s="204"/>
      <c r="P43" s="204"/>
      <c r="Q43" s="243"/>
      <c r="R43" s="244"/>
      <c r="S43" s="197">
        <f t="shared" si="69"/>
        <v>0</v>
      </c>
      <c r="T43" s="198" t="e">
        <f t="shared" si="70"/>
        <v>#DIV/0!</v>
      </c>
      <c r="U43" s="204"/>
      <c r="V43" s="204"/>
      <c r="W43" s="204"/>
      <c r="X43" s="204"/>
      <c r="Y43" s="204"/>
      <c r="Z43" s="204"/>
      <c r="AA43" s="204"/>
      <c r="AB43" s="204"/>
      <c r="AC43" s="204"/>
      <c r="AD43" s="204"/>
      <c r="AE43" s="204"/>
      <c r="AF43" s="251"/>
      <c r="AG43" s="264"/>
      <c r="AH43" s="265">
        <f t="shared" si="71"/>
        <v>0</v>
      </c>
      <c r="AI43" s="266" t="e">
        <f t="shared" si="72"/>
        <v>#DIV/0!</v>
      </c>
      <c r="AJ43" s="271"/>
      <c r="AK43" s="271"/>
      <c r="AL43" s="271"/>
      <c r="AM43" s="271"/>
      <c r="AN43" s="271"/>
      <c r="AO43" s="271"/>
      <c r="AP43" s="271"/>
      <c r="AQ43" s="271"/>
      <c r="AR43" s="271"/>
      <c r="AS43" s="271"/>
      <c r="AT43" s="290"/>
      <c r="AU43" s="291"/>
      <c r="AV43" s="264"/>
      <c r="AW43" s="265">
        <f t="shared" si="73"/>
        <v>0</v>
      </c>
      <c r="AX43" s="266" t="e">
        <f t="shared" si="74"/>
        <v>#DIV/0!</v>
      </c>
      <c r="AY43" s="271"/>
      <c r="AZ43" s="271"/>
      <c r="BA43" s="271"/>
      <c r="BB43" s="271"/>
      <c r="BC43" s="271"/>
      <c r="BD43" s="271"/>
      <c r="BE43" s="271"/>
      <c r="BF43" s="271"/>
      <c r="BG43" s="271"/>
      <c r="BH43" s="271"/>
      <c r="BI43" s="271"/>
      <c r="BJ43" s="305">
        <f t="shared" si="11"/>
        <v>1</v>
      </c>
      <c r="BK43" s="306"/>
      <c r="BL43" s="306">
        <f t="shared" si="12"/>
        <v>3</v>
      </c>
      <c r="BM43" s="314">
        <f t="shared" si="13"/>
        <v>3</v>
      </c>
    </row>
    <row r="44" spans="1:65">
      <c r="A44" s="194" t="str">
        <f>'IA-SI  TANKER'!B29</f>
        <v>PS Vancouver</v>
      </c>
      <c r="B44" s="203"/>
      <c r="C44" s="203"/>
      <c r="D44" s="197">
        <f t="shared" ref="D44:D47" si="83">SUM(F44:P44)</f>
        <v>0</v>
      </c>
      <c r="E44" s="198" t="e">
        <f t="shared" ref="E44:E47" si="84">(D44/B44)</f>
        <v>#DIV/0!</v>
      </c>
      <c r="F44" s="204"/>
      <c r="G44" s="204"/>
      <c r="H44" s="204"/>
      <c r="I44" s="204"/>
      <c r="J44" s="204"/>
      <c r="K44" s="204"/>
      <c r="L44" s="204"/>
      <c r="M44" s="204"/>
      <c r="N44" s="204"/>
      <c r="O44" s="204"/>
      <c r="P44" s="204"/>
      <c r="Q44" s="243"/>
      <c r="R44" s="244"/>
      <c r="S44" s="197">
        <f t="shared" ref="S44" si="85">SUM(U44:AE44)</f>
        <v>0</v>
      </c>
      <c r="T44" s="198" t="e">
        <f t="shared" ref="T44" si="86">(S44/Q44)</f>
        <v>#DIV/0!</v>
      </c>
      <c r="U44" s="204"/>
      <c r="V44" s="204"/>
      <c r="W44" s="204"/>
      <c r="X44" s="204"/>
      <c r="Y44" s="204"/>
      <c r="Z44" s="204"/>
      <c r="AA44" s="204"/>
      <c r="AB44" s="204"/>
      <c r="AC44" s="204"/>
      <c r="AD44" s="204"/>
      <c r="AE44" s="204"/>
      <c r="AF44" s="251">
        <v>1</v>
      </c>
      <c r="AG44" s="264"/>
      <c r="AH44" s="265">
        <v>6</v>
      </c>
      <c r="AI44" s="266">
        <f t="shared" ref="AI44:AI46" si="87">(AH44/AF44)</f>
        <v>6</v>
      </c>
      <c r="AJ44" s="271"/>
      <c r="AK44" s="271"/>
      <c r="AL44" s="271"/>
      <c r="AM44" s="271">
        <v>4</v>
      </c>
      <c r="AN44" s="271"/>
      <c r="AO44" s="271"/>
      <c r="AP44" s="271"/>
      <c r="AQ44" s="271"/>
      <c r="AR44" s="271">
        <v>2</v>
      </c>
      <c r="AS44" s="271"/>
      <c r="AT44" s="290"/>
      <c r="AU44" s="291"/>
      <c r="AV44" s="264"/>
      <c r="AW44" s="265">
        <f t="shared" si="73"/>
        <v>0</v>
      </c>
      <c r="AX44" s="266" t="e">
        <f t="shared" si="74"/>
        <v>#DIV/0!</v>
      </c>
      <c r="AY44" s="271"/>
      <c r="AZ44" s="271"/>
      <c r="BA44" s="271"/>
      <c r="BB44" s="271"/>
      <c r="BC44" s="271"/>
      <c r="BD44" s="271"/>
      <c r="BE44" s="271"/>
      <c r="BF44" s="271"/>
      <c r="BG44" s="271"/>
      <c r="BH44" s="271"/>
      <c r="BI44" s="271"/>
      <c r="BJ44" s="305">
        <f t="shared" si="11"/>
        <v>1</v>
      </c>
      <c r="BK44" s="306"/>
      <c r="BL44" s="306">
        <f t="shared" si="12"/>
        <v>6</v>
      </c>
      <c r="BM44" s="314">
        <f t="shared" si="13"/>
        <v>6</v>
      </c>
    </row>
    <row r="45" spans="1:65">
      <c r="A45" s="194" t="str">
        <f>'IA-SI  TANKER'!B30</f>
        <v>Table Bay</v>
      </c>
      <c r="B45" s="203"/>
      <c r="C45" s="203"/>
      <c r="D45" s="197">
        <f t="shared" ref="D45" si="88">SUM(F45:P45)</f>
        <v>0</v>
      </c>
      <c r="E45" s="198" t="e">
        <f t="shared" ref="E45" si="89">(D45/B45)</f>
        <v>#DIV/0!</v>
      </c>
      <c r="F45" s="204"/>
      <c r="G45" s="204"/>
      <c r="H45" s="204"/>
      <c r="I45" s="204"/>
      <c r="J45" s="204"/>
      <c r="K45" s="204"/>
      <c r="L45" s="204"/>
      <c r="M45" s="204"/>
      <c r="N45" s="204"/>
      <c r="O45" s="204"/>
      <c r="P45" s="204"/>
      <c r="Q45" s="243">
        <v>1</v>
      </c>
      <c r="R45" s="244"/>
      <c r="S45" s="197">
        <f t="shared" ref="S45" si="90">SUM(U45:AE45)</f>
        <v>5</v>
      </c>
      <c r="T45" s="198">
        <f t="shared" ref="T45" si="91">(S45/Q45)</f>
        <v>5</v>
      </c>
      <c r="U45" s="204"/>
      <c r="V45" s="204"/>
      <c r="W45" s="204"/>
      <c r="X45" s="204">
        <v>3</v>
      </c>
      <c r="Y45" s="204"/>
      <c r="Z45" s="204"/>
      <c r="AA45" s="204"/>
      <c r="AB45" s="204"/>
      <c r="AC45" s="204">
        <v>2</v>
      </c>
      <c r="AD45" s="204"/>
      <c r="AE45" s="204"/>
      <c r="AF45" s="251"/>
      <c r="AG45" s="264"/>
      <c r="AH45" s="265">
        <f t="shared" ref="AH45" si="92">SUM(AJ45:AT45)</f>
        <v>0</v>
      </c>
      <c r="AI45" s="266" t="e">
        <f t="shared" ref="AI45" si="93">(AH45/AF45)</f>
        <v>#DIV/0!</v>
      </c>
      <c r="AJ45" s="271"/>
      <c r="AK45" s="271"/>
      <c r="AL45" s="271"/>
      <c r="AM45" s="271"/>
      <c r="AN45" s="271"/>
      <c r="AO45" s="271"/>
      <c r="AP45" s="271"/>
      <c r="AQ45" s="271"/>
      <c r="AR45" s="271"/>
      <c r="AS45" s="271"/>
      <c r="AT45" s="290"/>
      <c r="AU45" s="291"/>
      <c r="AV45" s="264"/>
      <c r="AW45" s="265">
        <f t="shared" ref="AW45" si="94">SUM(AY45:BI45)</f>
        <v>0</v>
      </c>
      <c r="AX45" s="266" t="e">
        <f t="shared" ref="AX45" si="95">(AW45/AU45)</f>
        <v>#DIV/0!</v>
      </c>
      <c r="AY45" s="271"/>
      <c r="AZ45" s="271"/>
      <c r="BA45" s="271"/>
      <c r="BB45" s="271"/>
      <c r="BC45" s="271"/>
      <c r="BD45" s="271"/>
      <c r="BE45" s="271"/>
      <c r="BF45" s="271"/>
      <c r="BG45" s="271"/>
      <c r="BH45" s="271"/>
      <c r="BI45" s="271"/>
      <c r="BJ45" s="305">
        <f t="shared" si="11"/>
        <v>1</v>
      </c>
      <c r="BK45" s="306"/>
      <c r="BL45" s="306">
        <f t="shared" si="12"/>
        <v>5</v>
      </c>
      <c r="BM45" s="314">
        <f t="shared" si="13"/>
        <v>5</v>
      </c>
    </row>
    <row r="46" spans="1:65">
      <c r="A46" s="194" t="str">
        <f>'IA-SI  TANKER'!B31</f>
        <v>Rui Fu Sheng</v>
      </c>
      <c r="B46" s="203"/>
      <c r="C46" s="203"/>
      <c r="D46" s="197">
        <f t="shared" si="83"/>
        <v>0</v>
      </c>
      <c r="E46" s="198" t="e">
        <f t="shared" si="84"/>
        <v>#DIV/0!</v>
      </c>
      <c r="F46" s="204"/>
      <c r="G46" s="204"/>
      <c r="H46" s="204"/>
      <c r="I46" s="204"/>
      <c r="J46" s="204"/>
      <c r="K46" s="204"/>
      <c r="L46" s="204"/>
      <c r="M46" s="204"/>
      <c r="N46" s="204"/>
      <c r="O46" s="204"/>
      <c r="P46" s="204"/>
      <c r="Q46" s="243"/>
      <c r="R46" s="244"/>
      <c r="S46" s="197">
        <f t="shared" ref="S46" si="96">SUM(U46:AE46)</f>
        <v>0</v>
      </c>
      <c r="T46" s="198" t="e">
        <f t="shared" ref="T46" si="97">(S46/Q46)</f>
        <v>#DIV/0!</v>
      </c>
      <c r="U46" s="204"/>
      <c r="V46" s="204"/>
      <c r="W46" s="204"/>
      <c r="X46" s="204"/>
      <c r="Y46" s="204"/>
      <c r="Z46" s="204"/>
      <c r="AA46" s="204"/>
      <c r="AB46" s="204"/>
      <c r="AC46" s="204"/>
      <c r="AD46" s="204"/>
      <c r="AE46" s="204"/>
      <c r="AF46" s="251"/>
      <c r="AG46" s="264"/>
      <c r="AH46" s="265">
        <f t="shared" ref="AH46" si="98">SUM(AJ46:AT46)</f>
        <v>0</v>
      </c>
      <c r="AI46" s="266" t="e">
        <f t="shared" si="87"/>
        <v>#DIV/0!</v>
      </c>
      <c r="AJ46" s="271"/>
      <c r="AK46" s="271"/>
      <c r="AL46" s="271"/>
      <c r="AM46" s="271"/>
      <c r="AN46" s="271"/>
      <c r="AO46" s="271"/>
      <c r="AP46" s="271"/>
      <c r="AQ46" s="271"/>
      <c r="AR46" s="271"/>
      <c r="AS46" s="271"/>
      <c r="AT46" s="290"/>
      <c r="AU46" s="291"/>
      <c r="AV46" s="264"/>
      <c r="AW46" s="265">
        <f t="shared" si="73"/>
        <v>0</v>
      </c>
      <c r="AX46" s="266" t="e">
        <f t="shared" si="74"/>
        <v>#DIV/0!</v>
      </c>
      <c r="AY46" s="271"/>
      <c r="AZ46" s="271"/>
      <c r="BA46" s="271"/>
      <c r="BB46" s="271"/>
      <c r="BC46" s="271"/>
      <c r="BD46" s="271"/>
      <c r="BE46" s="271"/>
      <c r="BF46" s="271"/>
      <c r="BG46" s="271"/>
      <c r="BH46" s="271"/>
      <c r="BI46" s="271"/>
      <c r="BJ46" s="305">
        <f t="shared" si="11"/>
        <v>0</v>
      </c>
      <c r="BK46" s="306"/>
      <c r="BL46" s="306">
        <f t="shared" si="12"/>
        <v>0</v>
      </c>
      <c r="BM46" s="314" t="e">
        <f t="shared" si="13"/>
        <v>#DIV/0!</v>
      </c>
    </row>
    <row r="47" spans="1:65">
      <c r="A47" s="205" t="str">
        <f>'IA-SI  TANKER'!B32</f>
        <v>Vialli</v>
      </c>
      <c r="B47" s="203">
        <v>1</v>
      </c>
      <c r="C47" s="203"/>
      <c r="D47" s="197">
        <f t="shared" si="83"/>
        <v>2</v>
      </c>
      <c r="E47" s="198">
        <f t="shared" si="84"/>
        <v>2</v>
      </c>
      <c r="F47" s="204"/>
      <c r="G47" s="204"/>
      <c r="H47" s="204"/>
      <c r="I47" s="204">
        <v>2</v>
      </c>
      <c r="J47" s="204"/>
      <c r="K47" s="204"/>
      <c r="L47" s="204"/>
      <c r="M47" s="204"/>
      <c r="N47" s="204"/>
      <c r="O47" s="204"/>
      <c r="P47" s="204"/>
      <c r="Q47" s="243"/>
      <c r="R47" s="244"/>
      <c r="S47" s="197">
        <f t="shared" ref="S47" si="99">SUM(U47:AE47)</f>
        <v>0</v>
      </c>
      <c r="T47" s="198" t="e">
        <f t="shared" ref="T47" si="100">(S47/Q47)</f>
        <v>#DIV/0!</v>
      </c>
      <c r="U47" s="204"/>
      <c r="V47" s="204"/>
      <c r="W47" s="204"/>
      <c r="X47" s="204"/>
      <c r="Y47" s="204"/>
      <c r="Z47" s="204"/>
      <c r="AA47" s="204"/>
      <c r="AB47" s="204"/>
      <c r="AC47" s="204"/>
      <c r="AD47" s="204"/>
      <c r="AE47" s="204"/>
      <c r="AF47" s="251"/>
      <c r="AG47" s="264"/>
      <c r="AH47" s="265">
        <f t="shared" ref="AH47" si="101">SUM(AJ47:AT47)</f>
        <v>0</v>
      </c>
      <c r="AI47" s="266" t="e">
        <f t="shared" ref="AI47" si="102">(AH47/AF47)</f>
        <v>#DIV/0!</v>
      </c>
      <c r="AJ47" s="271"/>
      <c r="AK47" s="271"/>
      <c r="AL47" s="271"/>
      <c r="AM47" s="271"/>
      <c r="AN47" s="271"/>
      <c r="AO47" s="271"/>
      <c r="AP47" s="271"/>
      <c r="AQ47" s="271"/>
      <c r="AR47" s="271"/>
      <c r="AS47" s="271"/>
      <c r="AT47" s="290"/>
      <c r="AU47" s="291"/>
      <c r="AV47" s="264"/>
      <c r="AW47" s="265">
        <f t="shared" ref="AW47" si="103">SUM(AY47:BI47)</f>
        <v>0</v>
      </c>
      <c r="AX47" s="266" t="e">
        <f t="shared" ref="AX47" si="104">(AW47/AU47)</f>
        <v>#DIV/0!</v>
      </c>
      <c r="AY47" s="271"/>
      <c r="AZ47" s="271"/>
      <c r="BA47" s="271"/>
      <c r="BB47" s="271"/>
      <c r="BC47" s="271"/>
      <c r="BD47" s="271"/>
      <c r="BE47" s="271"/>
      <c r="BF47" s="271"/>
      <c r="BG47" s="271"/>
      <c r="BH47" s="271"/>
      <c r="BI47" s="271"/>
      <c r="BJ47" s="305">
        <f t="shared" si="11"/>
        <v>1</v>
      </c>
      <c r="BK47" s="306"/>
      <c r="BL47" s="306">
        <f t="shared" si="12"/>
        <v>2</v>
      </c>
      <c r="BM47" s="314">
        <f t="shared" si="13"/>
        <v>2</v>
      </c>
    </row>
    <row r="48" s="164" customFormat="1" ht="15.75" spans="1:65">
      <c r="A48" s="206" t="str">
        <f>'IA-SI  TANKER'!B33</f>
        <v>Victoria Bay</v>
      </c>
      <c r="B48" s="207"/>
      <c r="C48" s="207"/>
      <c r="D48" s="208">
        <f t="shared" si="0"/>
        <v>0</v>
      </c>
      <c r="E48" s="209" t="e">
        <f t="shared" si="1"/>
        <v>#DIV/0!</v>
      </c>
      <c r="F48" s="210"/>
      <c r="G48" s="210"/>
      <c r="H48" s="210"/>
      <c r="I48" s="210"/>
      <c r="J48" s="210"/>
      <c r="K48" s="210"/>
      <c r="L48" s="210"/>
      <c r="M48" s="210"/>
      <c r="N48" s="210"/>
      <c r="O48" s="210"/>
      <c r="P48" s="210"/>
      <c r="Q48" s="245">
        <v>1</v>
      </c>
      <c r="R48" s="246"/>
      <c r="S48" s="208">
        <f t="shared" si="2"/>
        <v>4</v>
      </c>
      <c r="T48" s="209">
        <f t="shared" si="3"/>
        <v>4</v>
      </c>
      <c r="U48" s="210"/>
      <c r="V48" s="210"/>
      <c r="W48" s="210"/>
      <c r="X48" s="210">
        <v>4</v>
      </c>
      <c r="Y48" s="210"/>
      <c r="Z48" s="210"/>
      <c r="AA48" s="210"/>
      <c r="AB48" s="210"/>
      <c r="AC48" s="210"/>
      <c r="AD48" s="210"/>
      <c r="AE48" s="210"/>
      <c r="AF48" s="252"/>
      <c r="AG48" s="272"/>
      <c r="AH48" s="273">
        <f t="shared" si="4"/>
        <v>0</v>
      </c>
      <c r="AI48" s="274" t="e">
        <f t="shared" si="5"/>
        <v>#DIV/0!</v>
      </c>
      <c r="AJ48" s="275"/>
      <c r="AK48" s="275"/>
      <c r="AL48" s="275"/>
      <c r="AM48" s="275"/>
      <c r="AN48" s="275"/>
      <c r="AO48" s="275"/>
      <c r="AP48" s="275"/>
      <c r="AQ48" s="275"/>
      <c r="AR48" s="275"/>
      <c r="AS48" s="275"/>
      <c r="AT48" s="292"/>
      <c r="AU48" s="293"/>
      <c r="AV48" s="294"/>
      <c r="AW48" s="298">
        <f t="shared" si="6"/>
        <v>0</v>
      </c>
      <c r="AX48" s="299" t="e">
        <f t="shared" si="7"/>
        <v>#DIV/0!</v>
      </c>
      <c r="AY48" s="300"/>
      <c r="AZ48" s="300"/>
      <c r="BA48" s="300"/>
      <c r="BB48" s="300"/>
      <c r="BC48" s="300"/>
      <c r="BD48" s="300"/>
      <c r="BE48" s="300"/>
      <c r="BF48" s="300"/>
      <c r="BG48" s="300"/>
      <c r="BH48" s="300"/>
      <c r="BI48" s="300"/>
      <c r="BJ48" s="307">
        <f t="shared" si="11"/>
        <v>1</v>
      </c>
      <c r="BK48" s="306"/>
      <c r="BL48" s="306">
        <f t="shared" si="12"/>
        <v>4</v>
      </c>
      <c r="BM48" s="314">
        <f t="shared" si="13"/>
        <v>4</v>
      </c>
    </row>
    <row r="49" ht="15.75" spans="1:65">
      <c r="A49" s="211" t="str">
        <f>' IA-SI DRY'!B4</f>
        <v>Cielo di Valparaiso</v>
      </c>
      <c r="B49" s="195"/>
      <c r="C49" s="196"/>
      <c r="D49" s="197">
        <f t="shared" ref="D49:D57" si="105">SUM(F49:P49)</f>
        <v>0</v>
      </c>
      <c r="E49" s="198" t="e">
        <f t="shared" si="1"/>
        <v>#DIV/0!</v>
      </c>
      <c r="F49" s="199"/>
      <c r="G49" s="199"/>
      <c r="H49" s="199"/>
      <c r="I49" s="199"/>
      <c r="J49" s="199"/>
      <c r="K49" s="199"/>
      <c r="L49" s="199"/>
      <c r="M49" s="199"/>
      <c r="N49" s="199"/>
      <c r="O49" s="199"/>
      <c r="P49" s="199"/>
      <c r="Q49" s="239"/>
      <c r="R49" s="240"/>
      <c r="S49" s="197">
        <f t="shared" si="2"/>
        <v>0</v>
      </c>
      <c r="T49" s="198" t="e">
        <f t="shared" si="3"/>
        <v>#DIV/0!</v>
      </c>
      <c r="U49" s="199"/>
      <c r="V49" s="199"/>
      <c r="W49" s="199"/>
      <c r="X49" s="199"/>
      <c r="Y49" s="199"/>
      <c r="Z49" s="199"/>
      <c r="AA49" s="199"/>
      <c r="AB49" s="199"/>
      <c r="AC49" s="199"/>
      <c r="AD49" s="199"/>
      <c r="AE49" s="199"/>
      <c r="AF49" s="253"/>
      <c r="AG49" s="276"/>
      <c r="AH49" s="277">
        <f t="shared" si="4"/>
        <v>0</v>
      </c>
      <c r="AI49" s="278" t="e">
        <f t="shared" si="5"/>
        <v>#DIV/0!</v>
      </c>
      <c r="AJ49" s="279"/>
      <c r="AK49" s="279"/>
      <c r="AL49" s="279"/>
      <c r="AM49" s="279"/>
      <c r="AN49" s="279"/>
      <c r="AO49" s="279"/>
      <c r="AP49" s="279"/>
      <c r="AQ49" s="279"/>
      <c r="AR49" s="279"/>
      <c r="AS49" s="279"/>
      <c r="AT49" s="279"/>
      <c r="AU49" s="254"/>
      <c r="AV49" s="264"/>
      <c r="AW49" s="265">
        <f t="shared" si="6"/>
        <v>0</v>
      </c>
      <c r="AX49" s="266" t="e">
        <f t="shared" si="7"/>
        <v>#DIV/0!</v>
      </c>
      <c r="AY49" s="267"/>
      <c r="AZ49" s="267"/>
      <c r="BA49" s="267"/>
      <c r="BB49" s="267"/>
      <c r="BC49" s="267"/>
      <c r="BD49" s="267"/>
      <c r="BE49" s="267"/>
      <c r="BF49" s="267"/>
      <c r="BG49" s="267"/>
      <c r="BH49" s="267"/>
      <c r="BI49" s="267"/>
      <c r="BJ49" s="308">
        <f t="shared" si="11"/>
        <v>0</v>
      </c>
      <c r="BK49" s="309"/>
      <c r="BL49" s="309">
        <f t="shared" si="12"/>
        <v>0</v>
      </c>
      <c r="BM49" s="316" t="e">
        <f t="shared" si="13"/>
        <v>#DIV/0!</v>
      </c>
    </row>
    <row r="50" spans="1:65">
      <c r="A50" s="194" t="str">
        <f>' IA-SI DRY'!B5</f>
        <v>Cielo Dei Maronti</v>
      </c>
      <c r="B50" s="195"/>
      <c r="C50" s="196"/>
      <c r="D50" s="197">
        <f t="shared" si="105"/>
        <v>0</v>
      </c>
      <c r="E50" s="198" t="e">
        <f t="shared" si="1"/>
        <v>#DIV/0!</v>
      </c>
      <c r="F50" s="199"/>
      <c r="G50" s="199"/>
      <c r="H50" s="199"/>
      <c r="I50" s="199"/>
      <c r="J50" s="199"/>
      <c r="K50" s="199"/>
      <c r="L50" s="199"/>
      <c r="M50" s="199"/>
      <c r="N50" s="199"/>
      <c r="O50" s="199"/>
      <c r="P50" s="199"/>
      <c r="Q50" s="239"/>
      <c r="R50" s="240"/>
      <c r="S50" s="197">
        <f t="shared" si="2"/>
        <v>0</v>
      </c>
      <c r="T50" s="198" t="e">
        <f t="shared" si="3"/>
        <v>#DIV/0!</v>
      </c>
      <c r="U50" s="199"/>
      <c r="V50" s="199"/>
      <c r="W50" s="199"/>
      <c r="X50" s="199"/>
      <c r="Y50" s="199"/>
      <c r="Z50" s="199"/>
      <c r="AA50" s="199"/>
      <c r="AB50" s="199"/>
      <c r="AC50" s="199"/>
      <c r="AD50" s="199"/>
      <c r="AE50" s="199"/>
      <c r="AF50" s="254"/>
      <c r="AG50" s="264"/>
      <c r="AH50" s="265">
        <f t="shared" si="4"/>
        <v>0</v>
      </c>
      <c r="AI50" s="266" t="e">
        <f t="shared" si="5"/>
        <v>#DIV/0!</v>
      </c>
      <c r="AJ50" s="267"/>
      <c r="AK50" s="267"/>
      <c r="AL50" s="267"/>
      <c r="AM50" s="267"/>
      <c r="AN50" s="267"/>
      <c r="AO50" s="267"/>
      <c r="AP50" s="267"/>
      <c r="AQ50" s="267"/>
      <c r="AR50" s="267"/>
      <c r="AS50" s="267"/>
      <c r="AT50" s="267"/>
      <c r="AU50" s="254"/>
      <c r="AV50" s="264"/>
      <c r="AW50" s="265">
        <f t="shared" si="6"/>
        <v>0</v>
      </c>
      <c r="AX50" s="266" t="e">
        <f t="shared" si="7"/>
        <v>#DIV/0!</v>
      </c>
      <c r="AY50" s="267"/>
      <c r="AZ50" s="267"/>
      <c r="BA50" s="267"/>
      <c r="BB50" s="267"/>
      <c r="BC50" s="267"/>
      <c r="BD50" s="267"/>
      <c r="BE50" s="267"/>
      <c r="BF50" s="267"/>
      <c r="BG50" s="267"/>
      <c r="BH50" s="267"/>
      <c r="BI50" s="267"/>
      <c r="BJ50" s="305">
        <f t="shared" si="11"/>
        <v>0</v>
      </c>
      <c r="BK50" s="306"/>
      <c r="BL50" s="306">
        <f t="shared" si="12"/>
        <v>0</v>
      </c>
      <c r="BM50" s="314" t="e">
        <f t="shared" si="13"/>
        <v>#DIV/0!</v>
      </c>
    </row>
    <row r="51" spans="1:65">
      <c r="A51" s="194" t="str">
        <f>' IA-SI DRY'!B6</f>
        <v>Medi Adriatico</v>
      </c>
      <c r="B51" s="195"/>
      <c r="C51" s="196"/>
      <c r="D51" s="197">
        <f t="shared" ref="D51:D54" si="106">SUM(F51:P51)</f>
        <v>0</v>
      </c>
      <c r="E51" s="198" t="e">
        <f t="shared" ref="E51:E54" si="107">(D51/B51)</f>
        <v>#DIV/0!</v>
      </c>
      <c r="F51" s="199"/>
      <c r="G51" s="199"/>
      <c r="H51" s="199"/>
      <c r="I51" s="199"/>
      <c r="J51" s="199"/>
      <c r="K51" s="199"/>
      <c r="L51" s="199"/>
      <c r="M51" s="199"/>
      <c r="N51" s="199"/>
      <c r="O51" s="199"/>
      <c r="P51" s="199"/>
      <c r="Q51" s="239"/>
      <c r="R51" s="240"/>
      <c r="S51" s="197">
        <f t="shared" ref="S51:S54" si="108">SUM(U51:AE51)</f>
        <v>0</v>
      </c>
      <c r="T51" s="198" t="e">
        <f t="shared" ref="T51:T54" si="109">(S51/Q51)</f>
        <v>#DIV/0!</v>
      </c>
      <c r="U51" s="199"/>
      <c r="V51" s="199"/>
      <c r="W51" s="199"/>
      <c r="X51" s="199"/>
      <c r="Y51" s="199"/>
      <c r="Z51" s="199"/>
      <c r="AA51" s="199"/>
      <c r="AB51" s="199"/>
      <c r="AC51" s="199"/>
      <c r="AD51" s="199"/>
      <c r="AE51" s="199"/>
      <c r="AF51" s="254">
        <v>1</v>
      </c>
      <c r="AG51" s="264"/>
      <c r="AH51" s="265">
        <f t="shared" ref="AH51:AH54" si="110">SUM(AJ51:AT51)</f>
        <v>5</v>
      </c>
      <c r="AI51" s="266">
        <f t="shared" ref="AI51:AI54" si="111">(AH51/AF51)</f>
        <v>5</v>
      </c>
      <c r="AJ51" s="267"/>
      <c r="AK51" s="267"/>
      <c r="AL51" s="267"/>
      <c r="AM51" s="267">
        <v>5</v>
      </c>
      <c r="AN51" s="267"/>
      <c r="AO51" s="267"/>
      <c r="AP51" s="267"/>
      <c r="AQ51" s="267"/>
      <c r="AR51" s="267"/>
      <c r="AS51" s="267"/>
      <c r="AT51" s="267"/>
      <c r="AU51" s="254"/>
      <c r="AV51" s="264"/>
      <c r="AW51" s="265">
        <f t="shared" ref="AW51:AW54" si="112">SUM(AY51:BI51)</f>
        <v>0</v>
      </c>
      <c r="AX51" s="266" t="e">
        <f t="shared" ref="AX51:AX54" si="113">(AW51/AU51)</f>
        <v>#DIV/0!</v>
      </c>
      <c r="AY51" s="267"/>
      <c r="AZ51" s="267"/>
      <c r="BA51" s="267"/>
      <c r="BB51" s="267"/>
      <c r="BC51" s="267"/>
      <c r="BD51" s="267"/>
      <c r="BE51" s="267"/>
      <c r="BF51" s="267"/>
      <c r="BG51" s="267"/>
      <c r="BH51" s="267"/>
      <c r="BI51" s="267"/>
      <c r="BJ51" s="305">
        <f t="shared" si="11"/>
        <v>1</v>
      </c>
      <c r="BK51" s="306"/>
      <c r="BL51" s="306">
        <f t="shared" si="12"/>
        <v>5</v>
      </c>
      <c r="BM51" s="314">
        <f t="shared" si="13"/>
        <v>5</v>
      </c>
    </row>
    <row r="52" spans="1:65">
      <c r="A52" s="194" t="str">
        <f>' IA-SI DRY'!B7</f>
        <v>Medi Atlantico</v>
      </c>
      <c r="B52" s="195"/>
      <c r="C52" s="196"/>
      <c r="D52" s="197">
        <f t="shared" si="106"/>
        <v>0</v>
      </c>
      <c r="E52" s="198" t="e">
        <f t="shared" si="107"/>
        <v>#DIV/0!</v>
      </c>
      <c r="F52" s="199"/>
      <c r="G52" s="199"/>
      <c r="H52" s="199"/>
      <c r="I52" s="199"/>
      <c r="J52" s="199"/>
      <c r="K52" s="199"/>
      <c r="L52" s="199"/>
      <c r="M52" s="199"/>
      <c r="N52" s="199"/>
      <c r="O52" s="199"/>
      <c r="P52" s="199"/>
      <c r="Q52" s="239"/>
      <c r="R52" s="240"/>
      <c r="S52" s="197">
        <f t="shared" si="108"/>
        <v>0</v>
      </c>
      <c r="T52" s="198" t="e">
        <f t="shared" si="109"/>
        <v>#DIV/0!</v>
      </c>
      <c r="U52" s="199"/>
      <c r="V52" s="199"/>
      <c r="W52" s="199"/>
      <c r="X52" s="199"/>
      <c r="Y52" s="199"/>
      <c r="Z52" s="199"/>
      <c r="AA52" s="199"/>
      <c r="AB52" s="199"/>
      <c r="AC52" s="199"/>
      <c r="AD52" s="199"/>
      <c r="AE52" s="199"/>
      <c r="AF52" s="254"/>
      <c r="AG52" s="264"/>
      <c r="AH52" s="265">
        <f t="shared" si="110"/>
        <v>0</v>
      </c>
      <c r="AI52" s="266" t="e">
        <f t="shared" si="111"/>
        <v>#DIV/0!</v>
      </c>
      <c r="AJ52" s="267"/>
      <c r="AK52" s="267"/>
      <c r="AL52" s="267"/>
      <c r="AM52" s="267"/>
      <c r="AN52" s="267"/>
      <c r="AO52" s="267"/>
      <c r="AP52" s="267"/>
      <c r="AQ52" s="267"/>
      <c r="AR52" s="267"/>
      <c r="AS52" s="267"/>
      <c r="AT52" s="267"/>
      <c r="AU52" s="254"/>
      <c r="AV52" s="264"/>
      <c r="AW52" s="265">
        <f t="shared" si="112"/>
        <v>0</v>
      </c>
      <c r="AX52" s="266" t="e">
        <f t="shared" si="113"/>
        <v>#DIV/0!</v>
      </c>
      <c r="AY52" s="267"/>
      <c r="AZ52" s="267"/>
      <c r="BA52" s="267"/>
      <c r="BB52" s="267"/>
      <c r="BC52" s="267"/>
      <c r="BD52" s="267"/>
      <c r="BE52" s="267"/>
      <c r="BF52" s="267"/>
      <c r="BG52" s="267"/>
      <c r="BH52" s="267"/>
      <c r="BI52" s="267"/>
      <c r="BJ52" s="305">
        <f t="shared" si="11"/>
        <v>0</v>
      </c>
      <c r="BK52" s="306"/>
      <c r="BL52" s="306">
        <f t="shared" si="12"/>
        <v>0</v>
      </c>
      <c r="BM52" s="314" t="e">
        <f t="shared" si="13"/>
        <v>#DIV/0!</v>
      </c>
    </row>
    <row r="53" spans="1:65">
      <c r="A53" s="194" t="str">
        <f>' IA-SI DRY'!B8</f>
        <v>Medi Egadi</v>
      </c>
      <c r="B53" s="195"/>
      <c r="C53" s="196"/>
      <c r="D53" s="197">
        <f t="shared" si="106"/>
        <v>0</v>
      </c>
      <c r="E53" s="198" t="e">
        <f t="shared" si="107"/>
        <v>#DIV/0!</v>
      </c>
      <c r="F53" s="199"/>
      <c r="G53" s="199"/>
      <c r="H53" s="199"/>
      <c r="I53" s="199"/>
      <c r="J53" s="199"/>
      <c r="K53" s="199"/>
      <c r="L53" s="199"/>
      <c r="M53" s="199"/>
      <c r="N53" s="199"/>
      <c r="O53" s="199"/>
      <c r="P53" s="199"/>
      <c r="Q53" s="239"/>
      <c r="R53" s="240"/>
      <c r="S53" s="197">
        <f t="shared" si="108"/>
        <v>0</v>
      </c>
      <c r="T53" s="198" t="e">
        <f t="shared" si="109"/>
        <v>#DIV/0!</v>
      </c>
      <c r="U53" s="199"/>
      <c r="V53" s="199"/>
      <c r="W53" s="199"/>
      <c r="X53" s="199"/>
      <c r="Y53" s="199"/>
      <c r="Z53" s="199"/>
      <c r="AA53" s="199"/>
      <c r="AB53" s="199"/>
      <c r="AC53" s="199"/>
      <c r="AD53" s="199"/>
      <c r="AE53" s="199"/>
      <c r="AF53" s="254"/>
      <c r="AG53" s="264"/>
      <c r="AH53" s="265">
        <f t="shared" si="110"/>
        <v>0</v>
      </c>
      <c r="AI53" s="266" t="e">
        <f t="shared" si="111"/>
        <v>#DIV/0!</v>
      </c>
      <c r="AJ53" s="267"/>
      <c r="AK53" s="267"/>
      <c r="AL53" s="267"/>
      <c r="AM53" s="267"/>
      <c r="AN53" s="267"/>
      <c r="AO53" s="267"/>
      <c r="AP53" s="267"/>
      <c r="AQ53" s="267"/>
      <c r="AR53" s="267"/>
      <c r="AS53" s="267"/>
      <c r="AT53" s="267"/>
      <c r="AU53" s="254"/>
      <c r="AV53" s="264"/>
      <c r="AW53" s="265">
        <f t="shared" si="112"/>
        <v>0</v>
      </c>
      <c r="AX53" s="266" t="e">
        <f t="shared" si="113"/>
        <v>#DIV/0!</v>
      </c>
      <c r="AY53" s="267"/>
      <c r="AZ53" s="267"/>
      <c r="BA53" s="267"/>
      <c r="BB53" s="267"/>
      <c r="BC53" s="267"/>
      <c r="BD53" s="267"/>
      <c r="BE53" s="267"/>
      <c r="BF53" s="267"/>
      <c r="BG53" s="267"/>
      <c r="BH53" s="267"/>
      <c r="BI53" s="267"/>
      <c r="BJ53" s="305">
        <f t="shared" si="11"/>
        <v>0</v>
      </c>
      <c r="BK53" s="306"/>
      <c r="BL53" s="306">
        <f t="shared" si="12"/>
        <v>0</v>
      </c>
      <c r="BM53" s="314" t="e">
        <f t="shared" si="13"/>
        <v>#DIV/0!</v>
      </c>
    </row>
    <row r="54" spans="1:65">
      <c r="A54" s="194" t="str">
        <f>' IA-SI DRY'!B9</f>
        <v>Medi Egeo</v>
      </c>
      <c r="B54" s="195"/>
      <c r="C54" s="196"/>
      <c r="D54" s="197">
        <f t="shared" si="106"/>
        <v>0</v>
      </c>
      <c r="E54" s="198" t="e">
        <f t="shared" si="107"/>
        <v>#DIV/0!</v>
      </c>
      <c r="F54" s="199"/>
      <c r="G54" s="199"/>
      <c r="H54" s="199"/>
      <c r="I54" s="199"/>
      <c r="J54" s="199"/>
      <c r="K54" s="199"/>
      <c r="L54" s="199"/>
      <c r="M54" s="199"/>
      <c r="N54" s="199"/>
      <c r="O54" s="199"/>
      <c r="P54" s="199"/>
      <c r="Q54" s="239"/>
      <c r="R54" s="240"/>
      <c r="S54" s="197">
        <f t="shared" si="108"/>
        <v>0</v>
      </c>
      <c r="T54" s="198" t="e">
        <f t="shared" si="109"/>
        <v>#DIV/0!</v>
      </c>
      <c r="U54" s="199"/>
      <c r="V54" s="199"/>
      <c r="W54" s="199"/>
      <c r="X54" s="199"/>
      <c r="Y54" s="199"/>
      <c r="Z54" s="199"/>
      <c r="AA54" s="199"/>
      <c r="AB54" s="199"/>
      <c r="AC54" s="199"/>
      <c r="AD54" s="199"/>
      <c r="AE54" s="199"/>
      <c r="AF54" s="254"/>
      <c r="AG54" s="264"/>
      <c r="AH54" s="265">
        <f t="shared" si="110"/>
        <v>0</v>
      </c>
      <c r="AI54" s="266" t="e">
        <f t="shared" si="111"/>
        <v>#DIV/0!</v>
      </c>
      <c r="AJ54" s="267"/>
      <c r="AK54" s="267"/>
      <c r="AL54" s="267"/>
      <c r="AM54" s="267"/>
      <c r="AN54" s="267"/>
      <c r="AO54" s="267"/>
      <c r="AP54" s="267"/>
      <c r="AQ54" s="267"/>
      <c r="AR54" s="267"/>
      <c r="AS54" s="267"/>
      <c r="AT54" s="267"/>
      <c r="AU54" s="254"/>
      <c r="AV54" s="264"/>
      <c r="AW54" s="265">
        <f t="shared" si="112"/>
        <v>0</v>
      </c>
      <c r="AX54" s="266" t="e">
        <f t="shared" si="113"/>
        <v>#DIV/0!</v>
      </c>
      <c r="AY54" s="267"/>
      <c r="AZ54" s="267"/>
      <c r="BA54" s="267"/>
      <c r="BB54" s="267"/>
      <c r="BC54" s="267"/>
      <c r="BD54" s="267"/>
      <c r="BE54" s="267"/>
      <c r="BF54" s="267"/>
      <c r="BG54" s="267"/>
      <c r="BH54" s="267"/>
      <c r="BI54" s="267"/>
      <c r="BJ54" s="305">
        <f t="shared" si="11"/>
        <v>0</v>
      </c>
      <c r="BK54" s="306"/>
      <c r="BL54" s="306">
        <f t="shared" si="12"/>
        <v>0</v>
      </c>
      <c r="BM54" s="314" t="e">
        <f t="shared" si="13"/>
        <v>#DIV/0!</v>
      </c>
    </row>
    <row r="55" spans="1:65">
      <c r="A55" s="194" t="str">
        <f>' IA-SI DRY'!B10</f>
        <v>Medi Matsuura</v>
      </c>
      <c r="B55" s="195"/>
      <c r="C55" s="196"/>
      <c r="D55" s="197">
        <f t="shared" ref="D55" si="114">SUM(F55:P55)</f>
        <v>0</v>
      </c>
      <c r="E55" s="198" t="e">
        <f t="shared" ref="E55" si="115">(D55/B55)</f>
        <v>#DIV/0!</v>
      </c>
      <c r="F55" s="199"/>
      <c r="G55" s="199"/>
      <c r="H55" s="199"/>
      <c r="I55" s="199"/>
      <c r="J55" s="199"/>
      <c r="K55" s="199"/>
      <c r="L55" s="199"/>
      <c r="M55" s="199"/>
      <c r="N55" s="199"/>
      <c r="O55" s="199"/>
      <c r="P55" s="199"/>
      <c r="Q55" s="239"/>
      <c r="R55" s="240"/>
      <c r="S55" s="197">
        <f t="shared" ref="S55" si="116">SUM(U55:AE55)</f>
        <v>0</v>
      </c>
      <c r="T55" s="198" t="e">
        <f t="shared" ref="T55" si="117">(S55/Q55)</f>
        <v>#DIV/0!</v>
      </c>
      <c r="U55" s="199"/>
      <c r="V55" s="199"/>
      <c r="W55" s="199"/>
      <c r="X55" s="199"/>
      <c r="Y55" s="199"/>
      <c r="Z55" s="199"/>
      <c r="AA55" s="199"/>
      <c r="AB55" s="199"/>
      <c r="AC55" s="199"/>
      <c r="AD55" s="199"/>
      <c r="AE55" s="199"/>
      <c r="AF55" s="254"/>
      <c r="AG55" s="264"/>
      <c r="AH55" s="265">
        <f t="shared" ref="AH55" si="118">SUM(AJ55:AT55)</f>
        <v>0</v>
      </c>
      <c r="AI55" s="266" t="e">
        <f t="shared" ref="AI55" si="119">(AH55/AF55)</f>
        <v>#DIV/0!</v>
      </c>
      <c r="AJ55" s="267"/>
      <c r="AK55" s="267"/>
      <c r="AL55" s="267"/>
      <c r="AM55" s="267"/>
      <c r="AN55" s="267"/>
      <c r="AO55" s="267"/>
      <c r="AP55" s="267"/>
      <c r="AQ55" s="267"/>
      <c r="AR55" s="267"/>
      <c r="AS55" s="267"/>
      <c r="AT55" s="267"/>
      <c r="AU55" s="254">
        <v>1</v>
      </c>
      <c r="AV55" s="264"/>
      <c r="AW55" s="265">
        <f t="shared" ref="AW55:AW56" si="120">SUM(AY55:BI55)</f>
        <v>2</v>
      </c>
      <c r="AX55" s="266">
        <f t="shared" ref="AX55:AX57" si="121">(AW55/AU55)</f>
        <v>2</v>
      </c>
      <c r="AY55" s="267"/>
      <c r="AZ55" s="267"/>
      <c r="BA55" s="267"/>
      <c r="BB55" s="267">
        <v>2</v>
      </c>
      <c r="BC55" s="267"/>
      <c r="BD55" s="267"/>
      <c r="BE55" s="267"/>
      <c r="BF55" s="267"/>
      <c r="BG55" s="267"/>
      <c r="BH55" s="267"/>
      <c r="BI55" s="267"/>
      <c r="BJ55" s="305">
        <f t="shared" si="11"/>
        <v>1</v>
      </c>
      <c r="BK55" s="306"/>
      <c r="BL55" s="306">
        <f t="shared" si="12"/>
        <v>2</v>
      </c>
      <c r="BM55" s="314">
        <f t="shared" si="13"/>
        <v>2</v>
      </c>
    </row>
    <row r="56" spans="1:65">
      <c r="A56" s="194" t="str">
        <f>' IA-SI DRY'!B11</f>
        <v>Medi Palmarola</v>
      </c>
      <c r="B56" s="195"/>
      <c r="C56" s="196"/>
      <c r="D56" s="197">
        <f t="shared" si="105"/>
        <v>0</v>
      </c>
      <c r="E56" s="198" t="e">
        <f t="shared" si="1"/>
        <v>#DIV/0!</v>
      </c>
      <c r="F56" s="199"/>
      <c r="G56" s="199"/>
      <c r="H56" s="199"/>
      <c r="I56" s="199"/>
      <c r="J56" s="199"/>
      <c r="K56" s="199"/>
      <c r="L56" s="199"/>
      <c r="M56" s="199"/>
      <c r="N56" s="199"/>
      <c r="O56" s="199"/>
      <c r="P56" s="199"/>
      <c r="Q56" s="239"/>
      <c r="R56" s="240"/>
      <c r="S56" s="197">
        <f t="shared" si="2"/>
        <v>0</v>
      </c>
      <c r="T56" s="198" t="e">
        <f t="shared" si="3"/>
        <v>#DIV/0!</v>
      </c>
      <c r="U56" s="199"/>
      <c r="V56" s="199"/>
      <c r="W56" s="199"/>
      <c r="X56" s="199"/>
      <c r="Y56" s="199"/>
      <c r="Z56" s="199"/>
      <c r="AA56" s="199"/>
      <c r="AB56" s="199"/>
      <c r="AC56" s="199"/>
      <c r="AD56" s="199"/>
      <c r="AE56" s="199"/>
      <c r="AF56" s="254">
        <v>1</v>
      </c>
      <c r="AG56" s="264"/>
      <c r="AH56" s="265">
        <f t="shared" si="4"/>
        <v>6</v>
      </c>
      <c r="AI56" s="266">
        <f t="shared" si="5"/>
        <v>6</v>
      </c>
      <c r="AJ56" s="267"/>
      <c r="AK56" s="267"/>
      <c r="AL56" s="267">
        <v>1</v>
      </c>
      <c r="AM56" s="267">
        <v>1</v>
      </c>
      <c r="AN56" s="267">
        <v>2</v>
      </c>
      <c r="AO56" s="267"/>
      <c r="AP56" s="267"/>
      <c r="AQ56" s="267">
        <v>2</v>
      </c>
      <c r="AR56" s="267"/>
      <c r="AS56" s="267"/>
      <c r="AT56" s="267"/>
      <c r="AU56" s="254"/>
      <c r="AV56" s="264"/>
      <c r="AW56" s="265">
        <f t="shared" si="120"/>
        <v>0</v>
      </c>
      <c r="AX56" s="266" t="e">
        <f t="shared" si="121"/>
        <v>#DIV/0!</v>
      </c>
      <c r="AY56" s="267"/>
      <c r="AZ56" s="267"/>
      <c r="BA56" s="267"/>
      <c r="BB56" s="267"/>
      <c r="BC56" s="267"/>
      <c r="BD56" s="267"/>
      <c r="BE56" s="267"/>
      <c r="BF56" s="267"/>
      <c r="BG56" s="267"/>
      <c r="BH56" s="267"/>
      <c r="BI56" s="267"/>
      <c r="BJ56" s="305">
        <f t="shared" si="11"/>
        <v>1</v>
      </c>
      <c r="BK56" s="306"/>
      <c r="BL56" s="306">
        <f t="shared" si="12"/>
        <v>6</v>
      </c>
      <c r="BM56" s="314">
        <f t="shared" si="13"/>
        <v>6</v>
      </c>
    </row>
    <row r="57" spans="1:65">
      <c r="A57" s="194" t="str">
        <f>' IA-SI DRY'!B12</f>
        <v>Medi Sydney</v>
      </c>
      <c r="B57" s="195"/>
      <c r="C57" s="196"/>
      <c r="D57" s="197">
        <f t="shared" si="105"/>
        <v>0</v>
      </c>
      <c r="E57" s="198" t="e">
        <f t="shared" si="1"/>
        <v>#DIV/0!</v>
      </c>
      <c r="F57" s="199"/>
      <c r="G57" s="199"/>
      <c r="H57" s="199"/>
      <c r="I57" s="199"/>
      <c r="J57" s="199"/>
      <c r="K57" s="199"/>
      <c r="L57" s="199"/>
      <c r="M57" s="199"/>
      <c r="N57" s="199"/>
      <c r="O57" s="199"/>
      <c r="P57" s="199"/>
      <c r="Q57" s="239"/>
      <c r="R57" s="240"/>
      <c r="S57" s="197">
        <f t="shared" ref="S57" si="122">SUM(U57:AE57)</f>
        <v>0</v>
      </c>
      <c r="T57" s="198" t="e">
        <f t="shared" ref="T57" si="123">(S57/Q57)</f>
        <v>#DIV/0!</v>
      </c>
      <c r="U57" s="199"/>
      <c r="V57" s="199"/>
      <c r="W57" s="199"/>
      <c r="X57" s="199"/>
      <c r="Y57" s="199"/>
      <c r="Z57" s="199"/>
      <c r="AA57" s="199"/>
      <c r="AB57" s="199"/>
      <c r="AC57" s="199"/>
      <c r="AD57" s="199"/>
      <c r="AE57" s="199"/>
      <c r="AF57" s="254"/>
      <c r="AG57" s="264"/>
      <c r="AH57" s="265">
        <f t="shared" ref="AH57" si="124">SUM(AJ57:AT57)</f>
        <v>0</v>
      </c>
      <c r="AI57" s="266" t="e">
        <f t="shared" ref="AI57" si="125">(AH57/AF57)</f>
        <v>#DIV/0!</v>
      </c>
      <c r="AJ57" s="267"/>
      <c r="AK57" s="267"/>
      <c r="AL57" s="267"/>
      <c r="AM57" s="267"/>
      <c r="AN57" s="267"/>
      <c r="AO57" s="267"/>
      <c r="AP57" s="267"/>
      <c r="AQ57" s="267"/>
      <c r="AR57" s="267"/>
      <c r="AS57" s="267"/>
      <c r="AT57" s="267"/>
      <c r="AU57" s="254">
        <v>1</v>
      </c>
      <c r="AV57" s="264"/>
      <c r="AW57" s="265">
        <v>7</v>
      </c>
      <c r="AX57" s="266">
        <f t="shared" si="121"/>
        <v>7</v>
      </c>
      <c r="AY57" s="267"/>
      <c r="AZ57" s="267"/>
      <c r="BA57" s="267"/>
      <c r="BB57" s="267">
        <v>4</v>
      </c>
      <c r="BC57" s="267">
        <v>1</v>
      </c>
      <c r="BD57" s="267"/>
      <c r="BE57" s="267"/>
      <c r="BF57" s="267">
        <v>1</v>
      </c>
      <c r="BG57" s="267"/>
      <c r="BH57" s="267">
        <v>1</v>
      </c>
      <c r="BI57" s="267"/>
      <c r="BJ57" s="305">
        <f t="shared" si="11"/>
        <v>1</v>
      </c>
      <c r="BK57" s="306"/>
      <c r="BL57" s="306">
        <f t="shared" si="12"/>
        <v>7</v>
      </c>
      <c r="BM57" s="314">
        <f t="shared" si="13"/>
        <v>7</v>
      </c>
    </row>
    <row r="58" spans="1:65">
      <c r="A58" s="194" t="str">
        <f>' IA-SI DRY'!B13</f>
        <v>Medi Tirreno</v>
      </c>
      <c r="B58" s="195"/>
      <c r="C58" s="196"/>
      <c r="D58" s="197">
        <f t="shared" ref="D58:D60" si="126">SUM(F58:P58)</f>
        <v>0</v>
      </c>
      <c r="E58" s="198" t="e">
        <f t="shared" ref="E58:E60" si="127">(D58/B58)</f>
        <v>#DIV/0!</v>
      </c>
      <c r="F58" s="199"/>
      <c r="G58" s="199"/>
      <c r="H58" s="199"/>
      <c r="I58" s="199"/>
      <c r="J58" s="199"/>
      <c r="K58" s="199"/>
      <c r="L58" s="199"/>
      <c r="M58" s="199"/>
      <c r="N58" s="199"/>
      <c r="O58" s="199"/>
      <c r="P58" s="199"/>
      <c r="Q58" s="239"/>
      <c r="R58" s="240"/>
      <c r="S58" s="197">
        <f t="shared" ref="S58:S60" si="128">SUM(U58:AE58)</f>
        <v>0</v>
      </c>
      <c r="T58" s="198" t="e">
        <f t="shared" si="3"/>
        <v>#DIV/0!</v>
      </c>
      <c r="U58" s="199"/>
      <c r="V58" s="199"/>
      <c r="W58" s="199"/>
      <c r="X58" s="199"/>
      <c r="Y58" s="199"/>
      <c r="Z58" s="199"/>
      <c r="AA58" s="199"/>
      <c r="AB58" s="199"/>
      <c r="AC58" s="199"/>
      <c r="AD58" s="199"/>
      <c r="AE58" s="199"/>
      <c r="AF58" s="254"/>
      <c r="AG58" s="264"/>
      <c r="AH58" s="265">
        <f t="shared" ref="AH58:AH60" si="129">SUM(AJ58:AT58)</f>
        <v>0</v>
      </c>
      <c r="AI58" s="266" t="e">
        <f t="shared" ref="AI58:AI60" si="130">(AH58/AF58)</f>
        <v>#DIV/0!</v>
      </c>
      <c r="AJ58" s="267"/>
      <c r="AK58" s="267"/>
      <c r="AL58" s="267"/>
      <c r="AM58" s="267"/>
      <c r="AN58" s="267"/>
      <c r="AO58" s="267"/>
      <c r="AP58" s="267"/>
      <c r="AQ58" s="267"/>
      <c r="AR58" s="267"/>
      <c r="AS58" s="267"/>
      <c r="AT58" s="267"/>
      <c r="AU58" s="254"/>
      <c r="AV58" s="264"/>
      <c r="AW58" s="265">
        <f t="shared" ref="AW58:AW60" si="131">SUM(AY58:BI58)</f>
        <v>0</v>
      </c>
      <c r="AX58" s="266" t="e">
        <f t="shared" ref="AX58:AX60" si="132">(AW58/AU58)</f>
        <v>#DIV/0!</v>
      </c>
      <c r="AY58" s="267"/>
      <c r="AZ58" s="267"/>
      <c r="BA58" s="267"/>
      <c r="BB58" s="267"/>
      <c r="BC58" s="267"/>
      <c r="BD58" s="267"/>
      <c r="BE58" s="267"/>
      <c r="BF58" s="267"/>
      <c r="BG58" s="267"/>
      <c r="BH58" s="267"/>
      <c r="BI58" s="267"/>
      <c r="BJ58" s="305">
        <f t="shared" si="11"/>
        <v>0</v>
      </c>
      <c r="BK58" s="306"/>
      <c r="BL58" s="306">
        <f t="shared" si="12"/>
        <v>0</v>
      </c>
      <c r="BM58" s="314" t="e">
        <f t="shared" si="13"/>
        <v>#DIV/0!</v>
      </c>
    </row>
    <row r="59" spans="1:65">
      <c r="A59" s="194" t="str">
        <f>' IA-SI DRY'!B14</f>
        <v>Medi Zuoz</v>
      </c>
      <c r="B59" s="195"/>
      <c r="C59" s="203"/>
      <c r="D59" s="197">
        <f t="shared" si="126"/>
        <v>0</v>
      </c>
      <c r="E59" s="198" t="e">
        <f t="shared" si="127"/>
        <v>#DIV/0!</v>
      </c>
      <c r="F59" s="199"/>
      <c r="G59" s="199"/>
      <c r="H59" s="199"/>
      <c r="I59" s="199"/>
      <c r="J59" s="199"/>
      <c r="K59" s="199"/>
      <c r="L59" s="199"/>
      <c r="M59" s="199"/>
      <c r="N59" s="199"/>
      <c r="O59" s="199"/>
      <c r="P59" s="199"/>
      <c r="Q59" s="239"/>
      <c r="R59" s="244"/>
      <c r="S59" s="197">
        <f t="shared" si="128"/>
        <v>0</v>
      </c>
      <c r="T59" s="198" t="e">
        <f t="shared" ref="T59:T60" si="133">(S59/Q59)</f>
        <v>#DIV/0!</v>
      </c>
      <c r="U59" s="199"/>
      <c r="V59" s="199"/>
      <c r="W59" s="199"/>
      <c r="X59" s="199"/>
      <c r="Y59" s="199"/>
      <c r="Z59" s="199"/>
      <c r="AA59" s="199"/>
      <c r="AB59" s="199"/>
      <c r="AC59" s="199"/>
      <c r="AD59" s="199"/>
      <c r="AE59" s="199"/>
      <c r="AF59" s="254">
        <v>1</v>
      </c>
      <c r="AG59" s="264"/>
      <c r="AH59" s="265">
        <f t="shared" si="129"/>
        <v>6</v>
      </c>
      <c r="AI59" s="266">
        <f t="shared" si="130"/>
        <v>6</v>
      </c>
      <c r="AJ59" s="267"/>
      <c r="AK59" s="267"/>
      <c r="AL59" s="267">
        <v>1</v>
      </c>
      <c r="AM59" s="267">
        <v>3</v>
      </c>
      <c r="AN59" s="267"/>
      <c r="AO59" s="267"/>
      <c r="AP59" s="267">
        <v>1</v>
      </c>
      <c r="AQ59" s="267"/>
      <c r="AR59" s="267">
        <v>1</v>
      </c>
      <c r="AS59" s="267"/>
      <c r="AT59" s="267"/>
      <c r="AU59" s="254"/>
      <c r="AV59" s="264"/>
      <c r="AW59" s="265">
        <v>0</v>
      </c>
      <c r="AX59" s="266" t="e">
        <f t="shared" si="132"/>
        <v>#DIV/0!</v>
      </c>
      <c r="AY59" s="267"/>
      <c r="AZ59" s="267"/>
      <c r="BA59" s="267"/>
      <c r="BB59" s="267"/>
      <c r="BC59" s="267"/>
      <c r="BD59" s="267"/>
      <c r="BE59" s="267"/>
      <c r="BF59" s="267"/>
      <c r="BG59" s="267"/>
      <c r="BH59" s="267"/>
      <c r="BI59" s="267"/>
      <c r="BJ59" s="305">
        <f t="shared" si="11"/>
        <v>1</v>
      </c>
      <c r="BK59" s="306"/>
      <c r="BL59" s="306">
        <f t="shared" si="12"/>
        <v>6</v>
      </c>
      <c r="BM59" s="314">
        <f t="shared" si="13"/>
        <v>6</v>
      </c>
    </row>
    <row r="60" ht="15.75" spans="1:65">
      <c r="A60" s="206" t="str">
        <f>' IA-SI DRY'!B15</f>
        <v>Medi Caboto</v>
      </c>
      <c r="B60" s="195"/>
      <c r="C60" s="203"/>
      <c r="D60" s="197">
        <f t="shared" si="126"/>
        <v>0</v>
      </c>
      <c r="E60" s="198" t="e">
        <f t="shared" si="127"/>
        <v>#DIV/0!</v>
      </c>
      <c r="F60" s="199"/>
      <c r="G60" s="199"/>
      <c r="H60" s="199"/>
      <c r="I60" s="199"/>
      <c r="J60" s="199"/>
      <c r="K60" s="199"/>
      <c r="L60" s="199"/>
      <c r="M60" s="199"/>
      <c r="N60" s="199"/>
      <c r="O60" s="199"/>
      <c r="P60" s="199"/>
      <c r="Q60" s="239"/>
      <c r="R60" s="244"/>
      <c r="S60" s="197">
        <f t="shared" si="128"/>
        <v>0</v>
      </c>
      <c r="T60" s="198" t="e">
        <f t="shared" si="133"/>
        <v>#DIV/0!</v>
      </c>
      <c r="U60" s="199"/>
      <c r="V60" s="199"/>
      <c r="W60" s="199"/>
      <c r="X60" s="199"/>
      <c r="Y60" s="199"/>
      <c r="Z60" s="199"/>
      <c r="AA60" s="199"/>
      <c r="AB60" s="199"/>
      <c r="AC60" s="199"/>
      <c r="AD60" s="199"/>
      <c r="AE60" s="199"/>
      <c r="AF60" s="254"/>
      <c r="AG60" s="264"/>
      <c r="AH60" s="265">
        <f t="shared" si="129"/>
        <v>0</v>
      </c>
      <c r="AI60" s="266" t="e">
        <f t="shared" si="130"/>
        <v>#DIV/0!</v>
      </c>
      <c r="AJ60" s="267"/>
      <c r="AK60" s="267"/>
      <c r="AL60" s="267"/>
      <c r="AM60" s="267"/>
      <c r="AN60" s="267"/>
      <c r="AO60" s="267"/>
      <c r="AP60" s="267"/>
      <c r="AQ60" s="267"/>
      <c r="AR60" s="267"/>
      <c r="AS60" s="267"/>
      <c r="AT60" s="267"/>
      <c r="AU60" s="254"/>
      <c r="AV60" s="264"/>
      <c r="AW60" s="265">
        <f t="shared" si="131"/>
        <v>0</v>
      </c>
      <c r="AX60" s="266" t="e">
        <f t="shared" si="132"/>
        <v>#DIV/0!</v>
      </c>
      <c r="AY60" s="267"/>
      <c r="AZ60" s="267"/>
      <c r="BA60" s="267"/>
      <c r="BB60" s="267"/>
      <c r="BC60" s="267"/>
      <c r="BD60" s="267"/>
      <c r="BE60" s="267"/>
      <c r="BF60" s="267"/>
      <c r="BG60" s="267"/>
      <c r="BH60" s="267"/>
      <c r="BI60" s="267"/>
      <c r="BJ60" s="305">
        <f t="shared" si="11"/>
        <v>0</v>
      </c>
      <c r="BK60" s="306"/>
      <c r="BL60" s="306">
        <f t="shared" si="12"/>
        <v>0</v>
      </c>
      <c r="BM60" s="314" t="e">
        <f t="shared" si="13"/>
        <v>#DIV/0!</v>
      </c>
    </row>
    <row r="61" ht="16.5" spans="1:65">
      <c r="A61" s="212" t="s">
        <v>345</v>
      </c>
      <c r="B61" s="213">
        <f>SUM(B19:B60)</f>
        <v>7</v>
      </c>
      <c r="C61" s="213"/>
      <c r="D61" s="214">
        <f>SUM(D19:D60)</f>
        <v>26</v>
      </c>
      <c r="E61" s="215">
        <f t="shared" si="1"/>
        <v>3.71428571428571</v>
      </c>
      <c r="F61" s="214">
        <f t="shared" ref="F61:Q61" si="134">SUM(F19:F60)</f>
        <v>0</v>
      </c>
      <c r="G61" s="214">
        <f t="shared" si="134"/>
        <v>0</v>
      </c>
      <c r="H61" s="214">
        <f t="shared" si="134"/>
        <v>0</v>
      </c>
      <c r="I61" s="214">
        <f t="shared" si="134"/>
        <v>16</v>
      </c>
      <c r="J61" s="214">
        <f t="shared" si="134"/>
        <v>0</v>
      </c>
      <c r="K61" s="214">
        <f t="shared" si="134"/>
        <v>0</v>
      </c>
      <c r="L61" s="214">
        <f t="shared" si="134"/>
        <v>3</v>
      </c>
      <c r="M61" s="214">
        <f t="shared" si="134"/>
        <v>4</v>
      </c>
      <c r="N61" s="214">
        <f t="shared" si="134"/>
        <v>2</v>
      </c>
      <c r="O61" s="214">
        <f t="shared" si="134"/>
        <v>1</v>
      </c>
      <c r="P61" s="224">
        <f t="shared" si="134"/>
        <v>0</v>
      </c>
      <c r="Q61" s="247">
        <f t="shared" si="134"/>
        <v>7</v>
      </c>
      <c r="R61" s="248"/>
      <c r="S61" s="214">
        <f>SUM(S19:S60)</f>
        <v>31</v>
      </c>
      <c r="T61" s="215">
        <f t="shared" si="3"/>
        <v>4.42857142857143</v>
      </c>
      <c r="U61" s="214">
        <f t="shared" ref="U61:AF61" si="135">SUM(U19:U60)</f>
        <v>0</v>
      </c>
      <c r="V61" s="214">
        <f t="shared" si="135"/>
        <v>0</v>
      </c>
      <c r="W61" s="214">
        <f t="shared" si="135"/>
        <v>0</v>
      </c>
      <c r="X61" s="214">
        <f t="shared" si="135"/>
        <v>26</v>
      </c>
      <c r="Y61" s="214">
        <f t="shared" si="135"/>
        <v>0</v>
      </c>
      <c r="Z61" s="214">
        <f t="shared" si="135"/>
        <v>0</v>
      </c>
      <c r="AA61" s="214">
        <f t="shared" si="135"/>
        <v>0</v>
      </c>
      <c r="AB61" s="214">
        <f t="shared" si="135"/>
        <v>0</v>
      </c>
      <c r="AC61" s="214">
        <f t="shared" si="135"/>
        <v>4</v>
      </c>
      <c r="AD61" s="214">
        <f t="shared" si="135"/>
        <v>1</v>
      </c>
      <c r="AE61" s="224">
        <f t="shared" si="135"/>
        <v>0</v>
      </c>
      <c r="AF61" s="255">
        <f t="shared" si="135"/>
        <v>9</v>
      </c>
      <c r="AG61" s="280"/>
      <c r="AH61" s="281">
        <f>SUM(AH19:AH60)</f>
        <v>51</v>
      </c>
      <c r="AI61" s="282">
        <f t="shared" si="5"/>
        <v>5.66666666666667</v>
      </c>
      <c r="AJ61" s="281">
        <f t="shared" ref="AJ61:AU61" si="136">SUM(AJ19:AJ60)</f>
        <v>0</v>
      </c>
      <c r="AK61" s="281">
        <f t="shared" si="136"/>
        <v>1</v>
      </c>
      <c r="AL61" s="281">
        <f t="shared" si="136"/>
        <v>4</v>
      </c>
      <c r="AM61" s="281">
        <f t="shared" si="136"/>
        <v>30</v>
      </c>
      <c r="AN61" s="281">
        <f t="shared" si="136"/>
        <v>3</v>
      </c>
      <c r="AO61" s="281">
        <f t="shared" si="136"/>
        <v>0</v>
      </c>
      <c r="AP61" s="281">
        <f t="shared" si="136"/>
        <v>2</v>
      </c>
      <c r="AQ61" s="281">
        <f t="shared" si="136"/>
        <v>2</v>
      </c>
      <c r="AR61" s="281">
        <f t="shared" si="136"/>
        <v>7</v>
      </c>
      <c r="AS61" s="281">
        <f t="shared" si="136"/>
        <v>2</v>
      </c>
      <c r="AT61" s="295">
        <f t="shared" si="136"/>
        <v>0</v>
      </c>
      <c r="AU61" s="255">
        <f t="shared" si="136"/>
        <v>11</v>
      </c>
      <c r="AV61" s="280"/>
      <c r="AW61" s="281">
        <f>SUM(AW19:AW60)</f>
        <v>62</v>
      </c>
      <c r="AX61" s="301">
        <f t="shared" si="7"/>
        <v>5.63636363636364</v>
      </c>
      <c r="AY61" s="281">
        <f t="shared" ref="AY61:BJ61" si="137">SUM(AY19:AY60)</f>
        <v>0</v>
      </c>
      <c r="AZ61" s="281">
        <f t="shared" si="137"/>
        <v>1</v>
      </c>
      <c r="BA61" s="281">
        <f t="shared" si="137"/>
        <v>0</v>
      </c>
      <c r="BB61" s="281">
        <f t="shared" si="137"/>
        <v>40</v>
      </c>
      <c r="BC61" s="281">
        <f t="shared" si="137"/>
        <v>2</v>
      </c>
      <c r="BD61" s="281">
        <f t="shared" si="137"/>
        <v>2</v>
      </c>
      <c r="BE61" s="281">
        <f t="shared" si="137"/>
        <v>2</v>
      </c>
      <c r="BF61" s="281">
        <f t="shared" si="137"/>
        <v>1</v>
      </c>
      <c r="BG61" s="281">
        <f t="shared" si="137"/>
        <v>8</v>
      </c>
      <c r="BH61" s="281">
        <f t="shared" si="137"/>
        <v>6</v>
      </c>
      <c r="BI61" s="281">
        <f t="shared" si="137"/>
        <v>0</v>
      </c>
      <c r="BJ61" s="310">
        <f t="shared" si="137"/>
        <v>34</v>
      </c>
      <c r="BK61" s="311"/>
      <c r="BL61" s="311">
        <f>SUM(BL19:BL60)</f>
        <v>170</v>
      </c>
      <c r="BM61" s="317">
        <f t="shared" si="10"/>
        <v>5</v>
      </c>
    </row>
    <row r="62" ht="15.75"/>
    <row r="63" spans="1:7">
      <c r="A63" s="216" t="s">
        <v>325</v>
      </c>
      <c r="B63" s="217"/>
      <c r="C63" s="217"/>
      <c r="D63" s="217"/>
      <c r="E63" s="217"/>
      <c r="F63" s="217"/>
      <c r="G63" s="217"/>
    </row>
    <row r="64" spans="1:65">
      <c r="A64" s="218"/>
      <c r="B64" s="219">
        <v>2020</v>
      </c>
      <c r="C64" s="220">
        <v>2021</v>
      </c>
      <c r="D64" s="219">
        <v>2022</v>
      </c>
      <c r="E64" s="221">
        <v>2023</v>
      </c>
      <c r="F64" s="222">
        <v>2024</v>
      </c>
      <c r="G64" s="222"/>
      <c r="BM64"/>
    </row>
    <row r="65" spans="1:65">
      <c r="A65" s="318" t="s">
        <v>346</v>
      </c>
      <c r="B65" s="319">
        <v>37</v>
      </c>
      <c r="C65" s="320">
        <v>32</v>
      </c>
      <c r="D65" s="319">
        <v>36</v>
      </c>
      <c r="E65" s="321">
        <v>35</v>
      </c>
      <c r="F65" s="319">
        <v>34</v>
      </c>
      <c r="G65" s="319"/>
      <c r="BM65"/>
    </row>
    <row r="66" spans="1:65">
      <c r="A66" s="318" t="s">
        <v>369</v>
      </c>
      <c r="B66" s="319">
        <v>37</v>
      </c>
      <c r="C66" s="320">
        <v>43</v>
      </c>
      <c r="D66" s="319">
        <v>46</v>
      </c>
      <c r="E66" s="321">
        <v>29</v>
      </c>
      <c r="F66" s="322">
        <f>B61+Q61+AF61+AU61</f>
        <v>34</v>
      </c>
      <c r="G66" s="319"/>
      <c r="BM66"/>
    </row>
    <row r="67" spans="1:65">
      <c r="A67" s="318" t="s">
        <v>348</v>
      </c>
      <c r="B67" s="322">
        <v>99</v>
      </c>
      <c r="C67" s="320">
        <v>151</v>
      </c>
      <c r="D67" s="319">
        <v>201</v>
      </c>
      <c r="E67" s="321">
        <v>100</v>
      </c>
      <c r="F67" s="322">
        <f>D61+S61+AH61+AW61</f>
        <v>170</v>
      </c>
      <c r="G67" s="319"/>
      <c r="BM67"/>
    </row>
    <row r="68" spans="1:65">
      <c r="A68" s="318" t="s">
        <v>344</v>
      </c>
      <c r="B68" s="323">
        <f>B67/B66</f>
        <v>2.67567567567568</v>
      </c>
      <c r="C68" s="324">
        <f>C67/C66</f>
        <v>3.51162790697674</v>
      </c>
      <c r="D68" s="323">
        <f>D67/D66</f>
        <v>4.3695652173913</v>
      </c>
      <c r="E68" s="324">
        <f>E67/E66</f>
        <v>3.44827586206897</v>
      </c>
      <c r="F68" s="323">
        <f>F67/F66</f>
        <v>5</v>
      </c>
      <c r="G68" s="323"/>
      <c r="BM68"/>
    </row>
    <row r="70" spans="1:5">
      <c r="A70" s="325" t="s">
        <v>349</v>
      </c>
      <c r="B70" s="326"/>
      <c r="C70" s="326"/>
      <c r="D70" s="326"/>
      <c r="E70" s="326"/>
    </row>
    <row r="71" spans="1:65">
      <c r="A71" s="218"/>
      <c r="B71" s="327">
        <v>2020</v>
      </c>
      <c r="C71" s="328">
        <v>2021</v>
      </c>
      <c r="D71" s="327">
        <v>2022</v>
      </c>
      <c r="E71" s="328">
        <v>2023</v>
      </c>
      <c r="F71" s="222">
        <v>2024</v>
      </c>
      <c r="G71" s="222"/>
      <c r="BM71"/>
    </row>
    <row r="72" spans="1:65">
      <c r="A72" s="318" t="s">
        <v>346</v>
      </c>
      <c r="B72" s="319">
        <v>26</v>
      </c>
      <c r="C72" s="321">
        <v>22</v>
      </c>
      <c r="D72" s="319">
        <v>23</v>
      </c>
      <c r="E72" s="321">
        <v>21</v>
      </c>
      <c r="F72" s="319">
        <v>25</v>
      </c>
      <c r="G72" s="319"/>
      <c r="BM72"/>
    </row>
    <row r="73" spans="1:65">
      <c r="A73" s="318" t="s">
        <v>369</v>
      </c>
      <c r="B73" s="319">
        <v>26</v>
      </c>
      <c r="C73" s="321">
        <v>31</v>
      </c>
      <c r="D73" s="319">
        <v>21</v>
      </c>
      <c r="E73" s="321">
        <v>22</v>
      </c>
      <c r="F73" s="322">
        <f>SUM(B19:B48,Q19:Q48,AF19:AF48,AU19:AU48)</f>
        <v>29</v>
      </c>
      <c r="G73" s="319"/>
      <c r="BM73"/>
    </row>
    <row r="74" spans="1:65">
      <c r="A74" s="318" t="s">
        <v>348</v>
      </c>
      <c r="B74" s="322">
        <v>67</v>
      </c>
      <c r="C74" s="321">
        <v>90</v>
      </c>
      <c r="D74" s="322">
        <v>96</v>
      </c>
      <c r="E74" s="320">
        <v>31</v>
      </c>
      <c r="F74" s="322">
        <f>SUM(D19:D48,S19:S48,AH19:AH48,AW18:AW48)</f>
        <v>144</v>
      </c>
      <c r="G74" s="319"/>
      <c r="BM74"/>
    </row>
    <row r="75" spans="1:65">
      <c r="A75" s="318" t="s">
        <v>344</v>
      </c>
      <c r="B75" s="323">
        <f>B74/B73</f>
        <v>2.57692307692308</v>
      </c>
      <c r="C75" s="324">
        <v>2.9</v>
      </c>
      <c r="D75" s="323">
        <f>D74/D73</f>
        <v>4.57142857142857</v>
      </c>
      <c r="E75" s="324">
        <f>E74/E73</f>
        <v>1.40909090909091</v>
      </c>
      <c r="F75" s="323">
        <f>F74/F73</f>
        <v>4.96551724137931</v>
      </c>
      <c r="G75" s="323"/>
      <c r="BM75"/>
    </row>
    <row r="77" spans="1:5">
      <c r="A77" s="325" t="s">
        <v>350</v>
      </c>
      <c r="B77" s="326"/>
      <c r="C77" s="326"/>
      <c r="D77" s="326"/>
      <c r="E77" s="326"/>
    </row>
    <row r="78" spans="1:65">
      <c r="A78" s="318"/>
      <c r="B78" s="219">
        <v>2020</v>
      </c>
      <c r="C78" s="221">
        <v>2021</v>
      </c>
      <c r="D78" s="219">
        <v>2022</v>
      </c>
      <c r="E78" s="221">
        <v>2023</v>
      </c>
      <c r="F78" s="222">
        <v>2024</v>
      </c>
      <c r="G78" s="222"/>
      <c r="BM78"/>
    </row>
    <row r="79" spans="1:65">
      <c r="A79" s="318" t="s">
        <v>346</v>
      </c>
      <c r="B79" s="319">
        <v>11</v>
      </c>
      <c r="C79" s="329">
        <v>10</v>
      </c>
      <c r="D79" s="319">
        <v>13</v>
      </c>
      <c r="E79" s="329">
        <v>10</v>
      </c>
      <c r="F79" s="319">
        <v>9</v>
      </c>
      <c r="G79" s="319"/>
      <c r="BM79"/>
    </row>
    <row r="80" spans="1:65">
      <c r="A80" s="318" t="s">
        <v>369</v>
      </c>
      <c r="B80" s="319">
        <v>11</v>
      </c>
      <c r="C80" s="329">
        <v>12</v>
      </c>
      <c r="D80" s="319">
        <v>18</v>
      </c>
      <c r="E80" s="329">
        <v>7</v>
      </c>
      <c r="F80" s="322">
        <f>SUM(B49:B60,Q49:Q60,AF49:AF60,AU49:AU60)</f>
        <v>5</v>
      </c>
      <c r="G80" s="319"/>
      <c r="BM80"/>
    </row>
    <row r="81" spans="1:65">
      <c r="A81" s="318" t="s">
        <v>348</v>
      </c>
      <c r="B81" s="322">
        <v>32</v>
      </c>
      <c r="C81" s="329">
        <v>61</v>
      </c>
      <c r="D81" s="319">
        <v>75</v>
      </c>
      <c r="E81" s="330">
        <v>23</v>
      </c>
      <c r="F81" s="322">
        <f>SUM(D49:D60,S49:S60,AH49:AH60,AW49:AW60)</f>
        <v>26</v>
      </c>
      <c r="G81" s="319"/>
      <c r="BM81"/>
    </row>
    <row r="82" spans="1:65">
      <c r="A82" s="318" t="s">
        <v>344</v>
      </c>
      <c r="B82" s="323">
        <v>2.90909090909091</v>
      </c>
      <c r="C82" s="331">
        <v>5.08</v>
      </c>
      <c r="D82" s="323">
        <f>D81/D80</f>
        <v>4.16666666666667</v>
      </c>
      <c r="E82" s="331">
        <f>E81/E80</f>
        <v>3.28571428571429</v>
      </c>
      <c r="F82" s="323">
        <f>F81/F80</f>
        <v>5.2</v>
      </c>
      <c r="G82" s="323"/>
      <c r="BM82"/>
    </row>
    <row r="86" ht="15.75" spans="1:1">
      <c r="A86" s="186" t="s">
        <v>351</v>
      </c>
    </row>
    <row r="87" spans="1:7">
      <c r="A87" s="332"/>
      <c r="B87" s="333" t="s">
        <v>339</v>
      </c>
      <c r="C87" s="334" t="s">
        <v>340</v>
      </c>
      <c r="D87" s="334" t="s">
        <v>341</v>
      </c>
      <c r="E87" s="335" t="s">
        <v>342</v>
      </c>
      <c r="F87" s="336" t="s">
        <v>330</v>
      </c>
      <c r="G87" s="337"/>
    </row>
    <row r="88" spans="1:9">
      <c r="A88" s="338" t="s">
        <v>353</v>
      </c>
      <c r="B88" s="339">
        <f>F61</f>
        <v>0</v>
      </c>
      <c r="C88" s="339">
        <f>U61</f>
        <v>0</v>
      </c>
      <c r="D88" s="260">
        <f>AJ61</f>
        <v>0</v>
      </c>
      <c r="E88" s="340">
        <f>AY61</f>
        <v>0</v>
      </c>
      <c r="F88" s="341">
        <f t="shared" ref="F88:F98" si="138">SUM(B88:E88)</f>
        <v>0</v>
      </c>
      <c r="G88" s="342"/>
      <c r="H88" s="43">
        <f>F88/$F$11</f>
        <v>0</v>
      </c>
      <c r="I88" s="350"/>
    </row>
    <row r="89" spans="1:9">
      <c r="A89" s="338" t="s">
        <v>354</v>
      </c>
      <c r="B89" s="338">
        <f>G61</f>
        <v>0</v>
      </c>
      <c r="C89" s="338">
        <f>V61</f>
        <v>0</v>
      </c>
      <c r="D89" s="260">
        <f>AK61</f>
        <v>1</v>
      </c>
      <c r="E89" s="260">
        <f>AZ61</f>
        <v>1</v>
      </c>
      <c r="F89" s="341">
        <f t="shared" si="138"/>
        <v>2</v>
      </c>
      <c r="G89" s="342"/>
      <c r="H89" s="43">
        <f t="shared" ref="H89:H98" si="139">F89/$F$11</f>
        <v>0.0588235294117647</v>
      </c>
      <c r="I89" s="350"/>
    </row>
    <row r="90" spans="1:9">
      <c r="A90" s="338" t="s">
        <v>355</v>
      </c>
      <c r="B90" s="339">
        <f>H61</f>
        <v>0</v>
      </c>
      <c r="C90" s="339">
        <f>W61</f>
        <v>0</v>
      </c>
      <c r="D90" s="260">
        <f>AL61</f>
        <v>4</v>
      </c>
      <c r="E90" s="260">
        <f>BA61</f>
        <v>0</v>
      </c>
      <c r="F90" s="341">
        <f t="shared" si="138"/>
        <v>4</v>
      </c>
      <c r="G90" s="342"/>
      <c r="H90" s="43">
        <f t="shared" si="139"/>
        <v>0.117647058823529</v>
      </c>
      <c r="I90" s="350"/>
    </row>
    <row r="91" spans="1:9">
      <c r="A91" s="338" t="s">
        <v>356</v>
      </c>
      <c r="B91" s="338">
        <f>I61</f>
        <v>16</v>
      </c>
      <c r="C91" s="338">
        <f>X61</f>
        <v>26</v>
      </c>
      <c r="D91" s="260">
        <f>AM61</f>
        <v>30</v>
      </c>
      <c r="E91" s="260">
        <f>BB61</f>
        <v>40</v>
      </c>
      <c r="F91" s="341">
        <f t="shared" si="138"/>
        <v>112</v>
      </c>
      <c r="G91" s="342"/>
      <c r="H91" s="43">
        <f t="shared" si="139"/>
        <v>3.29411764705882</v>
      </c>
      <c r="I91" s="350"/>
    </row>
    <row r="92" spans="1:9">
      <c r="A92" s="338" t="s">
        <v>357</v>
      </c>
      <c r="B92" s="338">
        <f>J61</f>
        <v>0</v>
      </c>
      <c r="C92" s="338">
        <f>Y61</f>
        <v>0</v>
      </c>
      <c r="D92" s="260">
        <f>AN61</f>
        <v>3</v>
      </c>
      <c r="E92" s="260">
        <f>BC61</f>
        <v>2</v>
      </c>
      <c r="F92" s="341">
        <f t="shared" si="138"/>
        <v>5</v>
      </c>
      <c r="G92" s="342"/>
      <c r="H92" s="43">
        <f t="shared" si="139"/>
        <v>0.147058823529412</v>
      </c>
      <c r="I92" s="350"/>
    </row>
    <row r="93" spans="1:9">
      <c r="A93" s="338" t="s">
        <v>358</v>
      </c>
      <c r="B93" s="338">
        <f>K61</f>
        <v>0</v>
      </c>
      <c r="C93" s="338">
        <f>Z61</f>
        <v>0</v>
      </c>
      <c r="D93" s="260">
        <f>AO61</f>
        <v>0</v>
      </c>
      <c r="E93" s="260">
        <f>BD61</f>
        <v>2</v>
      </c>
      <c r="F93" s="341">
        <f t="shared" si="138"/>
        <v>2</v>
      </c>
      <c r="G93" s="342"/>
      <c r="H93" s="43">
        <f t="shared" si="139"/>
        <v>0.0588235294117647</v>
      </c>
      <c r="I93" s="350"/>
    </row>
    <row r="94" spans="1:9">
      <c r="A94" s="338" t="s">
        <v>359</v>
      </c>
      <c r="B94" s="338">
        <f>L61</f>
        <v>3</v>
      </c>
      <c r="C94" s="338">
        <f>AA61</f>
        <v>0</v>
      </c>
      <c r="D94" s="260">
        <f>AP61</f>
        <v>2</v>
      </c>
      <c r="E94" s="260">
        <f>BE61</f>
        <v>2</v>
      </c>
      <c r="F94" s="341">
        <f t="shared" si="138"/>
        <v>7</v>
      </c>
      <c r="G94" s="342"/>
      <c r="H94" s="43">
        <f t="shared" si="139"/>
        <v>0.205882352941176</v>
      </c>
      <c r="I94" s="350"/>
    </row>
    <row r="95" spans="1:9">
      <c r="A95" s="338" t="s">
        <v>360</v>
      </c>
      <c r="B95" s="338">
        <f>M61</f>
        <v>4</v>
      </c>
      <c r="C95" s="338">
        <f>AB61</f>
        <v>0</v>
      </c>
      <c r="D95" s="260">
        <f>AQ61</f>
        <v>2</v>
      </c>
      <c r="E95" s="260">
        <f>BF61</f>
        <v>1</v>
      </c>
      <c r="F95" s="341">
        <f t="shared" si="138"/>
        <v>7</v>
      </c>
      <c r="G95" s="342"/>
      <c r="H95" s="43">
        <f t="shared" si="139"/>
        <v>0.205882352941176</v>
      </c>
      <c r="I95" s="350"/>
    </row>
    <row r="96" spans="1:9">
      <c r="A96" s="338" t="s">
        <v>361</v>
      </c>
      <c r="B96" s="338">
        <f>N61</f>
        <v>2</v>
      </c>
      <c r="C96" s="338">
        <f>AC61</f>
        <v>4</v>
      </c>
      <c r="D96" s="260">
        <f>AR61</f>
        <v>7</v>
      </c>
      <c r="E96" s="260">
        <f>BG61</f>
        <v>8</v>
      </c>
      <c r="F96" s="341">
        <f t="shared" si="138"/>
        <v>21</v>
      </c>
      <c r="G96" s="342"/>
      <c r="H96" s="43">
        <f t="shared" si="139"/>
        <v>0.617647058823529</v>
      </c>
      <c r="I96" s="350"/>
    </row>
    <row r="97" spans="1:9">
      <c r="A97" s="338" t="s">
        <v>362</v>
      </c>
      <c r="B97" s="338">
        <f>O61</f>
        <v>1</v>
      </c>
      <c r="C97" s="338">
        <f>AD61</f>
        <v>1</v>
      </c>
      <c r="D97" s="260">
        <f>AS61</f>
        <v>2</v>
      </c>
      <c r="E97" s="260">
        <f>BH61</f>
        <v>6</v>
      </c>
      <c r="F97" s="341">
        <f t="shared" si="138"/>
        <v>10</v>
      </c>
      <c r="G97" s="342"/>
      <c r="H97" s="43">
        <f t="shared" si="139"/>
        <v>0.294117647058824</v>
      </c>
      <c r="I97" s="350"/>
    </row>
    <row r="98" spans="1:9">
      <c r="A98" s="343" t="s">
        <v>363</v>
      </c>
      <c r="B98" s="343">
        <f>P61</f>
        <v>0</v>
      </c>
      <c r="C98" s="343">
        <f>AE61</f>
        <v>0</v>
      </c>
      <c r="D98" s="260">
        <f>AT61</f>
        <v>0</v>
      </c>
      <c r="E98" s="344">
        <f>BI61</f>
        <v>0</v>
      </c>
      <c r="F98" s="341">
        <f t="shared" si="138"/>
        <v>0</v>
      </c>
      <c r="G98" s="342"/>
      <c r="H98" s="43">
        <f t="shared" si="139"/>
        <v>0</v>
      </c>
      <c r="I98" s="350"/>
    </row>
    <row r="99" ht="15.75" spans="1:9">
      <c r="A99" s="345"/>
      <c r="B99" s="346">
        <f>SUM(B88:B98)</f>
        <v>26</v>
      </c>
      <c r="C99" s="346">
        <f t="shared" ref="C99:G99" si="140">SUM(C88:C98)</f>
        <v>31</v>
      </c>
      <c r="D99" s="346">
        <f t="shared" si="140"/>
        <v>51</v>
      </c>
      <c r="E99" s="346">
        <f t="shared" si="140"/>
        <v>62</v>
      </c>
      <c r="F99" s="347">
        <f t="shared" si="140"/>
        <v>170</v>
      </c>
      <c r="G99" s="342">
        <f t="shared" si="140"/>
        <v>0</v>
      </c>
      <c r="I99" s="350"/>
    </row>
    <row r="102" ht="15.75" spans="1:1">
      <c r="A102" s="186" t="s">
        <v>331</v>
      </c>
    </row>
    <row r="103" spans="1:7">
      <c r="A103" s="332"/>
      <c r="B103" s="333" t="s">
        <v>339</v>
      </c>
      <c r="C103" s="334" t="s">
        <v>340</v>
      </c>
      <c r="D103" s="334" t="s">
        <v>341</v>
      </c>
      <c r="E103" s="335" t="s">
        <v>342</v>
      </c>
      <c r="F103" s="336" t="s">
        <v>330</v>
      </c>
      <c r="G103" s="337"/>
    </row>
    <row r="104" spans="1:9">
      <c r="A104" s="338" t="s">
        <v>353</v>
      </c>
      <c r="B104" s="339">
        <f>SUM(F19:F48)</f>
        <v>0</v>
      </c>
      <c r="C104" s="339">
        <f>SUM(U19:U48)</f>
        <v>0</v>
      </c>
      <c r="D104" s="340">
        <f>SUM(AJ19:AJ48)</f>
        <v>0</v>
      </c>
      <c r="E104" s="340">
        <f>SUM(AY19:AY48)</f>
        <v>0</v>
      </c>
      <c r="F104" s="341">
        <f t="shared" ref="F104:F114" si="141">SUM(B104:E104)</f>
        <v>0</v>
      </c>
      <c r="G104" s="342"/>
      <c r="H104" s="43">
        <f>F104/$Y$11</f>
        <v>0</v>
      </c>
      <c r="I104" s="350"/>
    </row>
    <row r="105" spans="1:9">
      <c r="A105" s="338" t="s">
        <v>354</v>
      </c>
      <c r="B105" s="339">
        <f>SUM(G19:G48)</f>
        <v>0</v>
      </c>
      <c r="C105" s="339">
        <f>SUM(V19:V48)</f>
        <v>0</v>
      </c>
      <c r="D105" s="340">
        <f>SUM(AK19:AK48)</f>
        <v>1</v>
      </c>
      <c r="E105" s="340">
        <f>SUM(AZ19:AZ48)</f>
        <v>1</v>
      </c>
      <c r="F105" s="341">
        <f t="shared" si="141"/>
        <v>2</v>
      </c>
      <c r="G105" s="342"/>
      <c r="H105" s="43">
        <f t="shared" ref="H105:H114" si="142">F105/$Y$11</f>
        <v>0.0689655172413793</v>
      </c>
      <c r="I105" s="350"/>
    </row>
    <row r="106" spans="1:9">
      <c r="A106" s="338" t="s">
        <v>355</v>
      </c>
      <c r="B106" s="339">
        <f>SUM(H19:H48)</f>
        <v>0</v>
      </c>
      <c r="C106" s="339">
        <f>SUM(W19:W48)</f>
        <v>0</v>
      </c>
      <c r="D106" s="340">
        <f>SUM(AL19:AL48)</f>
        <v>2</v>
      </c>
      <c r="E106" s="340">
        <f>SUM(BA19:BA48)</f>
        <v>0</v>
      </c>
      <c r="F106" s="341">
        <f t="shared" si="141"/>
        <v>2</v>
      </c>
      <c r="G106" s="342"/>
      <c r="H106" s="43">
        <f t="shared" si="142"/>
        <v>0.0689655172413793</v>
      </c>
      <c r="I106" s="350"/>
    </row>
    <row r="107" spans="1:9">
      <c r="A107" s="338" t="s">
        <v>356</v>
      </c>
      <c r="B107" s="339">
        <f>SUM(I19:I48)</f>
        <v>16</v>
      </c>
      <c r="C107" s="339">
        <f>SUM(X19:X48)</f>
        <v>26</v>
      </c>
      <c r="D107" s="340">
        <f>SUM(AM19:AM48)</f>
        <v>21</v>
      </c>
      <c r="E107" s="340">
        <f>SUM(BB19:BB48)</f>
        <v>34</v>
      </c>
      <c r="F107" s="341">
        <f t="shared" si="141"/>
        <v>97</v>
      </c>
      <c r="G107" s="342"/>
      <c r="H107" s="43">
        <f t="shared" si="142"/>
        <v>3.3448275862069</v>
      </c>
      <c r="I107" s="350"/>
    </row>
    <row r="108" spans="1:9">
      <c r="A108" s="338" t="s">
        <v>357</v>
      </c>
      <c r="B108" s="339">
        <f>SUM(J19:J48)</f>
        <v>0</v>
      </c>
      <c r="C108" s="339">
        <f>SUM(Y19:Y48)</f>
        <v>0</v>
      </c>
      <c r="D108" s="340">
        <f>SUM(AN19:AN48)</f>
        <v>1</v>
      </c>
      <c r="E108" s="340">
        <f>SUM(BC19:BC48)</f>
        <v>1</v>
      </c>
      <c r="F108" s="341">
        <f t="shared" si="141"/>
        <v>2</v>
      </c>
      <c r="G108" s="342"/>
      <c r="H108" s="43">
        <f t="shared" si="142"/>
        <v>0.0689655172413793</v>
      </c>
      <c r="I108" s="350"/>
    </row>
    <row r="109" spans="1:9">
      <c r="A109" s="338" t="s">
        <v>358</v>
      </c>
      <c r="B109" s="339">
        <f>SUM(K19:K48)</f>
        <v>0</v>
      </c>
      <c r="C109" s="339">
        <f>SUM(Z19:Z48)</f>
        <v>0</v>
      </c>
      <c r="D109" s="340">
        <f>SUM(AO19:AO48)</f>
        <v>0</v>
      </c>
      <c r="E109" s="340">
        <f>SUM(BD19:BD48)</f>
        <v>2</v>
      </c>
      <c r="F109" s="341">
        <f t="shared" si="141"/>
        <v>2</v>
      </c>
      <c r="G109" s="342"/>
      <c r="H109" s="43">
        <f t="shared" si="142"/>
        <v>0.0689655172413793</v>
      </c>
      <c r="I109" s="350"/>
    </row>
    <row r="110" spans="1:9">
      <c r="A110" s="338" t="s">
        <v>359</v>
      </c>
      <c r="B110" s="339">
        <f>SUM(L19:L48)</f>
        <v>3</v>
      </c>
      <c r="C110" s="339">
        <f>SUM(AA19:AA48)</f>
        <v>0</v>
      </c>
      <c r="D110" s="340">
        <f>SUM(AP19:AP48)</f>
        <v>1</v>
      </c>
      <c r="E110" s="340">
        <f>SUM(BE19:BE48)</f>
        <v>2</v>
      </c>
      <c r="F110" s="341">
        <f t="shared" si="141"/>
        <v>6</v>
      </c>
      <c r="G110" s="342"/>
      <c r="H110" s="43">
        <f t="shared" si="142"/>
        <v>0.206896551724138</v>
      </c>
      <c r="I110" s="350"/>
    </row>
    <row r="111" spans="1:9">
      <c r="A111" s="338" t="s">
        <v>360</v>
      </c>
      <c r="B111" s="339">
        <f>SUM(M19:M48)</f>
        <v>4</v>
      </c>
      <c r="C111" s="339">
        <f>SUM(AB19:AB48)</f>
        <v>0</v>
      </c>
      <c r="D111" s="340">
        <f>SUM(AQ19:AQ48)</f>
        <v>0</v>
      </c>
      <c r="E111" s="340">
        <f>SUM(BF19:BF48)</f>
        <v>0</v>
      </c>
      <c r="F111" s="341">
        <f t="shared" si="141"/>
        <v>4</v>
      </c>
      <c r="G111" s="342"/>
      <c r="H111" s="43">
        <f t="shared" si="142"/>
        <v>0.137931034482759</v>
      </c>
      <c r="I111" s="350"/>
    </row>
    <row r="112" spans="1:9">
      <c r="A112" s="338" t="s">
        <v>361</v>
      </c>
      <c r="B112" s="339">
        <f>SUM(N19:N48)</f>
        <v>2</v>
      </c>
      <c r="C112" s="339">
        <f>SUM(AC19:AC48)</f>
        <v>4</v>
      </c>
      <c r="D112" s="340">
        <f>SUM(AR19:AR48)</f>
        <v>6</v>
      </c>
      <c r="E112" s="340">
        <f>SUM(BG19:BG48)</f>
        <v>8</v>
      </c>
      <c r="F112" s="341">
        <f t="shared" si="141"/>
        <v>20</v>
      </c>
      <c r="G112" s="342"/>
      <c r="H112" s="43">
        <f t="shared" si="142"/>
        <v>0.689655172413793</v>
      </c>
      <c r="I112" s="350"/>
    </row>
    <row r="113" spans="1:9">
      <c r="A113" s="338" t="s">
        <v>362</v>
      </c>
      <c r="B113" s="339">
        <f>SUM(O19:O48)</f>
        <v>1</v>
      </c>
      <c r="C113" s="339">
        <f>SUM(AD19:AD48)</f>
        <v>1</v>
      </c>
      <c r="D113" s="340">
        <f>SUM(AS19:AS48)</f>
        <v>2</v>
      </c>
      <c r="E113" s="340">
        <f>SUM(BH19:BH48)</f>
        <v>5</v>
      </c>
      <c r="F113" s="341">
        <f t="shared" si="141"/>
        <v>9</v>
      </c>
      <c r="G113" s="342"/>
      <c r="H113" s="43">
        <f t="shared" si="142"/>
        <v>0.310344827586207</v>
      </c>
      <c r="I113" s="350"/>
    </row>
    <row r="114" spans="1:9">
      <c r="A114" s="343" t="s">
        <v>363</v>
      </c>
      <c r="B114" s="348">
        <f>SUM(P19:P48)</f>
        <v>0</v>
      </c>
      <c r="C114" s="348">
        <f>SUM(AE19:AE48)</f>
        <v>0</v>
      </c>
      <c r="D114" s="340">
        <f>SUM(AT19:AT48)</f>
        <v>0</v>
      </c>
      <c r="E114" s="349">
        <f>SUM(BI19:BI48)</f>
        <v>0</v>
      </c>
      <c r="F114" s="341">
        <f t="shared" si="141"/>
        <v>0</v>
      </c>
      <c r="G114" s="342"/>
      <c r="H114" s="43">
        <f t="shared" si="142"/>
        <v>0</v>
      </c>
      <c r="I114" s="350"/>
    </row>
    <row r="115" ht="15.75" spans="1:9">
      <c r="A115" s="345"/>
      <c r="B115" s="346">
        <f>SUM(B104:B114)</f>
        <v>26</v>
      </c>
      <c r="C115" s="346">
        <f t="shared" ref="C115:G115" si="143">SUM(C104:C114)</f>
        <v>31</v>
      </c>
      <c r="D115" s="346">
        <f t="shared" si="143"/>
        <v>34</v>
      </c>
      <c r="E115" s="346">
        <f t="shared" si="143"/>
        <v>53</v>
      </c>
      <c r="F115" s="347">
        <f t="shared" si="143"/>
        <v>144</v>
      </c>
      <c r="G115" s="342">
        <f t="shared" si="143"/>
        <v>0</v>
      </c>
      <c r="I115" s="350"/>
    </row>
    <row r="118" ht="15.75" spans="1:1">
      <c r="A118" s="186" t="s">
        <v>364</v>
      </c>
    </row>
    <row r="119" spans="1:7">
      <c r="A119" s="332"/>
      <c r="B119" s="333" t="s">
        <v>339</v>
      </c>
      <c r="C119" s="334" t="s">
        <v>340</v>
      </c>
      <c r="D119" s="334" t="s">
        <v>341</v>
      </c>
      <c r="E119" s="335" t="s">
        <v>342</v>
      </c>
      <c r="F119" s="336" t="s">
        <v>330</v>
      </c>
      <c r="G119" s="337"/>
    </row>
    <row r="120" spans="1:9">
      <c r="A120" s="338" t="s">
        <v>353</v>
      </c>
      <c r="B120" s="339">
        <f>SUM(F49:F60)</f>
        <v>0</v>
      </c>
      <c r="C120" s="339">
        <f>SUM(U49:U60)</f>
        <v>0</v>
      </c>
      <c r="D120" s="339">
        <f>SUM(AJ49:AJ60)</f>
        <v>0</v>
      </c>
      <c r="E120" s="340">
        <f>SUM(AY49:AY60)</f>
        <v>0</v>
      </c>
      <c r="F120" s="341">
        <f t="shared" ref="F120:F131" si="144">SUM(B120:E120)</f>
        <v>0</v>
      </c>
      <c r="G120" s="342"/>
      <c r="H120" s="43">
        <f>F120/$AM$11</f>
        <v>0</v>
      </c>
      <c r="I120" s="350"/>
    </row>
    <row r="121" spans="1:9">
      <c r="A121" s="338" t="s">
        <v>354</v>
      </c>
      <c r="B121" s="339">
        <f>SUM(G49:G60)</f>
        <v>0</v>
      </c>
      <c r="C121" s="339">
        <f>SUM(V49:V60)</f>
        <v>0</v>
      </c>
      <c r="D121" s="340">
        <f>SUM(AK49:AK60)</f>
        <v>0</v>
      </c>
      <c r="E121" s="340">
        <f>SUM(AZ49:AZ60)</f>
        <v>0</v>
      </c>
      <c r="F121" s="341">
        <f t="shared" si="144"/>
        <v>0</v>
      </c>
      <c r="G121" s="342"/>
      <c r="H121" s="43">
        <f t="shared" ref="H121:H130" si="145">F121/$AM$11</f>
        <v>0</v>
      </c>
      <c r="I121" s="350"/>
    </row>
    <row r="122" spans="1:9">
      <c r="A122" s="338" t="s">
        <v>355</v>
      </c>
      <c r="B122" s="339">
        <f>SUM(H49:H60)</f>
        <v>0</v>
      </c>
      <c r="C122" s="339">
        <f>SUM(W49:W60)</f>
        <v>0</v>
      </c>
      <c r="D122" s="340">
        <f>SUM(AL49:AL60)</f>
        <v>2</v>
      </c>
      <c r="E122" s="340">
        <f>SUM(BA49:BA60)</f>
        <v>0</v>
      </c>
      <c r="F122" s="341">
        <f t="shared" si="144"/>
        <v>2</v>
      </c>
      <c r="G122" s="342"/>
      <c r="H122" s="43">
        <f t="shared" si="145"/>
        <v>0.4</v>
      </c>
      <c r="I122" s="350"/>
    </row>
    <row r="123" spans="1:9">
      <c r="A123" s="338" t="s">
        <v>356</v>
      </c>
      <c r="B123" s="339">
        <f>SUM(I49:I60)</f>
        <v>0</v>
      </c>
      <c r="C123" s="339">
        <f>SUM(X49:X60)</f>
        <v>0</v>
      </c>
      <c r="D123" s="340">
        <f>SUM(AM49:AM60)</f>
        <v>9</v>
      </c>
      <c r="E123" s="340">
        <f>SUM(BB49:BB60)</f>
        <v>6</v>
      </c>
      <c r="F123" s="341">
        <f t="shared" si="144"/>
        <v>15</v>
      </c>
      <c r="G123" s="342"/>
      <c r="H123" s="43">
        <f t="shared" si="145"/>
        <v>3</v>
      </c>
      <c r="I123" s="350"/>
    </row>
    <row r="124" spans="1:9">
      <c r="A124" s="338" t="s">
        <v>357</v>
      </c>
      <c r="B124" s="339">
        <f>SUM(J49:J60)</f>
        <v>0</v>
      </c>
      <c r="C124" s="339">
        <f>SUM(Y49:Y60)</f>
        <v>0</v>
      </c>
      <c r="D124" s="340">
        <f>SUM(AN49:AN60)</f>
        <v>2</v>
      </c>
      <c r="E124" s="340">
        <f>SUM(BC49:BC60)</f>
        <v>1</v>
      </c>
      <c r="F124" s="341">
        <f t="shared" si="144"/>
        <v>3</v>
      </c>
      <c r="G124" s="342"/>
      <c r="H124" s="43">
        <f t="shared" si="145"/>
        <v>0.6</v>
      </c>
      <c r="I124" s="350"/>
    </row>
    <row r="125" spans="1:9">
      <c r="A125" s="338" t="s">
        <v>358</v>
      </c>
      <c r="B125" s="339">
        <f>SUM(K49:K60)</f>
        <v>0</v>
      </c>
      <c r="C125" s="339">
        <f>SUM(Z49:Z60)</f>
        <v>0</v>
      </c>
      <c r="D125" s="340">
        <f>SUM(AO49:AO60)</f>
        <v>0</v>
      </c>
      <c r="E125" s="340">
        <f>SUM(BD49:BD60)</f>
        <v>0</v>
      </c>
      <c r="F125" s="341">
        <f t="shared" si="144"/>
        <v>0</v>
      </c>
      <c r="G125" s="342"/>
      <c r="H125" s="43">
        <f t="shared" si="145"/>
        <v>0</v>
      </c>
      <c r="I125" s="350"/>
    </row>
    <row r="126" spans="1:9">
      <c r="A126" s="338" t="s">
        <v>359</v>
      </c>
      <c r="B126" s="339">
        <f>SUM(L49:L60)</f>
        <v>0</v>
      </c>
      <c r="C126" s="339">
        <f>SUM(AA49:AA60)</f>
        <v>0</v>
      </c>
      <c r="D126" s="340">
        <f>SUM(AP49:AP60)</f>
        <v>1</v>
      </c>
      <c r="E126" s="340">
        <f>SUM(BE49:BE60)</f>
        <v>0</v>
      </c>
      <c r="F126" s="341">
        <f t="shared" si="144"/>
        <v>1</v>
      </c>
      <c r="G126" s="342"/>
      <c r="H126" s="43">
        <f t="shared" si="145"/>
        <v>0.2</v>
      </c>
      <c r="I126" s="350"/>
    </row>
    <row r="127" spans="1:9">
      <c r="A127" s="338" t="s">
        <v>360</v>
      </c>
      <c r="B127" s="339">
        <f>SUM(M49:M60)</f>
        <v>0</v>
      </c>
      <c r="C127" s="339">
        <f>SUM(AB49:AB60)</f>
        <v>0</v>
      </c>
      <c r="D127" s="340">
        <f>SUM(AQ49:AQ60)</f>
        <v>2</v>
      </c>
      <c r="E127" s="340">
        <f>SUM(BF49:BF60)</f>
        <v>1</v>
      </c>
      <c r="F127" s="341">
        <f t="shared" si="144"/>
        <v>3</v>
      </c>
      <c r="G127" s="342"/>
      <c r="H127" s="43">
        <f t="shared" si="145"/>
        <v>0.6</v>
      </c>
      <c r="I127" s="350"/>
    </row>
    <row r="128" spans="1:9">
      <c r="A128" s="338" t="s">
        <v>361</v>
      </c>
      <c r="B128" s="339">
        <f>SUM(N49:N60)</f>
        <v>0</v>
      </c>
      <c r="C128" s="339">
        <f>SUM(AC49:AC60)</f>
        <v>0</v>
      </c>
      <c r="D128" s="340">
        <f>SUM(AR49:AR60)</f>
        <v>1</v>
      </c>
      <c r="E128" s="340">
        <f>SUM(BG49:BG60)</f>
        <v>0</v>
      </c>
      <c r="F128" s="341">
        <f t="shared" si="144"/>
        <v>1</v>
      </c>
      <c r="G128" s="342"/>
      <c r="H128" s="43">
        <f t="shared" si="145"/>
        <v>0.2</v>
      </c>
      <c r="I128" s="350"/>
    </row>
    <row r="129" spans="1:9">
      <c r="A129" s="338" t="s">
        <v>362</v>
      </c>
      <c r="B129" s="339">
        <f>SUM(O49:O60)</f>
        <v>0</v>
      </c>
      <c r="C129" s="339">
        <f>SUM(AD49:AD60)</f>
        <v>0</v>
      </c>
      <c r="D129" s="340">
        <f>SUM(AS49:AS60)</f>
        <v>0</v>
      </c>
      <c r="E129" s="340">
        <f>SUM(BH49:BH60)</f>
        <v>1</v>
      </c>
      <c r="F129" s="341">
        <f t="shared" si="144"/>
        <v>1</v>
      </c>
      <c r="G129" s="342"/>
      <c r="H129" s="43">
        <f t="shared" si="145"/>
        <v>0.2</v>
      </c>
      <c r="I129" s="350"/>
    </row>
    <row r="130" spans="1:9">
      <c r="A130" s="343" t="s">
        <v>363</v>
      </c>
      <c r="B130" s="348">
        <f>SUM(P49:P60)</f>
        <v>0</v>
      </c>
      <c r="C130" s="348">
        <f>SUM(AE49:AE60)</f>
        <v>0</v>
      </c>
      <c r="D130" s="340">
        <f>SUM(AT49:AT60)</f>
        <v>0</v>
      </c>
      <c r="E130" s="349">
        <f>SUM(BI49:BI60)</f>
        <v>0</v>
      </c>
      <c r="F130" s="341">
        <f t="shared" si="144"/>
        <v>0</v>
      </c>
      <c r="G130" s="342"/>
      <c r="H130" s="43">
        <f t="shared" si="145"/>
        <v>0</v>
      </c>
      <c r="I130" s="350"/>
    </row>
    <row r="131" ht="15.75" spans="1:9">
      <c r="A131" s="345"/>
      <c r="B131" s="346">
        <f>SUM(B120:B130)</f>
        <v>0</v>
      </c>
      <c r="C131" s="346">
        <f t="shared" ref="C131:E131" si="146">SUM(C120:C130)</f>
        <v>0</v>
      </c>
      <c r="D131" s="346">
        <f t="shared" si="146"/>
        <v>17</v>
      </c>
      <c r="E131" s="346">
        <f t="shared" si="146"/>
        <v>9</v>
      </c>
      <c r="F131" s="341">
        <f t="shared" si="144"/>
        <v>26</v>
      </c>
      <c r="G131" s="342"/>
      <c r="I131" s="350"/>
    </row>
  </sheetData>
  <sheetProtection deleteRows="0"/>
  <mergeCells count="92">
    <mergeCell ref="F9:G9"/>
    <mergeCell ref="U9:V9"/>
    <mergeCell ref="W9:X9"/>
    <mergeCell ref="Y9:Z9"/>
    <mergeCell ref="AM9:AO9"/>
    <mergeCell ref="F10:G10"/>
    <mergeCell ref="U10:V10"/>
    <mergeCell ref="W10:X10"/>
    <mergeCell ref="Y10:Z10"/>
    <mergeCell ref="AJ10:AL10"/>
    <mergeCell ref="AM10:AO10"/>
    <mergeCell ref="F11:G11"/>
    <mergeCell ref="U11:V11"/>
    <mergeCell ref="W11:X11"/>
    <mergeCell ref="Y11:Z11"/>
    <mergeCell ref="AJ11:AL11"/>
    <mergeCell ref="AM11:AO11"/>
    <mergeCell ref="F12:G12"/>
    <mergeCell ref="U12:V12"/>
    <mergeCell ref="W12:X12"/>
    <mergeCell ref="Y12:Z12"/>
    <mergeCell ref="AJ12:AL12"/>
    <mergeCell ref="AM12:AO12"/>
    <mergeCell ref="F13:G13"/>
    <mergeCell ref="U13:V13"/>
    <mergeCell ref="W13:X13"/>
    <mergeCell ref="Y13:Z13"/>
    <mergeCell ref="AJ13:AL13"/>
    <mergeCell ref="AM13:AO13"/>
    <mergeCell ref="B17:P17"/>
    <mergeCell ref="Q17:AE17"/>
    <mergeCell ref="AF17:AT17"/>
    <mergeCell ref="AU17:BI17"/>
    <mergeCell ref="BJ17:BM17"/>
    <mergeCell ref="A63:G63"/>
    <mergeCell ref="F64:G64"/>
    <mergeCell ref="F65:G65"/>
    <mergeCell ref="F66:G66"/>
    <mergeCell ref="F67:G67"/>
    <mergeCell ref="F68:G68"/>
    <mergeCell ref="A70:E70"/>
    <mergeCell ref="F71:G71"/>
    <mergeCell ref="F72:G72"/>
    <mergeCell ref="F73:G73"/>
    <mergeCell ref="F74:G74"/>
    <mergeCell ref="F75:G75"/>
    <mergeCell ref="A77:E77"/>
    <mergeCell ref="F78:G78"/>
    <mergeCell ref="F79:G79"/>
    <mergeCell ref="F80:G80"/>
    <mergeCell ref="F81:G81"/>
    <mergeCell ref="F82:G82"/>
    <mergeCell ref="F87:G87"/>
    <mergeCell ref="F88:G88"/>
    <mergeCell ref="F89:G89"/>
    <mergeCell ref="F90:G90"/>
    <mergeCell ref="F91:G91"/>
    <mergeCell ref="F92:G92"/>
    <mergeCell ref="F93:G93"/>
    <mergeCell ref="F94:G94"/>
    <mergeCell ref="F95:G95"/>
    <mergeCell ref="F96:G96"/>
    <mergeCell ref="F97:G97"/>
    <mergeCell ref="F98:G98"/>
    <mergeCell ref="F99:G99"/>
    <mergeCell ref="F103:G103"/>
    <mergeCell ref="F104:G104"/>
    <mergeCell ref="F105:G105"/>
    <mergeCell ref="F106:G106"/>
    <mergeCell ref="F107:G107"/>
    <mergeCell ref="F108:G108"/>
    <mergeCell ref="F109:G109"/>
    <mergeCell ref="F110:G110"/>
    <mergeCell ref="F111:G111"/>
    <mergeCell ref="F112:G112"/>
    <mergeCell ref="F113:G113"/>
    <mergeCell ref="F114:G114"/>
    <mergeCell ref="F115:G115"/>
    <mergeCell ref="F119:G119"/>
    <mergeCell ref="F120:G120"/>
    <mergeCell ref="F121:G121"/>
    <mergeCell ref="F122:G122"/>
    <mergeCell ref="F123:G123"/>
    <mergeCell ref="F124:G124"/>
    <mergeCell ref="F125:G125"/>
    <mergeCell ref="F126:G126"/>
    <mergeCell ref="F127:G127"/>
    <mergeCell ref="F128:G128"/>
    <mergeCell ref="F129:G129"/>
    <mergeCell ref="F130:G130"/>
    <mergeCell ref="F131:G131"/>
    <mergeCell ref="C1:Q3"/>
  </mergeCells>
  <pageMargins left="0.7" right="0.7" top="0.75" bottom="0.75" header="0.3" footer="0.3"/>
  <pageSetup paperSize="9" orientation="portrait" verticalDpi="9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B1:P125"/>
  <sheetViews>
    <sheetView topLeftCell="A95" workbookViewId="0">
      <selection activeCell="L37" sqref="L37"/>
    </sheetView>
  </sheetViews>
  <sheetFormatPr defaultColWidth="9" defaultRowHeight="15"/>
  <cols>
    <col min="1" max="1" width="4.57142857142857" customWidth="1"/>
    <col min="2" max="2" width="15" customWidth="1"/>
    <col min="4" max="4" width="10.5714285714286" customWidth="1"/>
    <col min="5" max="5" width="11.4285714285714" customWidth="1"/>
    <col min="6" max="6" width="11.7142857142857" customWidth="1"/>
    <col min="7" max="7" width="10.7142857142857" customWidth="1"/>
    <col min="8" max="8" width="10.5714285714286" customWidth="1"/>
    <col min="9" max="9" width="13.4285714285714" customWidth="1"/>
    <col min="11" max="11" width="15.2857142857143" customWidth="1"/>
  </cols>
  <sheetData>
    <row r="1" ht="15.75"/>
    <row r="2" ht="15.75" spans="4:16">
      <c r="D2" s="44" t="s">
        <v>370</v>
      </c>
      <c r="E2" s="45"/>
      <c r="F2" s="45"/>
      <c r="G2" s="45"/>
      <c r="H2" s="46"/>
      <c r="K2" s="102" t="s">
        <v>371</v>
      </c>
      <c r="L2" s="103">
        <v>2020</v>
      </c>
      <c r="M2" s="104">
        <v>2021</v>
      </c>
      <c r="N2" s="105">
        <v>2022</v>
      </c>
      <c r="O2" s="106">
        <v>2023</v>
      </c>
      <c r="P2" s="107">
        <v>2024</v>
      </c>
    </row>
    <row r="3" ht="15.75" spans="4:16">
      <c r="D3" s="44" t="s">
        <v>372</v>
      </c>
      <c r="E3" s="45" t="s">
        <v>373</v>
      </c>
      <c r="F3" s="45" t="s">
        <v>374</v>
      </c>
      <c r="G3" s="46" t="s">
        <v>375</v>
      </c>
      <c r="H3" s="47" t="s">
        <v>330</v>
      </c>
      <c r="K3" s="108" t="s">
        <v>376</v>
      </c>
      <c r="L3" s="109">
        <v>146</v>
      </c>
      <c r="M3" s="110">
        <v>216</v>
      </c>
      <c r="N3" s="111">
        <v>113</v>
      </c>
      <c r="O3" s="112">
        <v>215</v>
      </c>
      <c r="P3" s="113">
        <f>SUM(H4:H44)</f>
        <v>259</v>
      </c>
    </row>
    <row r="4" spans="2:16">
      <c r="B4" s="48" t="str">
        <f>'IA-SI  TANKER'!B4</f>
        <v>Alpine Pembroke (Sold)</v>
      </c>
      <c r="C4" s="49"/>
      <c r="D4" s="50">
        <v>0</v>
      </c>
      <c r="E4" s="51"/>
      <c r="F4" s="51"/>
      <c r="G4" s="52"/>
      <c r="H4" s="53">
        <f>SUM(D4:G4)</f>
        <v>0</v>
      </c>
      <c r="K4" s="114" t="s">
        <v>124</v>
      </c>
      <c r="L4" s="115">
        <v>39</v>
      </c>
      <c r="M4" s="116">
        <v>19</v>
      </c>
      <c r="N4" s="117">
        <v>62</v>
      </c>
      <c r="O4" s="118">
        <v>56</v>
      </c>
      <c r="P4" s="119">
        <f>P10+P16</f>
        <v>81</v>
      </c>
    </row>
    <row r="5" spans="2:16">
      <c r="B5" s="54" t="str">
        <f>'IA-SI  TANKER'!B5</f>
        <v>Alpine Pioneer (Sold)</v>
      </c>
      <c r="C5" s="55"/>
      <c r="D5" s="56"/>
      <c r="E5" s="57"/>
      <c r="F5" s="57"/>
      <c r="G5" s="58"/>
      <c r="H5" s="59">
        <f t="shared" ref="H5:H44" si="0">SUM(D5:G5)</f>
        <v>0</v>
      </c>
      <c r="K5" s="114" t="s">
        <v>377</v>
      </c>
      <c r="L5" s="115">
        <v>9</v>
      </c>
      <c r="M5" s="116">
        <v>13</v>
      </c>
      <c r="N5" s="117">
        <v>7</v>
      </c>
      <c r="O5" s="118">
        <v>10</v>
      </c>
      <c r="P5" s="119">
        <f>SUM(H50:H79)</f>
        <v>15</v>
      </c>
    </row>
    <row r="6" ht="15.75" spans="2:16">
      <c r="B6" s="60" t="str">
        <f>'IA-SI  TANKER'!B6</f>
        <v>Bagheera</v>
      </c>
      <c r="C6" s="61"/>
      <c r="D6" s="62">
        <v>1</v>
      </c>
      <c r="E6" s="63">
        <v>4</v>
      </c>
      <c r="F6" s="63">
        <v>4</v>
      </c>
      <c r="G6" s="64">
        <v>6</v>
      </c>
      <c r="H6" s="59">
        <f t="shared" ref="H6:H7" si="1">SUM(D6:G6)</f>
        <v>15</v>
      </c>
      <c r="K6" s="120" t="s">
        <v>378</v>
      </c>
      <c r="L6" s="121">
        <v>0</v>
      </c>
      <c r="M6" s="122">
        <v>0</v>
      </c>
      <c r="N6" s="123">
        <v>1</v>
      </c>
      <c r="O6" s="124">
        <v>3</v>
      </c>
      <c r="P6" s="125">
        <f>SUM(H84:H125)</f>
        <v>10</v>
      </c>
    </row>
    <row r="7" ht="15.75" spans="2:11">
      <c r="B7" s="60" t="str">
        <f>'IA-SI  TANKER'!B7</f>
        <v>Bantry Bay</v>
      </c>
      <c r="C7" s="61"/>
      <c r="D7" s="62">
        <v>1</v>
      </c>
      <c r="E7" s="63">
        <v>1</v>
      </c>
      <c r="F7" s="63">
        <v>1</v>
      </c>
      <c r="G7" s="65">
        <v>1</v>
      </c>
      <c r="H7" s="59">
        <f t="shared" si="1"/>
        <v>4</v>
      </c>
      <c r="K7" s="126"/>
    </row>
    <row r="8" ht="15.75" spans="2:16">
      <c r="B8" s="60" t="str">
        <f>'IA-SI  TANKER'!B8</f>
        <v>Bright Future</v>
      </c>
      <c r="C8" s="61"/>
      <c r="D8" s="62">
        <v>3</v>
      </c>
      <c r="E8" s="63">
        <v>1</v>
      </c>
      <c r="F8" s="63">
        <v>5</v>
      </c>
      <c r="G8" s="65">
        <v>3</v>
      </c>
      <c r="H8" s="59">
        <f t="shared" si="0"/>
        <v>12</v>
      </c>
      <c r="K8" s="127" t="s">
        <v>379</v>
      </c>
      <c r="L8" s="128">
        <v>2020</v>
      </c>
      <c r="M8" s="129">
        <v>2021</v>
      </c>
      <c r="N8" s="130">
        <v>2022</v>
      </c>
      <c r="O8" s="131">
        <v>2023</v>
      </c>
      <c r="P8" s="132">
        <v>2024</v>
      </c>
    </row>
    <row r="9" spans="2:16">
      <c r="B9" s="60" t="str">
        <f>'IA-SI  TANKER'!B9</f>
        <v>Cielo di Houston</v>
      </c>
      <c r="C9" s="61"/>
      <c r="D9" s="62">
        <v>1</v>
      </c>
      <c r="E9" s="63">
        <v>2</v>
      </c>
      <c r="F9" s="63">
        <v>2</v>
      </c>
      <c r="G9" s="65">
        <v>2</v>
      </c>
      <c r="H9" s="59">
        <f t="shared" si="0"/>
        <v>7</v>
      </c>
      <c r="K9" s="108" t="s">
        <v>376</v>
      </c>
      <c r="L9" s="133">
        <v>79</v>
      </c>
      <c r="M9" s="134">
        <v>110</v>
      </c>
      <c r="N9" s="135">
        <v>71</v>
      </c>
      <c r="O9" s="136">
        <v>163</v>
      </c>
      <c r="P9" s="137">
        <f>SUM(H4:H33)</f>
        <v>201</v>
      </c>
    </row>
    <row r="10" spans="2:16">
      <c r="B10" s="60" t="str">
        <f>'IA-SI  TANKER'!B10</f>
        <v>Cielo Rosso</v>
      </c>
      <c r="C10" s="61"/>
      <c r="D10" s="62">
        <v>1</v>
      </c>
      <c r="E10" s="63">
        <v>2</v>
      </c>
      <c r="F10" s="63">
        <v>0</v>
      </c>
      <c r="G10" s="65">
        <v>1</v>
      </c>
      <c r="H10" s="59">
        <f t="shared" si="0"/>
        <v>4</v>
      </c>
      <c r="K10" s="114" t="s">
        <v>380</v>
      </c>
      <c r="L10" s="138">
        <v>21</v>
      </c>
      <c r="M10" s="116">
        <v>17</v>
      </c>
      <c r="N10" s="139">
        <v>42</v>
      </c>
      <c r="O10" s="140">
        <v>43</v>
      </c>
      <c r="P10" s="141">
        <f>SUM('Tanker Data'!P3:P122)</f>
        <v>71</v>
      </c>
    </row>
    <row r="11" spans="2:16">
      <c r="B11" s="60" t="str">
        <f>'IA-SI  TANKER'!B11</f>
        <v>Clearocean Maria</v>
      </c>
      <c r="C11" s="61"/>
      <c r="D11" s="62">
        <v>2</v>
      </c>
      <c r="E11" s="63">
        <v>1</v>
      </c>
      <c r="F11" s="63">
        <v>1</v>
      </c>
      <c r="G11" s="65">
        <v>3</v>
      </c>
      <c r="H11" s="59">
        <f t="shared" si="0"/>
        <v>7</v>
      </c>
      <c r="K11" s="114" t="s">
        <v>377</v>
      </c>
      <c r="L11" s="138">
        <v>9</v>
      </c>
      <c r="M11" s="116">
        <v>13</v>
      </c>
      <c r="N11" s="139">
        <v>7</v>
      </c>
      <c r="O11" s="140">
        <v>10</v>
      </c>
      <c r="P11" s="141">
        <f>SUM(H50:H79)</f>
        <v>15</v>
      </c>
    </row>
    <row r="12" ht="15.75" spans="2:16">
      <c r="B12" s="60" t="str">
        <f>'IA-SI  TANKER'!B12</f>
        <v>Clearocean Mary</v>
      </c>
      <c r="C12" s="61"/>
      <c r="D12" s="62">
        <v>1</v>
      </c>
      <c r="E12" s="63">
        <v>2</v>
      </c>
      <c r="F12" s="63">
        <v>1</v>
      </c>
      <c r="G12" s="65">
        <v>2</v>
      </c>
      <c r="H12" s="59">
        <f t="shared" si="0"/>
        <v>6</v>
      </c>
      <c r="K12" s="120" t="s">
        <v>378</v>
      </c>
      <c r="L12" s="142">
        <v>0</v>
      </c>
      <c r="M12" s="122">
        <v>0</v>
      </c>
      <c r="N12" s="143">
        <v>0</v>
      </c>
      <c r="O12" s="144">
        <v>1</v>
      </c>
      <c r="P12" s="145">
        <f>SUM(H84:H113)</f>
        <v>6</v>
      </c>
    </row>
    <row r="13" ht="15.75" spans="2:8">
      <c r="B13" s="60" t="str">
        <f>'IA-SI  TANKER'!B13</f>
        <v>Clearocean Mathilde</v>
      </c>
      <c r="C13" s="61"/>
      <c r="D13" s="62">
        <v>1</v>
      </c>
      <c r="E13" s="63">
        <v>1</v>
      </c>
      <c r="F13" s="63">
        <v>1</v>
      </c>
      <c r="G13" s="65">
        <v>2</v>
      </c>
      <c r="H13" s="59">
        <f t="shared" si="0"/>
        <v>5</v>
      </c>
    </row>
    <row r="14" ht="15.75" spans="2:16">
      <c r="B14" s="60" t="str">
        <f>'IA-SI  TANKER'!B14</f>
        <v>Clearocean Music</v>
      </c>
      <c r="C14" s="61"/>
      <c r="D14" s="62">
        <v>2</v>
      </c>
      <c r="E14" s="63">
        <v>2</v>
      </c>
      <c r="F14" s="63">
        <v>1</v>
      </c>
      <c r="G14" s="65">
        <v>2</v>
      </c>
      <c r="H14" s="59">
        <f t="shared" si="0"/>
        <v>7</v>
      </c>
      <c r="K14" s="102" t="s">
        <v>332</v>
      </c>
      <c r="L14" s="128">
        <v>2020</v>
      </c>
      <c r="M14" s="129">
        <v>2021</v>
      </c>
      <c r="N14" s="130">
        <v>2022</v>
      </c>
      <c r="O14" s="131">
        <v>2023</v>
      </c>
      <c r="P14" s="132">
        <v>2024</v>
      </c>
    </row>
    <row r="15" spans="2:16">
      <c r="B15" s="60" t="str">
        <f>'IA-SI  TANKER'!B15</f>
        <v>Rui Fu Xing (Glenda Melanie)</v>
      </c>
      <c r="C15" s="61"/>
      <c r="D15" s="62">
        <v>3</v>
      </c>
      <c r="E15" s="63">
        <v>3</v>
      </c>
      <c r="F15" s="63">
        <v>2</v>
      </c>
      <c r="G15" s="65">
        <v>3</v>
      </c>
      <c r="H15" s="59">
        <f t="shared" si="0"/>
        <v>11</v>
      </c>
      <c r="J15" s="43"/>
      <c r="K15" s="146" t="s">
        <v>376</v>
      </c>
      <c r="L15" s="133">
        <v>67</v>
      </c>
      <c r="M15" s="134">
        <v>106</v>
      </c>
      <c r="N15" s="135">
        <v>42</v>
      </c>
      <c r="O15" s="136">
        <v>52</v>
      </c>
      <c r="P15" s="137">
        <f>SUM(H34:H44)</f>
        <v>58</v>
      </c>
    </row>
    <row r="16" spans="2:16">
      <c r="B16" s="60" t="str">
        <f>'IA-SI  TANKER'!B16</f>
        <v>Glenda Melissa</v>
      </c>
      <c r="C16" s="61"/>
      <c r="D16" s="62">
        <v>2</v>
      </c>
      <c r="E16" s="63">
        <v>8</v>
      </c>
      <c r="F16" s="63">
        <v>3</v>
      </c>
      <c r="G16" s="65">
        <v>2</v>
      </c>
      <c r="H16" s="59">
        <f t="shared" si="0"/>
        <v>15</v>
      </c>
      <c r="J16" s="43"/>
      <c r="K16" s="147" t="s">
        <v>380</v>
      </c>
      <c r="L16" s="138">
        <v>18</v>
      </c>
      <c r="M16" s="116">
        <v>2</v>
      </c>
      <c r="N16" s="139">
        <v>20</v>
      </c>
      <c r="O16" s="140">
        <v>13</v>
      </c>
      <c r="P16" s="141">
        <f>SUM('Dry Data'!P3:P54)</f>
        <v>10</v>
      </c>
    </row>
    <row r="17" ht="15.75" spans="2:16">
      <c r="B17" s="60" t="str">
        <f>'IA-SI  TANKER'!B17</f>
        <v>Glenda Melody</v>
      </c>
      <c r="C17" s="61"/>
      <c r="D17" s="62">
        <v>2</v>
      </c>
      <c r="E17" s="63">
        <v>1</v>
      </c>
      <c r="F17" s="63">
        <v>1</v>
      </c>
      <c r="G17" s="65">
        <v>2</v>
      </c>
      <c r="H17" s="59">
        <f t="shared" si="0"/>
        <v>6</v>
      </c>
      <c r="J17" s="43"/>
      <c r="K17" s="148" t="s">
        <v>378</v>
      </c>
      <c r="L17" s="142">
        <v>0</v>
      </c>
      <c r="M17" s="122">
        <v>0</v>
      </c>
      <c r="N17" s="143">
        <v>1</v>
      </c>
      <c r="O17" s="144">
        <v>2</v>
      </c>
      <c r="P17" s="145">
        <f>SUM(H114:H125)</f>
        <v>4</v>
      </c>
    </row>
    <row r="18" spans="2:10">
      <c r="B18" s="60" t="str">
        <f>'IA-SI  TANKER'!B18</f>
        <v>Glenda Meryl</v>
      </c>
      <c r="C18" s="61"/>
      <c r="D18" s="62">
        <v>0</v>
      </c>
      <c r="E18" s="63">
        <v>1</v>
      </c>
      <c r="F18" s="63">
        <v>1</v>
      </c>
      <c r="G18" s="65">
        <v>3</v>
      </c>
      <c r="H18" s="59">
        <f t="shared" si="0"/>
        <v>5</v>
      </c>
      <c r="J18" s="43"/>
    </row>
    <row r="19" spans="2:10">
      <c r="B19" s="60" t="str">
        <f>'IA-SI  TANKER'!B19</f>
        <v>Herolds Bay</v>
      </c>
      <c r="C19" s="61"/>
      <c r="D19" s="62">
        <v>1</v>
      </c>
      <c r="E19" s="63">
        <v>1</v>
      </c>
      <c r="F19" s="63">
        <v>1</v>
      </c>
      <c r="G19" s="65">
        <v>1</v>
      </c>
      <c r="H19" s="59">
        <f t="shared" si="0"/>
        <v>4</v>
      </c>
      <c r="J19" s="43"/>
    </row>
    <row r="20" spans="2:10">
      <c r="B20" s="60" t="str">
        <f>'IA-SI  TANKER'!B20</f>
        <v>High Explorer</v>
      </c>
      <c r="C20" s="61"/>
      <c r="D20" s="62">
        <v>1</v>
      </c>
      <c r="E20" s="63">
        <v>2</v>
      </c>
      <c r="F20" s="63">
        <v>1</v>
      </c>
      <c r="G20" s="65">
        <v>1</v>
      </c>
      <c r="H20" s="59">
        <f t="shared" si="0"/>
        <v>5</v>
      </c>
      <c r="J20" s="43"/>
    </row>
    <row r="21" spans="2:10">
      <c r="B21" s="66" t="str">
        <f>'IA-SI  TANKER'!B21</f>
        <v>High Mariner</v>
      </c>
      <c r="C21" s="67"/>
      <c r="D21" s="56"/>
      <c r="E21" s="57"/>
      <c r="F21" s="57"/>
      <c r="G21" s="65">
        <v>4</v>
      </c>
      <c r="H21" s="59">
        <f t="shared" si="0"/>
        <v>4</v>
      </c>
      <c r="J21" s="43"/>
    </row>
    <row r="22" spans="2:10">
      <c r="B22" s="66" t="str">
        <f>'IA-SI  TANKER'!B22</f>
        <v>High Transporter</v>
      </c>
      <c r="C22" s="67"/>
      <c r="D22" s="56"/>
      <c r="E22" s="57"/>
      <c r="F22" s="63">
        <v>1</v>
      </c>
      <c r="G22" s="65">
        <v>2</v>
      </c>
      <c r="H22" s="59">
        <f t="shared" si="0"/>
        <v>3</v>
      </c>
      <c r="J22" s="43"/>
    </row>
    <row r="23" spans="2:10">
      <c r="B23" s="60" t="str">
        <f>'IA-SI  TANKER'!B23</f>
        <v>Kalk Bay</v>
      </c>
      <c r="C23" s="61"/>
      <c r="D23" s="62">
        <v>2</v>
      </c>
      <c r="E23" s="63">
        <v>2</v>
      </c>
      <c r="F23" s="63">
        <v>9</v>
      </c>
      <c r="G23" s="65">
        <v>1</v>
      </c>
      <c r="H23" s="59">
        <f t="shared" si="0"/>
        <v>14</v>
      </c>
      <c r="J23" s="43"/>
    </row>
    <row r="24" spans="2:10">
      <c r="B24" s="60" t="str">
        <f>'IA-SI  TANKER'!B24</f>
        <v>Mossel Bay</v>
      </c>
      <c r="C24" s="61"/>
      <c r="D24" s="62">
        <v>2</v>
      </c>
      <c r="E24" s="63">
        <v>2</v>
      </c>
      <c r="F24" s="63">
        <v>2</v>
      </c>
      <c r="G24" s="65">
        <v>3</v>
      </c>
      <c r="H24" s="59">
        <f t="shared" si="0"/>
        <v>9</v>
      </c>
      <c r="J24" s="43"/>
    </row>
    <row r="25" spans="2:10">
      <c r="B25" s="66" t="str">
        <f>'IA-SI  TANKER'!B25</f>
        <v>Philotimos</v>
      </c>
      <c r="C25" s="67"/>
      <c r="D25" s="56"/>
      <c r="E25" s="57"/>
      <c r="F25" s="63">
        <v>8</v>
      </c>
      <c r="G25" s="65">
        <v>1</v>
      </c>
      <c r="H25" s="59">
        <f t="shared" si="0"/>
        <v>9</v>
      </c>
      <c r="J25" s="43"/>
    </row>
    <row r="26" spans="2:10">
      <c r="B26" s="60" t="str">
        <f>'IA-SI  TANKER'!B26</f>
        <v>Philoxenia</v>
      </c>
      <c r="C26" s="61"/>
      <c r="D26" s="62">
        <v>2</v>
      </c>
      <c r="E26" s="63">
        <v>1</v>
      </c>
      <c r="F26" s="63">
        <v>1</v>
      </c>
      <c r="G26" s="65">
        <v>6</v>
      </c>
      <c r="H26" s="59">
        <f t="shared" si="0"/>
        <v>10</v>
      </c>
      <c r="J26" s="43"/>
    </row>
    <row r="27" spans="2:10">
      <c r="B27" s="60" t="str">
        <f>'IA-SI  TANKER'!B27</f>
        <v>PNX Conqueror</v>
      </c>
      <c r="C27" s="61"/>
      <c r="D27" s="56"/>
      <c r="E27" s="57"/>
      <c r="F27" s="57"/>
      <c r="G27" s="58"/>
      <c r="H27" s="59">
        <f t="shared" si="0"/>
        <v>0</v>
      </c>
      <c r="J27" s="43"/>
    </row>
    <row r="28" spans="2:10">
      <c r="B28" s="60" t="str">
        <f>'IA-SI  TANKER'!B28</f>
        <v>PS Tokyo (Gone)</v>
      </c>
      <c r="C28" s="61"/>
      <c r="D28" s="62">
        <v>2</v>
      </c>
      <c r="E28" s="63">
        <v>2</v>
      </c>
      <c r="F28" s="57"/>
      <c r="G28" s="58"/>
      <c r="H28" s="59">
        <f t="shared" si="0"/>
        <v>4</v>
      </c>
      <c r="J28" s="43"/>
    </row>
    <row r="29" spans="2:10">
      <c r="B29" s="60" t="str">
        <f>'IA-SI  TANKER'!B29</f>
        <v>PS Vancouver</v>
      </c>
      <c r="C29" s="61"/>
      <c r="D29" s="62">
        <v>1</v>
      </c>
      <c r="E29" s="63">
        <v>1</v>
      </c>
      <c r="F29" s="63">
        <v>2</v>
      </c>
      <c r="G29" s="65">
        <v>1</v>
      </c>
      <c r="H29" s="59">
        <f t="shared" si="0"/>
        <v>5</v>
      </c>
      <c r="J29" s="43"/>
    </row>
    <row r="30" spans="2:10">
      <c r="B30" s="66" t="str">
        <f>'Tanker Data'!A401</f>
        <v>Table Bay</v>
      </c>
      <c r="C30" s="67"/>
      <c r="D30" s="62">
        <v>2</v>
      </c>
      <c r="E30" s="63">
        <v>2</v>
      </c>
      <c r="F30" s="63">
        <v>1</v>
      </c>
      <c r="G30" s="65">
        <v>1</v>
      </c>
      <c r="H30" s="59">
        <f t="shared" si="0"/>
        <v>6</v>
      </c>
      <c r="J30" s="43"/>
    </row>
    <row r="31" spans="2:10">
      <c r="B31" s="60" t="str">
        <f>'IA-SI  TANKER'!B31</f>
        <v>Rui Fu Sheng</v>
      </c>
      <c r="C31" s="61"/>
      <c r="D31" s="62">
        <v>1</v>
      </c>
      <c r="E31" s="63">
        <v>0</v>
      </c>
      <c r="F31" s="63">
        <v>2</v>
      </c>
      <c r="G31" s="65">
        <v>4</v>
      </c>
      <c r="H31" s="59">
        <f t="shared" si="0"/>
        <v>7</v>
      </c>
      <c r="J31" s="43"/>
    </row>
    <row r="32" spans="2:10">
      <c r="B32" s="66" t="str">
        <f>'IA-SI  TANKER'!B32</f>
        <v>Vialli</v>
      </c>
      <c r="C32" s="67"/>
      <c r="D32" s="62">
        <v>2</v>
      </c>
      <c r="E32" s="63">
        <v>3</v>
      </c>
      <c r="F32" s="63">
        <v>5</v>
      </c>
      <c r="G32" s="65">
        <v>1</v>
      </c>
      <c r="H32" s="59">
        <f t="shared" si="0"/>
        <v>11</v>
      </c>
      <c r="J32" s="43"/>
    </row>
    <row r="33" ht="15.75" spans="2:10">
      <c r="B33" s="68" t="str">
        <f>'IA-SI  TANKER'!B33</f>
        <v>Victoria Bay</v>
      </c>
      <c r="C33" s="69"/>
      <c r="D33" s="70">
        <v>1</v>
      </c>
      <c r="E33" s="71">
        <v>1</v>
      </c>
      <c r="F33" s="71">
        <v>1</v>
      </c>
      <c r="G33" s="72">
        <v>3</v>
      </c>
      <c r="H33" s="73">
        <f t="shared" si="0"/>
        <v>6</v>
      </c>
      <c r="J33" s="43"/>
    </row>
    <row r="34" ht="15.75" customHeight="1" spans="2:10">
      <c r="B34" s="74" t="str">
        <f>' IA-SI DRY'!B4</f>
        <v>Cielo di Valparaiso</v>
      </c>
      <c r="C34" s="75"/>
      <c r="D34" s="76">
        <v>3</v>
      </c>
      <c r="E34" s="77">
        <v>2</v>
      </c>
      <c r="F34" s="51"/>
      <c r="G34" s="78"/>
      <c r="H34" s="79">
        <f t="shared" si="0"/>
        <v>5</v>
      </c>
      <c r="J34" s="43"/>
    </row>
    <row r="35" spans="2:8">
      <c r="B35" s="60" t="str">
        <f>' IA-SI DRY'!B5</f>
        <v>Cielo Dei Maronti</v>
      </c>
      <c r="C35" s="80"/>
      <c r="D35" s="62">
        <v>0</v>
      </c>
      <c r="E35" s="63">
        <v>1</v>
      </c>
      <c r="F35" s="63">
        <v>1</v>
      </c>
      <c r="G35" s="81">
        <v>1</v>
      </c>
      <c r="H35" s="82">
        <f t="shared" si="0"/>
        <v>3</v>
      </c>
    </row>
    <row r="36" spans="2:8">
      <c r="B36" s="60" t="str">
        <f>' IA-SI DRY'!B6</f>
        <v>Medi Adriatico</v>
      </c>
      <c r="C36" s="80"/>
      <c r="D36" s="83"/>
      <c r="E36" s="63">
        <v>0</v>
      </c>
      <c r="F36" s="63">
        <v>1</v>
      </c>
      <c r="G36" s="84"/>
      <c r="H36" s="82">
        <f t="shared" si="0"/>
        <v>1</v>
      </c>
    </row>
    <row r="37" spans="2:8">
      <c r="B37" s="60" t="str">
        <f>' IA-SI DRY'!B7</f>
        <v>Medi Atlantico</v>
      </c>
      <c r="C37" s="80"/>
      <c r="D37" s="62">
        <v>5</v>
      </c>
      <c r="E37" s="63">
        <v>0</v>
      </c>
      <c r="F37" s="63">
        <v>2</v>
      </c>
      <c r="G37" s="81">
        <v>2</v>
      </c>
      <c r="H37" s="82">
        <f t="shared" si="0"/>
        <v>9</v>
      </c>
    </row>
    <row r="38" ht="15.75" spans="2:8">
      <c r="B38" s="60" t="str">
        <f>' IA-SI DRY'!B15</f>
        <v>Medi Caboto</v>
      </c>
      <c r="C38" s="80"/>
      <c r="D38" s="85"/>
      <c r="E38" s="86"/>
      <c r="F38" s="86"/>
      <c r="G38" s="81"/>
      <c r="H38" s="82">
        <f t="shared" si="0"/>
        <v>0</v>
      </c>
    </row>
    <row r="39" spans="2:8">
      <c r="B39" s="60" t="str">
        <f>' IA-SI DRY'!B8</f>
        <v>Medi Egadi</v>
      </c>
      <c r="C39" s="80"/>
      <c r="D39" s="62">
        <v>2</v>
      </c>
      <c r="E39" s="63">
        <v>3</v>
      </c>
      <c r="F39" s="63">
        <v>1</v>
      </c>
      <c r="G39" s="87">
        <v>1</v>
      </c>
      <c r="H39" s="82">
        <f t="shared" si="0"/>
        <v>7</v>
      </c>
    </row>
    <row r="40" spans="2:8">
      <c r="B40" s="60" t="str">
        <f>' IA-SI DRY'!B9</f>
        <v>Medi Egeo</v>
      </c>
      <c r="C40" s="80"/>
      <c r="D40" s="62">
        <v>1</v>
      </c>
      <c r="E40" s="63">
        <v>3</v>
      </c>
      <c r="F40" s="63">
        <v>3</v>
      </c>
      <c r="G40" s="81">
        <v>2</v>
      </c>
      <c r="H40" s="82">
        <f t="shared" si="0"/>
        <v>9</v>
      </c>
    </row>
    <row r="41" spans="2:8">
      <c r="B41" s="60" t="str">
        <f>' IA-SI DRY'!B11</f>
        <v>Medi Palmarola</v>
      </c>
      <c r="C41" s="80"/>
      <c r="D41" s="62">
        <v>2</v>
      </c>
      <c r="E41" s="63">
        <v>1</v>
      </c>
      <c r="F41" s="63">
        <v>1</v>
      </c>
      <c r="G41" s="81">
        <v>0</v>
      </c>
      <c r="H41" s="82">
        <f t="shared" si="0"/>
        <v>4</v>
      </c>
    </row>
    <row r="42" spans="2:8">
      <c r="B42" s="60" t="s">
        <v>120</v>
      </c>
      <c r="C42" s="80"/>
      <c r="D42" s="88"/>
      <c r="E42" s="89"/>
      <c r="F42" s="90">
        <v>5</v>
      </c>
      <c r="G42" s="91">
        <v>5</v>
      </c>
      <c r="H42" s="82">
        <f t="shared" si="0"/>
        <v>10</v>
      </c>
    </row>
    <row r="43" spans="2:8">
      <c r="B43" s="60" t="str">
        <f>' IA-SI DRY'!B13</f>
        <v>Medi Tirreno</v>
      </c>
      <c r="C43" s="80"/>
      <c r="D43" s="83"/>
      <c r="E43" s="63">
        <v>2</v>
      </c>
      <c r="F43" s="63">
        <v>0</v>
      </c>
      <c r="G43" s="81">
        <v>4</v>
      </c>
      <c r="H43" s="82">
        <f t="shared" si="0"/>
        <v>6</v>
      </c>
    </row>
    <row r="44" ht="15.75" spans="2:8">
      <c r="B44" s="92" t="str">
        <f>' IA-SI DRY'!B14</f>
        <v>Medi Zuoz</v>
      </c>
      <c r="C44" s="93"/>
      <c r="D44" s="94">
        <v>2</v>
      </c>
      <c r="E44" s="95">
        <v>0</v>
      </c>
      <c r="F44" s="95">
        <v>1</v>
      </c>
      <c r="G44" s="96">
        <v>1</v>
      </c>
      <c r="H44" s="97">
        <f t="shared" si="0"/>
        <v>4</v>
      </c>
    </row>
    <row r="47" ht="15.75"/>
    <row r="48" ht="15.75" spans="4:8">
      <c r="D48" s="44" t="s">
        <v>381</v>
      </c>
      <c r="E48" s="45"/>
      <c r="F48" s="45"/>
      <c r="G48" s="45"/>
      <c r="H48" s="46"/>
    </row>
    <row r="49" ht="15.75" spans="4:8">
      <c r="D49" s="44" t="s">
        <v>372</v>
      </c>
      <c r="E49" s="45" t="s">
        <v>373</v>
      </c>
      <c r="F49" s="45" t="s">
        <v>374</v>
      </c>
      <c r="G49" s="45" t="s">
        <v>375</v>
      </c>
      <c r="H49" s="46" t="s">
        <v>330</v>
      </c>
    </row>
    <row r="50" spans="2:8">
      <c r="B50" s="98" t="str">
        <f>'IA-SI  TANKER'!B4</f>
        <v>Alpine Pembroke (Sold)</v>
      </c>
      <c r="C50" s="99"/>
      <c r="D50" s="76">
        <v>1</v>
      </c>
      <c r="E50" s="77">
        <v>0</v>
      </c>
      <c r="F50" s="77">
        <v>0</v>
      </c>
      <c r="G50" s="77">
        <v>0</v>
      </c>
      <c r="H50" s="53">
        <f>SUM(D50:G50)</f>
        <v>1</v>
      </c>
    </row>
    <row r="51" spans="2:8">
      <c r="B51" s="100" t="str">
        <f>'IA-SI  TANKER'!B5</f>
        <v>Alpine Pioneer (Sold)</v>
      </c>
      <c r="C51" s="101"/>
      <c r="D51" s="62">
        <v>0</v>
      </c>
      <c r="E51" s="63">
        <v>0</v>
      </c>
      <c r="F51" s="63">
        <v>0</v>
      </c>
      <c r="G51" s="81">
        <v>0</v>
      </c>
      <c r="H51" s="59">
        <f t="shared" ref="H51:H79" si="2">SUM(D51:G51)</f>
        <v>0</v>
      </c>
    </row>
    <row r="52" spans="2:8">
      <c r="B52" s="66" t="str">
        <f>'IA-SI  TANKER'!B6</f>
        <v>Bagheera</v>
      </c>
      <c r="C52" s="67"/>
      <c r="D52" s="62">
        <v>0</v>
      </c>
      <c r="E52" s="63">
        <v>0</v>
      </c>
      <c r="F52" s="63">
        <v>0</v>
      </c>
      <c r="G52" s="81">
        <v>3</v>
      </c>
      <c r="H52" s="59">
        <f t="shared" si="2"/>
        <v>3</v>
      </c>
    </row>
    <row r="53" spans="2:8">
      <c r="B53" s="66" t="str">
        <f>'IA-SI  TANKER'!B7</f>
        <v>Bantry Bay</v>
      </c>
      <c r="C53" s="67"/>
      <c r="D53" s="62">
        <v>0</v>
      </c>
      <c r="E53" s="63">
        <v>0</v>
      </c>
      <c r="F53" s="63">
        <v>0</v>
      </c>
      <c r="G53" s="81">
        <v>0</v>
      </c>
      <c r="H53" s="59">
        <f t="shared" si="2"/>
        <v>0</v>
      </c>
    </row>
    <row r="54" spans="2:8">
      <c r="B54" s="66" t="str">
        <f>'IA-SI  TANKER'!B8</f>
        <v>Bright Future</v>
      </c>
      <c r="C54" s="67"/>
      <c r="D54" s="62">
        <v>0</v>
      </c>
      <c r="E54" s="63">
        <v>0</v>
      </c>
      <c r="F54" s="63">
        <v>0</v>
      </c>
      <c r="G54" s="81">
        <v>0</v>
      </c>
      <c r="H54" s="59">
        <f t="shared" si="2"/>
        <v>0</v>
      </c>
    </row>
    <row r="55" spans="2:8">
      <c r="B55" s="66" t="str">
        <f>'IA-SI  TANKER'!B9</f>
        <v>Cielo di Houston</v>
      </c>
      <c r="C55" s="67"/>
      <c r="D55" s="62">
        <v>0</v>
      </c>
      <c r="E55" s="63">
        <v>0</v>
      </c>
      <c r="F55" s="63">
        <v>0</v>
      </c>
      <c r="G55" s="81">
        <v>0</v>
      </c>
      <c r="H55" s="59">
        <f t="shared" ref="H55" si="3">SUM(D55:G55)</f>
        <v>0</v>
      </c>
    </row>
    <row r="56" spans="2:8">
      <c r="B56" s="66" t="str">
        <f>'IA-SI  TANKER'!B10</f>
        <v>Cielo Rosso</v>
      </c>
      <c r="C56" s="67"/>
      <c r="D56" s="62">
        <v>0</v>
      </c>
      <c r="E56" s="63">
        <v>0</v>
      </c>
      <c r="F56" s="63">
        <v>0</v>
      </c>
      <c r="G56" s="81">
        <v>0</v>
      </c>
      <c r="H56" s="59">
        <f t="shared" si="2"/>
        <v>0</v>
      </c>
    </row>
    <row r="57" spans="2:8">
      <c r="B57" s="66" t="str">
        <f>'IA-SI  TANKER'!B11</f>
        <v>Clearocean Maria</v>
      </c>
      <c r="C57" s="67"/>
      <c r="D57" s="62">
        <v>0</v>
      </c>
      <c r="E57" s="63">
        <v>1</v>
      </c>
      <c r="F57" s="63">
        <v>1</v>
      </c>
      <c r="G57" s="81">
        <v>0</v>
      </c>
      <c r="H57" s="59">
        <f t="shared" si="2"/>
        <v>2</v>
      </c>
    </row>
    <row r="58" spans="2:8">
      <c r="B58" s="66" t="str">
        <f>'IA-SI  TANKER'!B12</f>
        <v>Clearocean Mary</v>
      </c>
      <c r="C58" s="67"/>
      <c r="D58" s="62">
        <v>0</v>
      </c>
      <c r="E58" s="63">
        <v>1</v>
      </c>
      <c r="F58" s="63">
        <v>0</v>
      </c>
      <c r="G58" s="81">
        <v>0</v>
      </c>
      <c r="H58" s="59">
        <f t="shared" si="2"/>
        <v>1</v>
      </c>
    </row>
    <row r="59" spans="2:8">
      <c r="B59" s="66" t="str">
        <f>'IA-SI  TANKER'!B13</f>
        <v>Clearocean Mathilde</v>
      </c>
      <c r="C59" s="67"/>
      <c r="D59" s="62">
        <v>0</v>
      </c>
      <c r="E59" s="63">
        <v>0</v>
      </c>
      <c r="F59" s="63">
        <v>0</v>
      </c>
      <c r="G59" s="81">
        <v>0</v>
      </c>
      <c r="H59" s="59">
        <f t="shared" si="2"/>
        <v>0</v>
      </c>
    </row>
    <row r="60" spans="2:8">
      <c r="B60" s="66" t="str">
        <f>'IA-SI  TANKER'!B14</f>
        <v>Clearocean Music</v>
      </c>
      <c r="C60" s="67"/>
      <c r="D60" s="62">
        <v>0</v>
      </c>
      <c r="E60" s="63">
        <v>0</v>
      </c>
      <c r="F60" s="63">
        <v>2</v>
      </c>
      <c r="G60" s="81">
        <v>1</v>
      </c>
      <c r="H60" s="59">
        <f t="shared" si="2"/>
        <v>3</v>
      </c>
    </row>
    <row r="61" spans="2:8">
      <c r="B61" s="66" t="str">
        <f>'IA-SI  TANKER'!B15</f>
        <v>Rui Fu Xing (Glenda Melanie)</v>
      </c>
      <c r="C61" s="67"/>
      <c r="D61" s="62">
        <v>0</v>
      </c>
      <c r="E61" s="63">
        <v>0</v>
      </c>
      <c r="F61" s="63">
        <v>0</v>
      </c>
      <c r="G61" s="81">
        <v>0</v>
      </c>
      <c r="H61" s="59">
        <f t="shared" si="2"/>
        <v>0</v>
      </c>
    </row>
    <row r="62" spans="2:8">
      <c r="B62" s="66" t="str">
        <f>'IA-SI  TANKER'!B16</f>
        <v>Glenda Melissa</v>
      </c>
      <c r="C62" s="67"/>
      <c r="D62" s="62">
        <v>0</v>
      </c>
      <c r="E62" s="63">
        <v>0</v>
      </c>
      <c r="F62" s="63">
        <v>0</v>
      </c>
      <c r="G62" s="81">
        <v>0</v>
      </c>
      <c r="H62" s="59">
        <f t="shared" si="2"/>
        <v>0</v>
      </c>
    </row>
    <row r="63" spans="2:8">
      <c r="B63" s="66" t="str">
        <f>'IA-SI  TANKER'!B17</f>
        <v>Glenda Melody</v>
      </c>
      <c r="C63" s="67"/>
      <c r="D63" s="62">
        <v>0</v>
      </c>
      <c r="E63" s="63">
        <v>0</v>
      </c>
      <c r="F63" s="63">
        <v>0</v>
      </c>
      <c r="G63" s="81">
        <v>0</v>
      </c>
      <c r="H63" s="59">
        <f t="shared" si="2"/>
        <v>0</v>
      </c>
    </row>
    <row r="64" spans="2:8">
      <c r="B64" s="66" t="str">
        <f>'IA-SI  TANKER'!B18</f>
        <v>Glenda Meryl</v>
      </c>
      <c r="C64" s="67"/>
      <c r="D64" s="62">
        <v>0</v>
      </c>
      <c r="E64" s="63">
        <v>0</v>
      </c>
      <c r="F64" s="63">
        <v>0</v>
      </c>
      <c r="G64" s="81">
        <v>0</v>
      </c>
      <c r="H64" s="59">
        <f t="shared" si="2"/>
        <v>0</v>
      </c>
    </row>
    <row r="65" spans="2:8">
      <c r="B65" s="66" t="str">
        <f>'IA-SI  TANKER'!B19</f>
        <v>Herolds Bay</v>
      </c>
      <c r="C65" s="67"/>
      <c r="D65" s="62">
        <v>0</v>
      </c>
      <c r="E65" s="63">
        <v>0</v>
      </c>
      <c r="F65" s="63">
        <v>0</v>
      </c>
      <c r="G65" s="81">
        <v>0</v>
      </c>
      <c r="H65" s="59">
        <f t="shared" si="2"/>
        <v>0</v>
      </c>
    </row>
    <row r="66" spans="2:8">
      <c r="B66" s="66" t="str">
        <f>'IA-SI  TANKER'!B20</f>
        <v>High Explorer</v>
      </c>
      <c r="C66" s="67"/>
      <c r="D66" s="62">
        <v>0</v>
      </c>
      <c r="E66" s="63">
        <v>0</v>
      </c>
      <c r="F66" s="63">
        <v>1</v>
      </c>
      <c r="G66" s="81">
        <v>0</v>
      </c>
      <c r="H66" s="59">
        <f t="shared" si="2"/>
        <v>1</v>
      </c>
    </row>
    <row r="67" spans="2:8">
      <c r="B67" s="66" t="str">
        <f>'IA-SI  TANKER'!B21</f>
        <v>High Mariner</v>
      </c>
      <c r="C67" s="67"/>
      <c r="D67" s="62">
        <v>0</v>
      </c>
      <c r="E67" s="63">
        <v>0</v>
      </c>
      <c r="F67" s="63">
        <v>0</v>
      </c>
      <c r="G67" s="81">
        <v>0</v>
      </c>
      <c r="H67" s="59">
        <f t="shared" si="2"/>
        <v>0</v>
      </c>
    </row>
    <row r="68" spans="2:8">
      <c r="B68" s="66" t="str">
        <f>'IA-SI  TANKER'!B22</f>
        <v>High Transporter</v>
      </c>
      <c r="C68" s="67"/>
      <c r="D68" s="62">
        <v>0</v>
      </c>
      <c r="E68" s="63">
        <v>0</v>
      </c>
      <c r="F68" s="63">
        <v>0</v>
      </c>
      <c r="G68" s="81">
        <v>0</v>
      </c>
      <c r="H68" s="59">
        <f t="shared" si="2"/>
        <v>0</v>
      </c>
    </row>
    <row r="69" spans="2:8">
      <c r="B69" s="66" t="str">
        <f>'IA-SI  TANKER'!B23</f>
        <v>Kalk Bay</v>
      </c>
      <c r="C69" s="67"/>
      <c r="D69" s="62">
        <v>0</v>
      </c>
      <c r="E69" s="63">
        <v>0</v>
      </c>
      <c r="F69" s="63">
        <v>0</v>
      </c>
      <c r="G69" s="81">
        <v>0</v>
      </c>
      <c r="H69" s="59">
        <f t="shared" si="2"/>
        <v>0</v>
      </c>
    </row>
    <row r="70" spans="2:8">
      <c r="B70" s="66" t="str">
        <f>'IA-SI  TANKER'!B24</f>
        <v>Mossel Bay</v>
      </c>
      <c r="C70" s="67"/>
      <c r="D70" s="62">
        <v>0</v>
      </c>
      <c r="E70" s="63">
        <v>0</v>
      </c>
      <c r="F70" s="63">
        <v>0</v>
      </c>
      <c r="G70" s="81">
        <v>0</v>
      </c>
      <c r="H70" s="59">
        <f t="shared" si="2"/>
        <v>0</v>
      </c>
    </row>
    <row r="71" spans="2:8">
      <c r="B71" s="66" t="str">
        <f>'IA-SI  TANKER'!B25</f>
        <v>Philotimos</v>
      </c>
      <c r="C71" s="67"/>
      <c r="D71" s="62">
        <v>0</v>
      </c>
      <c r="E71" s="63">
        <v>0</v>
      </c>
      <c r="F71" s="63">
        <v>0</v>
      </c>
      <c r="G71" s="81">
        <v>0</v>
      </c>
      <c r="H71" s="59">
        <f t="shared" si="2"/>
        <v>0</v>
      </c>
    </row>
    <row r="72" spans="2:8">
      <c r="B72" s="66" t="str">
        <f>'IA-SI  TANKER'!B26</f>
        <v>Philoxenia</v>
      </c>
      <c r="C72" s="67"/>
      <c r="D72" s="62">
        <v>0</v>
      </c>
      <c r="E72" s="63">
        <v>0</v>
      </c>
      <c r="F72" s="63">
        <v>1</v>
      </c>
      <c r="G72" s="81">
        <v>1</v>
      </c>
      <c r="H72" s="59">
        <f t="shared" si="2"/>
        <v>2</v>
      </c>
    </row>
    <row r="73" spans="2:8">
      <c r="B73" s="66" t="str">
        <f>'IA-SI  TANKER'!B27</f>
        <v>PNX Conqueror</v>
      </c>
      <c r="C73" s="67"/>
      <c r="D73" s="62">
        <v>1</v>
      </c>
      <c r="E73" s="63">
        <v>0</v>
      </c>
      <c r="F73" s="63">
        <v>0</v>
      </c>
      <c r="G73" s="81">
        <v>0</v>
      </c>
      <c r="H73" s="59">
        <f t="shared" si="2"/>
        <v>1</v>
      </c>
    </row>
    <row r="74" spans="2:8">
      <c r="B74" s="66" t="str">
        <f>'IA-SI  TANKER'!B28</f>
        <v>PS Tokyo (Gone)</v>
      </c>
      <c r="C74" s="67"/>
      <c r="D74" s="62">
        <v>0</v>
      </c>
      <c r="E74" s="63">
        <v>0</v>
      </c>
      <c r="F74" s="63">
        <v>0</v>
      </c>
      <c r="G74" s="81">
        <v>0</v>
      </c>
      <c r="H74" s="59">
        <f t="shared" si="2"/>
        <v>0</v>
      </c>
    </row>
    <row r="75" spans="2:8">
      <c r="B75" s="68" t="str">
        <f>'IA-SI  TANKER'!B29</f>
        <v>PS Vancouver</v>
      </c>
      <c r="C75" s="69"/>
      <c r="D75" s="70">
        <v>0</v>
      </c>
      <c r="E75" s="71">
        <v>0</v>
      </c>
      <c r="F75" s="71">
        <v>0</v>
      </c>
      <c r="G75" s="149">
        <v>0</v>
      </c>
      <c r="H75" s="59">
        <f t="shared" si="2"/>
        <v>0</v>
      </c>
    </row>
    <row r="76" spans="2:8">
      <c r="B76" s="66" t="str">
        <f>'IA-SI  TANKER'!B30</f>
        <v>Table Bay</v>
      </c>
      <c r="C76" s="67"/>
      <c r="D76" s="70">
        <v>0</v>
      </c>
      <c r="E76" s="71">
        <v>0</v>
      </c>
      <c r="F76" s="71">
        <v>0</v>
      </c>
      <c r="G76" s="149">
        <v>0</v>
      </c>
      <c r="H76" s="59">
        <f t="shared" si="2"/>
        <v>0</v>
      </c>
    </row>
    <row r="77" spans="2:8">
      <c r="B77" s="68" t="str">
        <f>'IA-SI  TANKER'!B31</f>
        <v>Rui Fu Sheng</v>
      </c>
      <c r="C77" s="69"/>
      <c r="D77" s="70">
        <v>0</v>
      </c>
      <c r="E77" s="71">
        <v>1</v>
      </c>
      <c r="F77" s="71">
        <v>0</v>
      </c>
      <c r="G77" s="149">
        <v>0</v>
      </c>
      <c r="H77" s="59">
        <f t="shared" si="2"/>
        <v>1</v>
      </c>
    </row>
    <row r="78" spans="2:8">
      <c r="B78" s="66" t="str">
        <f>'IA-SI  TANKER'!B32</f>
        <v>Vialli</v>
      </c>
      <c r="C78" s="67"/>
      <c r="D78" s="70">
        <v>0</v>
      </c>
      <c r="E78" s="71">
        <v>0</v>
      </c>
      <c r="F78" s="71">
        <v>0</v>
      </c>
      <c r="G78" s="149">
        <v>0</v>
      </c>
      <c r="H78" s="59">
        <f t="shared" si="2"/>
        <v>0</v>
      </c>
    </row>
    <row r="79" ht="15.75" spans="2:8">
      <c r="B79" s="150" t="str">
        <f>'IA-SI  TANKER'!B33</f>
        <v>Victoria Bay</v>
      </c>
      <c r="C79" s="151"/>
      <c r="D79" s="94">
        <v>0</v>
      </c>
      <c r="E79" s="95">
        <v>0</v>
      </c>
      <c r="F79" s="95">
        <v>0</v>
      </c>
      <c r="G79" s="96">
        <v>0</v>
      </c>
      <c r="H79" s="152">
        <f t="shared" si="2"/>
        <v>0</v>
      </c>
    </row>
    <row r="81" ht="15.75"/>
    <row r="82" ht="15.75" spans="4:8">
      <c r="D82" s="44" t="s">
        <v>382</v>
      </c>
      <c r="E82" s="45"/>
      <c r="F82" s="45"/>
      <c r="G82" s="45"/>
      <c r="H82" s="46"/>
    </row>
    <row r="83" ht="15.75" spans="4:8">
      <c r="D83" s="153" t="s">
        <v>372</v>
      </c>
      <c r="E83" s="154" t="s">
        <v>373</v>
      </c>
      <c r="F83" s="154" t="s">
        <v>374</v>
      </c>
      <c r="G83" s="155" t="s">
        <v>375</v>
      </c>
      <c r="H83" s="156" t="s">
        <v>330</v>
      </c>
    </row>
    <row r="84" spans="2:8">
      <c r="B84" s="157" t="str">
        <f>'IA-SI  TANKER'!B4</f>
        <v>Alpine Pembroke (Sold)</v>
      </c>
      <c r="C84" s="158"/>
      <c r="D84" s="76">
        <v>0</v>
      </c>
      <c r="E84" s="77">
        <v>0</v>
      </c>
      <c r="F84" s="77">
        <v>0</v>
      </c>
      <c r="G84" s="159">
        <v>0</v>
      </c>
      <c r="H84" s="53">
        <f>SUM(D84:G84)</f>
        <v>0</v>
      </c>
    </row>
    <row r="85" spans="2:8">
      <c r="B85" s="66" t="str">
        <f>'IA-SI  TANKER'!B5</f>
        <v>Alpine Pioneer (Sold)</v>
      </c>
      <c r="C85" s="67"/>
      <c r="D85" s="62">
        <v>0</v>
      </c>
      <c r="E85" s="63">
        <v>0</v>
      </c>
      <c r="F85" s="63">
        <v>0</v>
      </c>
      <c r="G85" s="81">
        <v>0</v>
      </c>
      <c r="H85" s="59">
        <f t="shared" ref="H85:H125" si="4">SUM(D85:G85)</f>
        <v>0</v>
      </c>
    </row>
    <row r="86" spans="2:8">
      <c r="B86" s="66" t="str">
        <f>'IA-SI  TANKER'!B6</f>
        <v>Bagheera</v>
      </c>
      <c r="C86" s="67"/>
      <c r="D86" s="62">
        <v>0</v>
      </c>
      <c r="E86" s="63">
        <v>0</v>
      </c>
      <c r="F86" s="63">
        <v>0</v>
      </c>
      <c r="G86" s="81">
        <v>0</v>
      </c>
      <c r="H86" s="59">
        <f t="shared" si="4"/>
        <v>0</v>
      </c>
    </row>
    <row r="87" spans="2:8">
      <c r="B87" s="66" t="str">
        <f>'IA-SI  TANKER'!B7</f>
        <v>Bantry Bay</v>
      </c>
      <c r="C87" s="67"/>
      <c r="D87" s="62">
        <v>0</v>
      </c>
      <c r="E87" s="63">
        <v>0</v>
      </c>
      <c r="F87" s="63">
        <v>0</v>
      </c>
      <c r="G87" s="81">
        <v>0</v>
      </c>
      <c r="H87" s="59">
        <f t="shared" si="4"/>
        <v>0</v>
      </c>
    </row>
    <row r="88" spans="2:8">
      <c r="B88" s="66" t="str">
        <f>'IA-SI  TANKER'!B8</f>
        <v>Bright Future</v>
      </c>
      <c r="C88" s="67"/>
      <c r="D88" s="62">
        <v>0</v>
      </c>
      <c r="E88" s="63">
        <v>0</v>
      </c>
      <c r="F88" s="63">
        <v>0</v>
      </c>
      <c r="G88" s="81">
        <v>0</v>
      </c>
      <c r="H88" s="59">
        <f t="shared" si="4"/>
        <v>0</v>
      </c>
    </row>
    <row r="89" spans="2:8">
      <c r="B89" s="66" t="str">
        <f>'IA-SI  TANKER'!B9</f>
        <v>Cielo di Houston</v>
      </c>
      <c r="C89" s="67"/>
      <c r="D89" s="62">
        <v>0</v>
      </c>
      <c r="E89" s="63">
        <v>0</v>
      </c>
      <c r="F89" s="63">
        <v>0</v>
      </c>
      <c r="G89" s="81">
        <v>0</v>
      </c>
      <c r="H89" s="59">
        <f t="shared" ref="H89" si="5">SUM(D89:G89)</f>
        <v>0</v>
      </c>
    </row>
    <row r="90" spans="2:8">
      <c r="B90" s="66" t="str">
        <f>'IA-SI  TANKER'!B10</f>
        <v>Cielo Rosso</v>
      </c>
      <c r="C90" s="67"/>
      <c r="D90" s="62">
        <v>0</v>
      </c>
      <c r="E90" s="63">
        <v>0</v>
      </c>
      <c r="F90" s="63">
        <v>0</v>
      </c>
      <c r="G90" s="81">
        <v>0</v>
      </c>
      <c r="H90" s="59">
        <f t="shared" si="4"/>
        <v>0</v>
      </c>
    </row>
    <row r="91" spans="2:8">
      <c r="B91" s="66" t="str">
        <f>'IA-SI  TANKER'!B11</f>
        <v>Clearocean Maria</v>
      </c>
      <c r="C91" s="67"/>
      <c r="D91" s="62">
        <v>0</v>
      </c>
      <c r="E91" s="63">
        <v>0</v>
      </c>
      <c r="F91" s="63">
        <v>0</v>
      </c>
      <c r="G91" s="81">
        <v>0</v>
      </c>
      <c r="H91" s="59">
        <f t="shared" si="4"/>
        <v>0</v>
      </c>
    </row>
    <row r="92" spans="2:8">
      <c r="B92" s="66" t="str">
        <f>'IA-SI  TANKER'!B12</f>
        <v>Clearocean Mary</v>
      </c>
      <c r="C92" s="67"/>
      <c r="D92" s="62">
        <v>0</v>
      </c>
      <c r="E92" s="63">
        <v>0</v>
      </c>
      <c r="F92" s="63">
        <v>0</v>
      </c>
      <c r="G92" s="81">
        <v>0</v>
      </c>
      <c r="H92" s="59">
        <f t="shared" si="4"/>
        <v>0</v>
      </c>
    </row>
    <row r="93" spans="2:8">
      <c r="B93" s="66" t="str">
        <f>'IA-SI  TANKER'!B13</f>
        <v>Clearocean Mathilde</v>
      </c>
      <c r="C93" s="67"/>
      <c r="D93" s="62">
        <v>0</v>
      </c>
      <c r="E93" s="63">
        <v>0</v>
      </c>
      <c r="F93" s="63">
        <v>0</v>
      </c>
      <c r="G93" s="81">
        <v>0</v>
      </c>
      <c r="H93" s="59">
        <f t="shared" si="4"/>
        <v>0</v>
      </c>
    </row>
    <row r="94" spans="2:8">
      <c r="B94" s="66" t="str">
        <f>'IA-SI  TANKER'!B14</f>
        <v>Clearocean Music</v>
      </c>
      <c r="C94" s="67"/>
      <c r="D94" s="62">
        <v>0</v>
      </c>
      <c r="E94" s="63">
        <v>0</v>
      </c>
      <c r="F94" s="63">
        <v>0</v>
      </c>
      <c r="G94" s="81">
        <v>0</v>
      </c>
      <c r="H94" s="59">
        <f t="shared" si="4"/>
        <v>0</v>
      </c>
    </row>
    <row r="95" spans="2:8">
      <c r="B95" s="66" t="str">
        <f>'IA-SI  TANKER'!B15</f>
        <v>Rui Fu Xing (Glenda Melanie)</v>
      </c>
      <c r="C95" s="67"/>
      <c r="D95" s="62">
        <v>0</v>
      </c>
      <c r="E95" s="63">
        <v>1</v>
      </c>
      <c r="F95" s="63">
        <v>0</v>
      </c>
      <c r="G95" s="81">
        <v>0</v>
      </c>
      <c r="H95" s="59">
        <f t="shared" si="4"/>
        <v>1</v>
      </c>
    </row>
    <row r="96" spans="2:8">
      <c r="B96" s="66" t="str">
        <f>'IA-SI  TANKER'!B16</f>
        <v>Glenda Melissa</v>
      </c>
      <c r="C96" s="67"/>
      <c r="D96" s="62">
        <v>0</v>
      </c>
      <c r="E96" s="63">
        <v>0</v>
      </c>
      <c r="F96" s="63">
        <v>0</v>
      </c>
      <c r="G96" s="81">
        <v>0</v>
      </c>
      <c r="H96" s="59">
        <f t="shared" si="4"/>
        <v>0</v>
      </c>
    </row>
    <row r="97" spans="2:8">
      <c r="B97" s="66" t="str">
        <f>'IA-SI  TANKER'!B17</f>
        <v>Glenda Melody</v>
      </c>
      <c r="C97" s="67"/>
      <c r="D97" s="62">
        <v>0</v>
      </c>
      <c r="E97" s="63">
        <v>0</v>
      </c>
      <c r="F97" s="63">
        <v>0</v>
      </c>
      <c r="G97" s="81">
        <v>0</v>
      </c>
      <c r="H97" s="59">
        <f t="shared" si="4"/>
        <v>0</v>
      </c>
    </row>
    <row r="98" spans="2:8">
      <c r="B98" s="66" t="str">
        <f>'IA-SI  TANKER'!B18</f>
        <v>Glenda Meryl</v>
      </c>
      <c r="C98" s="67"/>
      <c r="D98" s="62">
        <v>0</v>
      </c>
      <c r="E98" s="63">
        <v>0</v>
      </c>
      <c r="F98" s="63">
        <v>0</v>
      </c>
      <c r="G98" s="81">
        <v>0</v>
      </c>
      <c r="H98" s="59">
        <f t="shared" si="4"/>
        <v>0</v>
      </c>
    </row>
    <row r="99" spans="2:8">
      <c r="B99" s="66" t="str">
        <f>'IA-SI  TANKER'!B19</f>
        <v>Herolds Bay</v>
      </c>
      <c r="C99" s="67"/>
      <c r="D99" s="62">
        <v>0</v>
      </c>
      <c r="E99" s="63">
        <v>0</v>
      </c>
      <c r="F99" s="63">
        <v>0</v>
      </c>
      <c r="G99" s="81">
        <v>0</v>
      </c>
      <c r="H99" s="59">
        <f t="shared" si="4"/>
        <v>0</v>
      </c>
    </row>
    <row r="100" spans="2:8">
      <c r="B100" s="66" t="str">
        <f>'IA-SI  TANKER'!B20</f>
        <v>High Explorer</v>
      </c>
      <c r="C100" s="67"/>
      <c r="D100" s="62">
        <v>0</v>
      </c>
      <c r="E100" s="63">
        <v>0</v>
      </c>
      <c r="F100" s="63">
        <v>0</v>
      </c>
      <c r="G100" s="81">
        <v>0</v>
      </c>
      <c r="H100" s="59">
        <f t="shared" si="4"/>
        <v>0</v>
      </c>
    </row>
    <row r="101" spans="2:8">
      <c r="B101" s="66" t="str">
        <f>'IA-SI  TANKER'!B21</f>
        <v>High Mariner</v>
      </c>
      <c r="C101" s="67"/>
      <c r="D101" s="62">
        <v>0</v>
      </c>
      <c r="E101" s="63">
        <v>0</v>
      </c>
      <c r="F101" s="63">
        <v>0</v>
      </c>
      <c r="G101" s="81">
        <v>0</v>
      </c>
      <c r="H101" s="59">
        <f t="shared" si="4"/>
        <v>0</v>
      </c>
    </row>
    <row r="102" spans="2:8">
      <c r="B102" s="66" t="str">
        <f>'IA-SI  TANKER'!B22</f>
        <v>High Transporter</v>
      </c>
      <c r="C102" s="67"/>
      <c r="D102" s="62">
        <v>0</v>
      </c>
      <c r="E102" s="63">
        <v>0</v>
      </c>
      <c r="F102" s="63">
        <v>0</v>
      </c>
      <c r="G102" s="81">
        <v>1</v>
      </c>
      <c r="H102" s="59">
        <f t="shared" si="4"/>
        <v>1</v>
      </c>
    </row>
    <row r="103" spans="2:8">
      <c r="B103" s="66" t="str">
        <f>'IA-SI  TANKER'!B23</f>
        <v>Kalk Bay</v>
      </c>
      <c r="C103" s="67"/>
      <c r="D103" s="62">
        <v>0</v>
      </c>
      <c r="E103" s="63">
        <v>0</v>
      </c>
      <c r="F103" s="63">
        <v>0</v>
      </c>
      <c r="G103" s="81">
        <v>0</v>
      </c>
      <c r="H103" s="59">
        <f t="shared" si="4"/>
        <v>0</v>
      </c>
    </row>
    <row r="104" spans="2:8">
      <c r="B104" s="66" t="str">
        <f>'IA-SI  TANKER'!B24</f>
        <v>Mossel Bay</v>
      </c>
      <c r="C104" s="67"/>
      <c r="D104" s="62">
        <v>0</v>
      </c>
      <c r="E104" s="63">
        <v>0</v>
      </c>
      <c r="F104" s="63">
        <v>0</v>
      </c>
      <c r="G104" s="81">
        <v>0</v>
      </c>
      <c r="H104" s="59">
        <f t="shared" si="4"/>
        <v>0</v>
      </c>
    </row>
    <row r="105" spans="2:8">
      <c r="B105" s="66" t="str">
        <f>'IA-SI  TANKER'!B25</f>
        <v>Philotimos</v>
      </c>
      <c r="C105" s="67"/>
      <c r="D105" s="62">
        <v>0</v>
      </c>
      <c r="E105" s="63">
        <v>0</v>
      </c>
      <c r="F105" s="63">
        <v>0</v>
      </c>
      <c r="G105" s="81">
        <v>0</v>
      </c>
      <c r="H105" s="59">
        <f t="shared" si="4"/>
        <v>0</v>
      </c>
    </row>
    <row r="106" spans="2:8">
      <c r="B106" s="66" t="str">
        <f>'IA-SI  TANKER'!B26</f>
        <v>Philoxenia</v>
      </c>
      <c r="C106" s="67"/>
      <c r="D106" s="62">
        <v>0</v>
      </c>
      <c r="E106" s="63">
        <v>0</v>
      </c>
      <c r="F106" s="63">
        <v>0</v>
      </c>
      <c r="G106" s="81">
        <v>0</v>
      </c>
      <c r="H106" s="59">
        <f t="shared" si="4"/>
        <v>0</v>
      </c>
    </row>
    <row r="107" spans="2:8">
      <c r="B107" s="66" t="str">
        <f>'IA-SI  TANKER'!B27</f>
        <v>PNX Conqueror</v>
      </c>
      <c r="C107" s="67"/>
      <c r="D107" s="62">
        <v>1</v>
      </c>
      <c r="E107" s="63">
        <v>0</v>
      </c>
      <c r="F107" s="63">
        <v>0</v>
      </c>
      <c r="G107" s="81">
        <v>0</v>
      </c>
      <c r="H107" s="59">
        <f t="shared" si="4"/>
        <v>1</v>
      </c>
    </row>
    <row r="108" spans="2:8">
      <c r="B108" s="66" t="str">
        <f>'IA-SI  TANKER'!B28</f>
        <v>PS Tokyo (Gone)</v>
      </c>
      <c r="C108" s="67"/>
      <c r="D108" s="62">
        <v>0</v>
      </c>
      <c r="E108" s="63">
        <v>0</v>
      </c>
      <c r="F108" s="63">
        <v>0</v>
      </c>
      <c r="G108" s="81">
        <v>0</v>
      </c>
      <c r="H108" s="59">
        <f t="shared" si="4"/>
        <v>0</v>
      </c>
    </row>
    <row r="109" spans="2:8">
      <c r="B109" s="66" t="str">
        <f>'IA-SI  TANKER'!B29</f>
        <v>PS Vancouver</v>
      </c>
      <c r="C109" s="67"/>
      <c r="D109" s="70">
        <v>2</v>
      </c>
      <c r="E109" s="71">
        <v>0</v>
      </c>
      <c r="F109" s="71">
        <v>0</v>
      </c>
      <c r="G109" s="149">
        <v>0</v>
      </c>
      <c r="H109" s="59">
        <f t="shared" si="4"/>
        <v>2</v>
      </c>
    </row>
    <row r="110" spans="2:8">
      <c r="B110" s="66" t="str">
        <f>'IA-SI  TANKER'!B30</f>
        <v>Table Bay</v>
      </c>
      <c r="C110" s="67"/>
      <c r="D110" s="70">
        <v>0</v>
      </c>
      <c r="E110" s="71">
        <v>0</v>
      </c>
      <c r="F110" s="71">
        <v>0</v>
      </c>
      <c r="G110" s="149">
        <v>0</v>
      </c>
      <c r="H110" s="59">
        <f t="shared" si="4"/>
        <v>0</v>
      </c>
    </row>
    <row r="111" spans="2:8">
      <c r="B111" s="66" t="str">
        <f>'IA-SI  TANKER'!B31</f>
        <v>Rui Fu Sheng</v>
      </c>
      <c r="C111" s="67"/>
      <c r="D111" s="70">
        <v>0</v>
      </c>
      <c r="E111" s="71">
        <v>1</v>
      </c>
      <c r="F111" s="71">
        <v>0</v>
      </c>
      <c r="G111" s="149">
        <v>0</v>
      </c>
      <c r="H111" s="59">
        <f t="shared" si="4"/>
        <v>1</v>
      </c>
    </row>
    <row r="112" spans="2:8">
      <c r="B112" s="66" t="str">
        <f>'IA-SI  TANKER'!B32</f>
        <v>Vialli</v>
      </c>
      <c r="C112" s="67"/>
      <c r="D112" s="70">
        <v>0</v>
      </c>
      <c r="E112" s="71">
        <v>0</v>
      </c>
      <c r="F112" s="71">
        <v>0</v>
      </c>
      <c r="G112" s="149">
        <v>0</v>
      </c>
      <c r="H112" s="59">
        <f t="shared" si="4"/>
        <v>0</v>
      </c>
    </row>
    <row r="113" ht="15.75" spans="2:8">
      <c r="B113" s="68" t="str">
        <f>'IA-SI  TANKER'!B33</f>
        <v>Victoria Bay</v>
      </c>
      <c r="C113" s="69"/>
      <c r="D113" s="70">
        <v>0</v>
      </c>
      <c r="E113" s="71">
        <v>0</v>
      </c>
      <c r="F113" s="71">
        <v>0</v>
      </c>
      <c r="G113" s="149">
        <v>0</v>
      </c>
      <c r="H113" s="73">
        <f t="shared" si="4"/>
        <v>0</v>
      </c>
    </row>
    <row r="114" spans="2:8">
      <c r="B114" s="74" t="str">
        <f>' IA-SI DRY'!B4</f>
        <v>Cielo di Valparaiso</v>
      </c>
      <c r="C114" s="160"/>
      <c r="D114" s="76">
        <v>2</v>
      </c>
      <c r="E114" s="77">
        <v>0</v>
      </c>
      <c r="F114" s="77">
        <v>0</v>
      </c>
      <c r="G114" s="161">
        <v>0</v>
      </c>
      <c r="H114" s="53">
        <f t="shared" si="4"/>
        <v>2</v>
      </c>
    </row>
    <row r="115" spans="2:8">
      <c r="B115" s="60" t="str">
        <f>' IA-SI DRY'!B5</f>
        <v>Cielo Dei Maronti</v>
      </c>
      <c r="C115" s="61"/>
      <c r="D115" s="62">
        <v>0</v>
      </c>
      <c r="E115" s="63">
        <v>0</v>
      </c>
      <c r="F115" s="63">
        <v>0</v>
      </c>
      <c r="G115" s="65">
        <v>0</v>
      </c>
      <c r="H115" s="59">
        <f t="shared" si="4"/>
        <v>0</v>
      </c>
    </row>
    <row r="116" spans="2:8">
      <c r="B116" s="60" t="str">
        <f>' IA-SI DRY'!B6</f>
        <v>Medi Adriatico</v>
      </c>
      <c r="C116" s="61"/>
      <c r="D116" s="62">
        <v>0</v>
      </c>
      <c r="E116" s="63">
        <v>0</v>
      </c>
      <c r="F116" s="63">
        <v>0</v>
      </c>
      <c r="G116" s="65">
        <v>0</v>
      </c>
      <c r="H116" s="59">
        <f t="shared" si="4"/>
        <v>0</v>
      </c>
    </row>
    <row r="117" spans="2:8">
      <c r="B117" s="60" t="str">
        <f>' IA-SI DRY'!B7</f>
        <v>Medi Atlantico</v>
      </c>
      <c r="C117" s="61"/>
      <c r="D117" s="62">
        <v>0</v>
      </c>
      <c r="E117" s="63">
        <v>0</v>
      </c>
      <c r="F117" s="63">
        <v>0</v>
      </c>
      <c r="G117" s="65">
        <v>0</v>
      </c>
      <c r="H117" s="59">
        <f t="shared" si="4"/>
        <v>0</v>
      </c>
    </row>
    <row r="118" spans="2:8">
      <c r="B118" s="60" t="str">
        <f>' IA-SI DRY'!B15</f>
        <v>Medi Caboto</v>
      </c>
      <c r="C118" s="61"/>
      <c r="D118" s="62">
        <v>0</v>
      </c>
      <c r="E118" s="63">
        <v>0</v>
      </c>
      <c r="F118" s="63">
        <v>0</v>
      </c>
      <c r="G118" s="65">
        <v>0</v>
      </c>
      <c r="H118" s="59">
        <f t="shared" ref="H118" si="6">SUM(D118:G118)</f>
        <v>0</v>
      </c>
    </row>
    <row r="119" spans="2:8">
      <c r="B119" s="60" t="str">
        <f>' IA-SI DRY'!B8</f>
        <v>Medi Egadi</v>
      </c>
      <c r="C119" s="61"/>
      <c r="D119" s="62">
        <v>0</v>
      </c>
      <c r="E119" s="63">
        <v>0</v>
      </c>
      <c r="F119" s="63">
        <v>0</v>
      </c>
      <c r="G119" s="65">
        <v>0</v>
      </c>
      <c r="H119" s="59">
        <f t="shared" si="4"/>
        <v>0</v>
      </c>
    </row>
    <row r="120" spans="2:8">
      <c r="B120" s="60" t="str">
        <f>' IA-SI DRY'!B9</f>
        <v>Medi Egeo</v>
      </c>
      <c r="C120" s="61"/>
      <c r="D120" s="62">
        <v>1</v>
      </c>
      <c r="E120" s="63">
        <v>0</v>
      </c>
      <c r="F120" s="63">
        <v>0</v>
      </c>
      <c r="G120" s="65">
        <v>0</v>
      </c>
      <c r="H120" s="59">
        <f t="shared" si="4"/>
        <v>1</v>
      </c>
    </row>
    <row r="121" spans="2:8">
      <c r="B121" s="60" t="str">
        <f>' IA-SI DRY'!B11</f>
        <v>Medi Palmarola</v>
      </c>
      <c r="C121" s="61"/>
      <c r="D121" s="62">
        <v>0</v>
      </c>
      <c r="E121" s="63">
        <v>0</v>
      </c>
      <c r="F121" s="63">
        <v>0</v>
      </c>
      <c r="G121" s="65">
        <v>0</v>
      </c>
      <c r="H121" s="59">
        <f t="shared" si="4"/>
        <v>0</v>
      </c>
    </row>
    <row r="122" spans="2:8">
      <c r="B122" s="66" t="s">
        <v>120</v>
      </c>
      <c r="C122" s="67"/>
      <c r="D122" s="62">
        <v>0</v>
      </c>
      <c r="E122" s="63">
        <v>0</v>
      </c>
      <c r="F122" s="63">
        <v>1</v>
      </c>
      <c r="G122" s="65">
        <v>0</v>
      </c>
      <c r="H122" s="59">
        <f t="shared" si="4"/>
        <v>1</v>
      </c>
    </row>
    <row r="123" spans="2:8">
      <c r="B123" s="60" t="str">
        <f>' IA-SI DRY'!B13</f>
        <v>Medi Tirreno</v>
      </c>
      <c r="C123" s="61"/>
      <c r="D123" s="62">
        <v>0</v>
      </c>
      <c r="E123" s="63">
        <v>0</v>
      </c>
      <c r="F123" s="63">
        <v>0</v>
      </c>
      <c r="G123" s="65">
        <v>0</v>
      </c>
      <c r="H123" s="59">
        <f t="shared" si="4"/>
        <v>0</v>
      </c>
    </row>
    <row r="124" spans="2:8">
      <c r="B124" s="60" t="str">
        <f>' IA-SI DRY'!B14</f>
        <v>Medi Zuoz</v>
      </c>
      <c r="C124" s="61"/>
      <c r="D124" s="62">
        <v>0</v>
      </c>
      <c r="E124" s="63">
        <v>0</v>
      </c>
      <c r="F124" s="63">
        <v>0</v>
      </c>
      <c r="G124" s="65">
        <v>0</v>
      </c>
      <c r="H124" s="59">
        <f t="shared" si="4"/>
        <v>0</v>
      </c>
    </row>
    <row r="125" ht="15.75" spans="2:8">
      <c r="B125" s="92" t="str">
        <f>' IA-SI DRY'!B15</f>
        <v>Medi Caboto</v>
      </c>
      <c r="C125" s="162"/>
      <c r="D125" s="94">
        <v>0</v>
      </c>
      <c r="E125" s="95">
        <v>0</v>
      </c>
      <c r="F125" s="95">
        <v>0</v>
      </c>
      <c r="G125" s="163">
        <v>0</v>
      </c>
      <c r="H125" s="152">
        <f t="shared" si="4"/>
        <v>0</v>
      </c>
    </row>
  </sheetData>
  <sheetProtection selectLockedCells="1" selectUnlockedCells="1"/>
  <mergeCells count="99">
    <mergeCell ref="D2:H2"/>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D48:H48"/>
    <mergeCell ref="B50:C50"/>
    <mergeCell ref="B51:C51"/>
    <mergeCell ref="B52:C52"/>
    <mergeCell ref="B54:C54"/>
    <mergeCell ref="B55:C55"/>
    <mergeCell ref="B56:C56"/>
    <mergeCell ref="B57:C57"/>
    <mergeCell ref="B58:C58"/>
    <mergeCell ref="B59:C59"/>
    <mergeCell ref="B60:C60"/>
    <mergeCell ref="B61:C61"/>
    <mergeCell ref="B62:C62"/>
    <mergeCell ref="B63:C63"/>
    <mergeCell ref="B64:C64"/>
    <mergeCell ref="B67:C67"/>
    <mergeCell ref="B68:C68"/>
    <mergeCell ref="B71:C71"/>
    <mergeCell ref="B72:C72"/>
    <mergeCell ref="B74:C74"/>
    <mergeCell ref="B76:C76"/>
    <mergeCell ref="B78:C78"/>
    <mergeCell ref="B79:C79"/>
    <mergeCell ref="D82:H82"/>
    <mergeCell ref="B84:C84"/>
    <mergeCell ref="B85:C85"/>
    <mergeCell ref="B88:C88"/>
    <mergeCell ref="B89:C89"/>
    <mergeCell ref="B90:C90"/>
    <mergeCell ref="B91:C91"/>
    <mergeCell ref="B92:C92"/>
    <mergeCell ref="B93:C93"/>
    <mergeCell ref="B94:C94"/>
    <mergeCell ref="B95:C95"/>
    <mergeCell ref="B96:C96"/>
    <mergeCell ref="B97:C97"/>
    <mergeCell ref="B98:C98"/>
    <mergeCell ref="B101:C101"/>
    <mergeCell ref="B102:C102"/>
    <mergeCell ref="B105:C105"/>
    <mergeCell ref="B106:C106"/>
    <mergeCell ref="B108:C108"/>
    <mergeCell ref="B110:C110"/>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s>
  <conditionalFormatting sqref="B4:B44 B50:B79 B84:B125">
    <cfRule type="containsText" dxfId="2" priority="19" operator="between" text="Valid">
      <formula>NOT(ISERROR(SEARCH("Valid",B4)))</formula>
    </cfRule>
    <cfRule type="containsText" dxfId="1" priority="20" operator="between" text="Valid">
      <formula>NOT(ISERROR(SEARCH("Valid",B4)))</formula>
    </cfRule>
    <cfRule type="containsText" dxfId="0" priority="21" operator="between" text="Expired">
      <formula>NOT(ISERROR(SEARCH("Expired",B4)))</formula>
    </cfRule>
  </conditionalFormatting>
  <pageMargins left="0.7" right="0.7" top="0.75" bottom="0.75" header="0.3" footer="0.3"/>
  <pageSetup paperSize="9" orientation="portrait" verticalDpi="9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0"/>
  <sheetViews>
    <sheetView view="pageLayout" zoomScale="115" zoomScaleNormal="100" workbookViewId="0">
      <selection activeCell="O42" sqref="O42"/>
    </sheetView>
  </sheetViews>
  <sheetFormatPr defaultColWidth="9" defaultRowHeight="15"/>
  <sheetData>
    <row r="1" spans="1:21">
      <c r="A1" s="43"/>
      <c r="B1" s="43"/>
      <c r="C1" s="43"/>
      <c r="D1" s="43"/>
      <c r="E1" s="43"/>
      <c r="F1" s="43"/>
      <c r="G1" s="43"/>
      <c r="H1" s="43"/>
      <c r="I1" s="43"/>
      <c r="J1" s="43"/>
      <c r="K1" s="43"/>
      <c r="L1" s="43"/>
      <c r="M1" s="43"/>
      <c r="N1" s="43"/>
      <c r="O1" s="43"/>
      <c r="P1" s="43"/>
      <c r="Q1" s="43"/>
      <c r="R1" s="43"/>
      <c r="S1" s="43"/>
      <c r="T1" s="43"/>
      <c r="U1" s="43"/>
    </row>
    <row r="2" spans="1:21">
      <c r="A2" s="43"/>
      <c r="B2" s="43"/>
      <c r="C2" s="43"/>
      <c r="D2" s="43"/>
      <c r="E2" s="43"/>
      <c r="F2" s="43"/>
      <c r="G2" s="43"/>
      <c r="H2" s="43"/>
      <c r="I2" s="43"/>
      <c r="J2" s="43"/>
      <c r="K2" s="43"/>
      <c r="L2" s="43"/>
      <c r="M2" s="43"/>
      <c r="N2" s="43"/>
      <c r="O2" s="43"/>
      <c r="P2" s="43"/>
      <c r="Q2" s="43"/>
      <c r="R2" s="43"/>
      <c r="S2" s="43"/>
      <c r="T2" s="43"/>
      <c r="U2" s="43"/>
    </row>
    <row r="3" spans="1:21">
      <c r="A3" s="43"/>
      <c r="B3" s="43"/>
      <c r="C3" s="43"/>
      <c r="D3" s="43"/>
      <c r="E3" s="43"/>
      <c r="F3" s="43"/>
      <c r="G3" s="43"/>
      <c r="H3" s="43"/>
      <c r="I3" s="43"/>
      <c r="J3" s="43"/>
      <c r="K3" s="43"/>
      <c r="L3" s="43"/>
      <c r="M3" s="43"/>
      <c r="N3" s="43"/>
      <c r="O3" s="43"/>
      <c r="P3" s="43"/>
      <c r="Q3" s="43"/>
      <c r="R3" s="43"/>
      <c r="S3" s="43"/>
      <c r="T3" s="43"/>
      <c r="U3" s="43"/>
    </row>
    <row r="4" spans="1:21">
      <c r="A4" s="43"/>
      <c r="B4" s="43"/>
      <c r="C4" s="43"/>
      <c r="D4" s="43"/>
      <c r="E4" s="43"/>
      <c r="F4" s="43"/>
      <c r="G4" s="43"/>
      <c r="H4" s="43"/>
      <c r="I4" s="43"/>
      <c r="J4" s="43"/>
      <c r="K4" s="43"/>
      <c r="L4" s="43"/>
      <c r="M4" s="43"/>
      <c r="N4" s="43"/>
      <c r="O4" s="43"/>
      <c r="P4" s="43"/>
      <c r="Q4" s="43"/>
      <c r="R4" s="43"/>
      <c r="S4" s="43"/>
      <c r="T4" s="43"/>
      <c r="U4" s="43"/>
    </row>
    <row r="5" spans="1:21">
      <c r="A5" s="43"/>
      <c r="B5" s="43"/>
      <c r="C5" s="43"/>
      <c r="D5" s="43"/>
      <c r="E5" s="43"/>
      <c r="F5" s="43"/>
      <c r="G5" s="43"/>
      <c r="H5" s="43"/>
      <c r="I5" s="43"/>
      <c r="J5" s="43"/>
      <c r="K5" s="43"/>
      <c r="L5" s="43"/>
      <c r="M5" s="43"/>
      <c r="N5" s="43"/>
      <c r="O5" s="43"/>
      <c r="P5" s="43"/>
      <c r="Q5" s="43"/>
      <c r="R5" s="43"/>
      <c r="S5" s="43"/>
      <c r="T5" s="43"/>
      <c r="U5" s="43"/>
    </row>
    <row r="6" spans="1:21">
      <c r="A6" s="43"/>
      <c r="B6" s="43"/>
      <c r="C6" s="43"/>
      <c r="D6" s="43"/>
      <c r="E6" s="43"/>
      <c r="F6" s="43"/>
      <c r="G6" s="43"/>
      <c r="H6" s="43"/>
      <c r="I6" s="43"/>
      <c r="J6" s="43"/>
      <c r="K6" s="43"/>
      <c r="L6" s="43"/>
      <c r="M6" s="43"/>
      <c r="N6" s="43"/>
      <c r="O6" s="43"/>
      <c r="P6" s="43"/>
      <c r="Q6" s="43"/>
      <c r="R6" s="43"/>
      <c r="S6" s="43"/>
      <c r="T6" s="43"/>
      <c r="U6" s="43"/>
    </row>
    <row r="7" spans="1:21">
      <c r="A7" s="43"/>
      <c r="B7" s="43"/>
      <c r="C7" s="43"/>
      <c r="D7" s="43"/>
      <c r="E7" s="43"/>
      <c r="F7" s="43"/>
      <c r="G7" s="43"/>
      <c r="H7" s="43"/>
      <c r="I7" s="43"/>
      <c r="J7" s="43"/>
      <c r="K7" s="43"/>
      <c r="L7" s="43"/>
      <c r="M7" s="43"/>
      <c r="N7" s="43"/>
      <c r="O7" s="43"/>
      <c r="P7" s="43"/>
      <c r="Q7" s="43"/>
      <c r="R7" s="43"/>
      <c r="S7" s="43"/>
      <c r="T7" s="43"/>
      <c r="U7" s="43"/>
    </row>
    <row r="8" spans="1:21">
      <c r="A8" s="43"/>
      <c r="B8" s="43"/>
      <c r="C8" s="43"/>
      <c r="D8" s="43"/>
      <c r="E8" s="43"/>
      <c r="F8" s="43"/>
      <c r="G8" s="43"/>
      <c r="H8" s="43"/>
      <c r="I8" s="43"/>
      <c r="J8" s="43"/>
      <c r="K8" s="43"/>
      <c r="L8" s="43"/>
      <c r="M8" s="43"/>
      <c r="N8" s="43"/>
      <c r="O8" s="43"/>
      <c r="P8" s="43"/>
      <c r="Q8" s="43"/>
      <c r="R8" s="43"/>
      <c r="S8" s="43"/>
      <c r="T8" s="43"/>
      <c r="U8" s="43"/>
    </row>
    <row r="9" spans="1:21">
      <c r="A9" s="43"/>
      <c r="B9" s="43"/>
      <c r="C9" s="43"/>
      <c r="D9" s="43"/>
      <c r="E9" s="43"/>
      <c r="F9" s="43"/>
      <c r="G9" s="43"/>
      <c r="H9" s="43"/>
      <c r="I9" s="43"/>
      <c r="J9" s="43"/>
      <c r="K9" s="43"/>
      <c r="L9" s="43"/>
      <c r="M9" s="43"/>
      <c r="N9" s="43"/>
      <c r="O9" s="43"/>
      <c r="P9" s="43"/>
      <c r="Q9" s="43"/>
      <c r="R9" s="43"/>
      <c r="S9" s="43"/>
      <c r="T9" s="43"/>
      <c r="U9" s="43"/>
    </row>
    <row r="10" spans="1:21">
      <c r="A10" s="43"/>
      <c r="B10" s="43"/>
      <c r="C10" s="43"/>
      <c r="D10" s="43"/>
      <c r="E10" s="43"/>
      <c r="F10" s="43"/>
      <c r="G10" s="43"/>
      <c r="H10" s="43"/>
      <c r="I10" s="43"/>
      <c r="J10" s="43"/>
      <c r="K10" s="43"/>
      <c r="L10" s="43"/>
      <c r="M10" s="43"/>
      <c r="N10" s="43"/>
      <c r="O10" s="43"/>
      <c r="P10" s="43"/>
      <c r="Q10" s="43"/>
      <c r="R10" s="43"/>
      <c r="S10" s="43"/>
      <c r="T10" s="43"/>
      <c r="U10" s="43"/>
    </row>
    <row r="11" spans="1:21">
      <c r="A11" s="43"/>
      <c r="B11" s="43"/>
      <c r="C11" s="43"/>
      <c r="D11" s="43"/>
      <c r="E11" s="43"/>
      <c r="F11" s="43"/>
      <c r="G11" s="43"/>
      <c r="H11" s="43"/>
      <c r="I11" s="43"/>
      <c r="J11" s="43"/>
      <c r="K11" s="43"/>
      <c r="L11" s="43"/>
      <c r="M11" s="43"/>
      <c r="N11" s="43"/>
      <c r="O11" s="43"/>
      <c r="P11" s="43"/>
      <c r="Q11" s="43"/>
      <c r="R11" s="43"/>
      <c r="S11" s="43"/>
      <c r="T11" s="43"/>
      <c r="U11" s="43"/>
    </row>
    <row r="12" spans="1:21">
      <c r="A12" s="43"/>
      <c r="B12" s="43"/>
      <c r="C12" s="43"/>
      <c r="D12" s="43"/>
      <c r="E12" s="43"/>
      <c r="F12" s="43"/>
      <c r="G12" s="43"/>
      <c r="H12" s="43"/>
      <c r="I12" s="43"/>
      <c r="J12" s="43"/>
      <c r="K12" s="43"/>
      <c r="L12" s="43"/>
      <c r="M12" s="43"/>
      <c r="N12" s="43"/>
      <c r="O12" s="43"/>
      <c r="P12" s="43"/>
      <c r="Q12" s="43"/>
      <c r="R12" s="43"/>
      <c r="S12" s="43"/>
      <c r="T12" s="43"/>
      <c r="U12" s="43"/>
    </row>
    <row r="13" spans="1:21">
      <c r="A13" s="43"/>
      <c r="B13" s="43"/>
      <c r="C13" s="43"/>
      <c r="D13" s="43"/>
      <c r="E13" s="43"/>
      <c r="F13" s="43"/>
      <c r="G13" s="43"/>
      <c r="H13" s="43"/>
      <c r="I13" s="43"/>
      <c r="J13" s="43"/>
      <c r="K13" s="43"/>
      <c r="L13" s="43"/>
      <c r="M13" s="43"/>
      <c r="N13" s="43"/>
      <c r="O13" s="43"/>
      <c r="P13" s="43"/>
      <c r="Q13" s="43"/>
      <c r="R13" s="43"/>
      <c r="S13" s="43"/>
      <c r="T13" s="43"/>
      <c r="U13" s="43"/>
    </row>
    <row r="14" spans="1:21">
      <c r="A14" s="43"/>
      <c r="B14" s="43"/>
      <c r="C14" s="43"/>
      <c r="D14" s="43"/>
      <c r="E14" s="43"/>
      <c r="F14" s="43"/>
      <c r="G14" s="43"/>
      <c r="H14" s="43"/>
      <c r="I14" s="43"/>
      <c r="J14" s="43"/>
      <c r="K14" s="43"/>
      <c r="L14" s="43"/>
      <c r="M14" s="43"/>
      <c r="N14" s="43"/>
      <c r="O14" s="43"/>
      <c r="P14" s="43"/>
      <c r="Q14" s="43"/>
      <c r="R14" s="43"/>
      <c r="S14" s="43"/>
      <c r="T14" s="43"/>
      <c r="U14" s="43"/>
    </row>
    <row r="15" spans="1:21">
      <c r="A15" s="43"/>
      <c r="B15" s="43"/>
      <c r="C15" s="43"/>
      <c r="D15" s="43"/>
      <c r="E15" s="43"/>
      <c r="F15" s="43"/>
      <c r="G15" s="43"/>
      <c r="H15" s="43"/>
      <c r="I15" s="43"/>
      <c r="J15" s="43"/>
      <c r="K15" s="43"/>
      <c r="L15" s="43"/>
      <c r="M15" s="43"/>
      <c r="N15" s="43"/>
      <c r="O15" s="43"/>
      <c r="P15" s="43"/>
      <c r="Q15" s="43"/>
      <c r="R15" s="43"/>
      <c r="S15" s="43"/>
      <c r="T15" s="43"/>
      <c r="U15" s="43"/>
    </row>
    <row r="16" spans="1:21">
      <c r="A16" s="43"/>
      <c r="B16" s="43"/>
      <c r="C16" s="43"/>
      <c r="D16" s="43"/>
      <c r="E16" s="43"/>
      <c r="F16" s="43"/>
      <c r="G16" s="43"/>
      <c r="H16" s="43"/>
      <c r="I16" s="43"/>
      <c r="J16" s="43"/>
      <c r="K16" s="43"/>
      <c r="L16" s="43"/>
      <c r="M16" s="43"/>
      <c r="N16" s="43"/>
      <c r="O16" s="43"/>
      <c r="P16" s="43"/>
      <c r="Q16" s="43"/>
      <c r="R16" s="43"/>
      <c r="S16" s="43"/>
      <c r="T16" s="43"/>
      <c r="U16" s="43"/>
    </row>
    <row r="17" spans="1:21">
      <c r="A17" s="43"/>
      <c r="B17" s="43"/>
      <c r="C17" s="43"/>
      <c r="D17" s="43"/>
      <c r="E17" s="43"/>
      <c r="F17" s="43"/>
      <c r="G17" s="43"/>
      <c r="H17" s="43"/>
      <c r="I17" s="43"/>
      <c r="J17" s="43"/>
      <c r="K17" s="43"/>
      <c r="L17" s="43"/>
      <c r="M17" s="43"/>
      <c r="N17" s="43"/>
      <c r="O17" s="43"/>
      <c r="P17" s="43"/>
      <c r="Q17" s="43"/>
      <c r="R17" s="43"/>
      <c r="S17" s="43"/>
      <c r="T17" s="43"/>
      <c r="U17" s="43"/>
    </row>
    <row r="18" spans="1:21">
      <c r="A18" s="43"/>
      <c r="B18" s="43"/>
      <c r="C18" s="43"/>
      <c r="D18" s="43"/>
      <c r="E18" s="43"/>
      <c r="F18" s="43"/>
      <c r="G18" s="43"/>
      <c r="H18" s="43"/>
      <c r="I18" s="43"/>
      <c r="J18" s="43"/>
      <c r="K18" s="43"/>
      <c r="L18" s="43"/>
      <c r="M18" s="43"/>
      <c r="N18" s="43"/>
      <c r="O18" s="43"/>
      <c r="P18" s="43"/>
      <c r="Q18" s="43"/>
      <c r="R18" s="43"/>
      <c r="S18" s="43"/>
      <c r="T18" s="43"/>
      <c r="U18" s="43"/>
    </row>
    <row r="19" spans="1:21">
      <c r="A19" s="43"/>
      <c r="B19" s="43"/>
      <c r="C19" s="43"/>
      <c r="D19" s="43"/>
      <c r="E19" s="43"/>
      <c r="F19" s="43"/>
      <c r="G19" s="43"/>
      <c r="H19" s="43"/>
      <c r="I19" s="43"/>
      <c r="J19" s="43"/>
      <c r="K19" s="43"/>
      <c r="L19" s="43"/>
      <c r="M19" s="43"/>
      <c r="N19" s="43"/>
      <c r="O19" s="43"/>
      <c r="P19" s="43"/>
      <c r="Q19" s="43"/>
      <c r="R19" s="43"/>
      <c r="S19" s="43"/>
      <c r="T19" s="43"/>
      <c r="U19" s="43"/>
    </row>
    <row r="20" spans="1:21">
      <c r="A20" s="43"/>
      <c r="B20" s="43"/>
      <c r="C20" s="43"/>
      <c r="D20" s="43"/>
      <c r="E20" s="43"/>
      <c r="F20" s="43"/>
      <c r="G20" s="43"/>
      <c r="H20" s="43"/>
      <c r="I20" s="43"/>
      <c r="J20" s="43"/>
      <c r="K20" s="43"/>
      <c r="L20" s="43"/>
      <c r="M20" s="43"/>
      <c r="N20" s="43"/>
      <c r="O20" s="43"/>
      <c r="P20" s="43"/>
      <c r="Q20" s="43"/>
      <c r="R20" s="43"/>
      <c r="S20" s="43"/>
      <c r="T20" s="43"/>
      <c r="U20" s="43"/>
    </row>
    <row r="21" spans="1:21">
      <c r="A21" s="43"/>
      <c r="B21" s="43"/>
      <c r="C21" s="43"/>
      <c r="D21" s="43"/>
      <c r="E21" s="43"/>
      <c r="F21" s="43"/>
      <c r="G21" s="43"/>
      <c r="H21" s="43"/>
      <c r="I21" s="43"/>
      <c r="J21" s="43"/>
      <c r="K21" s="43"/>
      <c r="L21" s="43"/>
      <c r="M21" s="43"/>
      <c r="N21" s="43"/>
      <c r="O21" s="43"/>
      <c r="P21" s="43"/>
      <c r="Q21" s="43"/>
      <c r="R21" s="43"/>
      <c r="S21" s="43"/>
      <c r="T21" s="43"/>
      <c r="U21" s="43"/>
    </row>
    <row r="22" spans="1:21">
      <c r="A22" s="43"/>
      <c r="B22" s="43"/>
      <c r="C22" s="43"/>
      <c r="D22" s="43"/>
      <c r="E22" s="43"/>
      <c r="F22" s="43"/>
      <c r="G22" s="43"/>
      <c r="H22" s="43"/>
      <c r="I22" s="43"/>
      <c r="J22" s="43"/>
      <c r="K22" s="43"/>
      <c r="L22" s="43"/>
      <c r="M22" s="43"/>
      <c r="N22" s="43"/>
      <c r="O22" s="43"/>
      <c r="P22" s="43"/>
      <c r="Q22" s="43"/>
      <c r="R22" s="43"/>
      <c r="S22" s="43"/>
      <c r="T22" s="43"/>
      <c r="U22" s="43"/>
    </row>
    <row r="23" spans="1:21">
      <c r="A23" s="43"/>
      <c r="B23" s="43"/>
      <c r="C23" s="43"/>
      <c r="D23" s="43"/>
      <c r="E23" s="43"/>
      <c r="F23" s="43"/>
      <c r="G23" s="43"/>
      <c r="H23" s="43"/>
      <c r="I23" s="43"/>
      <c r="J23" s="43"/>
      <c r="K23" s="43"/>
      <c r="L23" s="43"/>
      <c r="M23" s="43"/>
      <c r="N23" s="43"/>
      <c r="O23" s="43"/>
      <c r="P23" s="43"/>
      <c r="Q23" s="43"/>
      <c r="R23" s="43"/>
      <c r="S23" s="43"/>
      <c r="T23" s="43"/>
      <c r="U23" s="43"/>
    </row>
    <row r="24" spans="1:21">
      <c r="A24" s="43"/>
      <c r="B24" s="43"/>
      <c r="C24" s="43"/>
      <c r="D24" s="43"/>
      <c r="E24" s="43"/>
      <c r="F24" s="43"/>
      <c r="G24" s="43"/>
      <c r="H24" s="43"/>
      <c r="I24" s="43"/>
      <c r="J24" s="43"/>
      <c r="K24" s="43"/>
      <c r="L24" s="43"/>
      <c r="M24" s="43"/>
      <c r="N24" s="43"/>
      <c r="O24" s="43"/>
      <c r="P24" s="43"/>
      <c r="Q24" s="43"/>
      <c r="R24" s="43"/>
      <c r="S24" s="43"/>
      <c r="T24" s="43"/>
      <c r="U24" s="43"/>
    </row>
    <row r="25" spans="1:21">
      <c r="A25" s="43"/>
      <c r="B25" s="43"/>
      <c r="C25" s="43"/>
      <c r="D25" s="43"/>
      <c r="E25" s="43"/>
      <c r="F25" s="43"/>
      <c r="G25" s="43"/>
      <c r="H25" s="43"/>
      <c r="I25" s="43"/>
      <c r="J25" s="43"/>
      <c r="K25" s="43"/>
      <c r="L25" s="43"/>
      <c r="M25" s="43"/>
      <c r="N25" s="43"/>
      <c r="O25" s="43"/>
      <c r="P25" s="43"/>
      <c r="Q25" s="43"/>
      <c r="R25" s="43"/>
      <c r="S25" s="43"/>
      <c r="T25" s="43"/>
      <c r="U25" s="43"/>
    </row>
    <row r="26" spans="1:21">
      <c r="A26" s="43"/>
      <c r="B26" s="43"/>
      <c r="C26" s="43"/>
      <c r="D26" s="43"/>
      <c r="E26" s="43"/>
      <c r="F26" s="43"/>
      <c r="G26" s="43"/>
      <c r="H26" s="43"/>
      <c r="I26" s="43"/>
      <c r="J26" s="43"/>
      <c r="K26" s="43"/>
      <c r="L26" s="43"/>
      <c r="M26" s="43"/>
      <c r="N26" s="43"/>
      <c r="O26" s="43"/>
      <c r="P26" s="43"/>
      <c r="Q26" s="43"/>
      <c r="R26" s="43"/>
      <c r="S26" s="43"/>
      <c r="T26" s="43"/>
      <c r="U26" s="43"/>
    </row>
    <row r="27" spans="1:21">
      <c r="A27" s="43"/>
      <c r="B27" s="43"/>
      <c r="C27" s="43"/>
      <c r="D27" s="43"/>
      <c r="E27" s="43"/>
      <c r="F27" s="43"/>
      <c r="G27" s="43"/>
      <c r="H27" s="43"/>
      <c r="I27" s="43"/>
      <c r="J27" s="43"/>
      <c r="K27" s="43"/>
      <c r="L27" s="43"/>
      <c r="M27" s="43"/>
      <c r="N27" s="43"/>
      <c r="O27" s="43"/>
      <c r="P27" s="43"/>
      <c r="Q27" s="43"/>
      <c r="R27" s="43"/>
      <c r="S27" s="43"/>
      <c r="T27" s="43"/>
      <c r="U27" s="43"/>
    </row>
    <row r="28" spans="1:21">
      <c r="A28" s="43"/>
      <c r="B28" s="43"/>
      <c r="C28" s="43"/>
      <c r="D28" s="43"/>
      <c r="E28" s="43"/>
      <c r="F28" s="43"/>
      <c r="G28" s="43"/>
      <c r="H28" s="43"/>
      <c r="I28" s="43"/>
      <c r="J28" s="43"/>
      <c r="K28" s="43"/>
      <c r="L28" s="43"/>
      <c r="M28" s="43"/>
      <c r="N28" s="43"/>
      <c r="O28" s="43"/>
      <c r="P28" s="43"/>
      <c r="Q28" s="43"/>
      <c r="R28" s="43"/>
      <c r="S28" s="43"/>
      <c r="T28" s="43"/>
      <c r="U28" s="43"/>
    </row>
    <row r="29" spans="1:21">
      <c r="A29" s="43"/>
      <c r="B29" s="43"/>
      <c r="C29" s="43"/>
      <c r="D29" s="43"/>
      <c r="E29" s="43"/>
      <c r="F29" s="43"/>
      <c r="G29" s="43"/>
      <c r="H29" s="43"/>
      <c r="I29" s="43"/>
      <c r="J29" s="43"/>
      <c r="K29" s="43"/>
      <c r="L29" s="43"/>
      <c r="M29" s="43"/>
      <c r="N29" s="43"/>
      <c r="O29" s="43"/>
      <c r="P29" s="43"/>
      <c r="Q29" s="43"/>
      <c r="R29" s="43"/>
      <c r="S29" s="43"/>
      <c r="T29" s="43"/>
      <c r="U29" s="43"/>
    </row>
    <row r="30" spans="1:21">
      <c r="A30" s="43"/>
      <c r="B30" s="43"/>
      <c r="C30" s="43"/>
      <c r="D30" s="43"/>
      <c r="E30" s="43"/>
      <c r="F30" s="43"/>
      <c r="G30" s="43"/>
      <c r="H30" s="43"/>
      <c r="I30" s="43"/>
      <c r="J30" s="43"/>
      <c r="K30" s="43"/>
      <c r="L30" s="43"/>
      <c r="M30" s="43"/>
      <c r="N30" s="43"/>
      <c r="O30" s="43"/>
      <c r="P30" s="43"/>
      <c r="Q30" s="43"/>
      <c r="R30" s="43"/>
      <c r="S30" s="43"/>
      <c r="T30" s="43"/>
      <c r="U30" s="43"/>
    </row>
    <row r="31" spans="1:21">
      <c r="A31" s="43"/>
      <c r="B31" s="43"/>
      <c r="C31" s="43"/>
      <c r="D31" s="43"/>
      <c r="E31" s="43"/>
      <c r="F31" s="43"/>
      <c r="G31" s="43"/>
      <c r="H31" s="43"/>
      <c r="I31" s="43"/>
      <c r="J31" s="43"/>
      <c r="K31" s="43"/>
      <c r="L31" s="43"/>
      <c r="M31" s="43"/>
      <c r="N31" s="43"/>
      <c r="O31" s="43"/>
      <c r="P31" s="43"/>
      <c r="Q31" s="43"/>
      <c r="R31" s="43"/>
      <c r="S31" s="43"/>
      <c r="T31" s="43"/>
      <c r="U31" s="43"/>
    </row>
    <row r="32" spans="1:21">
      <c r="A32" s="43"/>
      <c r="B32" s="43"/>
      <c r="C32" s="43"/>
      <c r="D32" s="43"/>
      <c r="E32" s="43"/>
      <c r="F32" s="43"/>
      <c r="G32" s="43"/>
      <c r="H32" s="43"/>
      <c r="I32" s="43"/>
      <c r="J32" s="43"/>
      <c r="K32" s="43"/>
      <c r="L32" s="43"/>
      <c r="M32" s="43"/>
      <c r="N32" s="43"/>
      <c r="O32" s="43"/>
      <c r="P32" s="43"/>
      <c r="Q32" s="43"/>
      <c r="R32" s="43"/>
      <c r="S32" s="43"/>
      <c r="T32" s="43"/>
      <c r="U32" s="43"/>
    </row>
    <row r="33" spans="1:21">
      <c r="A33" s="43"/>
      <c r="B33" s="43"/>
      <c r="C33" s="43"/>
      <c r="D33" s="43"/>
      <c r="E33" s="43"/>
      <c r="F33" s="43"/>
      <c r="G33" s="43"/>
      <c r="H33" s="43"/>
      <c r="I33" s="43"/>
      <c r="J33" s="43"/>
      <c r="K33" s="43"/>
      <c r="L33" s="43"/>
      <c r="M33" s="43"/>
      <c r="N33" s="43"/>
      <c r="O33" s="43"/>
      <c r="P33" s="43"/>
      <c r="Q33" s="43"/>
      <c r="R33" s="43"/>
      <c r="S33" s="43"/>
      <c r="T33" s="43"/>
      <c r="U33" s="43"/>
    </row>
    <row r="34" spans="1:21">
      <c r="A34" s="43"/>
      <c r="B34" s="43"/>
      <c r="C34" s="43"/>
      <c r="D34" s="43"/>
      <c r="E34" s="43"/>
      <c r="F34" s="43"/>
      <c r="G34" s="43"/>
      <c r="H34" s="43"/>
      <c r="I34" s="43"/>
      <c r="J34" s="43"/>
      <c r="K34" s="43"/>
      <c r="L34" s="43"/>
      <c r="M34" s="43"/>
      <c r="N34" s="43"/>
      <c r="O34" s="43"/>
      <c r="P34" s="43"/>
      <c r="Q34" s="43"/>
      <c r="R34" s="43"/>
      <c r="S34" s="43"/>
      <c r="T34" s="43"/>
      <c r="U34" s="43"/>
    </row>
    <row r="35" spans="1:21">
      <c r="A35" s="43"/>
      <c r="B35" s="43"/>
      <c r="C35" s="43"/>
      <c r="D35" s="43"/>
      <c r="E35" s="43"/>
      <c r="F35" s="43"/>
      <c r="G35" s="43"/>
      <c r="H35" s="43"/>
      <c r="I35" s="43"/>
      <c r="J35" s="43"/>
      <c r="K35" s="43"/>
      <c r="L35" s="43"/>
      <c r="M35" s="43"/>
      <c r="N35" s="43"/>
      <c r="O35" s="43"/>
      <c r="P35" s="43"/>
      <c r="Q35" s="43"/>
      <c r="R35" s="43"/>
      <c r="S35" s="43"/>
      <c r="T35" s="43"/>
      <c r="U35" s="43"/>
    </row>
    <row r="36" spans="1:21">
      <c r="A36" s="43"/>
      <c r="B36" s="43"/>
      <c r="C36" s="43"/>
      <c r="D36" s="43"/>
      <c r="E36" s="43"/>
      <c r="F36" s="43"/>
      <c r="G36" s="43"/>
      <c r="H36" s="43"/>
      <c r="I36" s="43"/>
      <c r="J36" s="43"/>
      <c r="K36" s="43"/>
      <c r="L36" s="43"/>
      <c r="M36" s="43"/>
      <c r="N36" s="43"/>
      <c r="O36" s="43"/>
      <c r="P36" s="43"/>
      <c r="Q36" s="43"/>
      <c r="R36" s="43"/>
      <c r="S36" s="43"/>
      <c r="T36" s="43"/>
      <c r="U36" s="43"/>
    </row>
    <row r="37" spans="1:21">
      <c r="A37" s="43"/>
      <c r="B37" s="43"/>
      <c r="C37" s="43"/>
      <c r="D37" s="43"/>
      <c r="E37" s="43"/>
      <c r="F37" s="43"/>
      <c r="G37" s="43"/>
      <c r="H37" s="43"/>
      <c r="I37" s="43"/>
      <c r="J37" s="43"/>
      <c r="K37" s="43"/>
      <c r="L37" s="43"/>
      <c r="M37" s="43"/>
      <c r="N37" s="43"/>
      <c r="O37" s="43"/>
      <c r="P37" s="43"/>
      <c r="Q37" s="43"/>
      <c r="R37" s="43"/>
      <c r="S37" s="43"/>
      <c r="T37" s="43"/>
      <c r="U37" s="43"/>
    </row>
    <row r="38" spans="1:21">
      <c r="A38" s="43"/>
      <c r="B38" s="43"/>
      <c r="C38" s="43"/>
      <c r="D38" s="43"/>
      <c r="E38" s="43"/>
      <c r="F38" s="43"/>
      <c r="G38" s="43"/>
      <c r="H38" s="43"/>
      <c r="I38" s="43"/>
      <c r="J38" s="43"/>
      <c r="K38" s="43"/>
      <c r="L38" s="43"/>
      <c r="M38" s="43"/>
      <c r="N38" s="43"/>
      <c r="O38" s="43"/>
      <c r="P38" s="43"/>
      <c r="Q38" s="43"/>
      <c r="R38" s="43"/>
      <c r="S38" s="43"/>
      <c r="T38" s="43"/>
      <c r="U38" s="43"/>
    </row>
    <row r="39" spans="1:21">
      <c r="A39" s="43"/>
      <c r="B39" s="43"/>
      <c r="C39" s="43"/>
      <c r="D39" s="43"/>
      <c r="E39" s="43"/>
      <c r="F39" s="43"/>
      <c r="G39" s="43"/>
      <c r="H39" s="43"/>
      <c r="I39" s="43"/>
      <c r="J39" s="43"/>
      <c r="K39" s="43"/>
      <c r="L39" s="43"/>
      <c r="M39" s="43"/>
      <c r="N39" s="43"/>
      <c r="O39" s="43"/>
      <c r="P39" s="43"/>
      <c r="Q39" s="43"/>
      <c r="R39" s="43"/>
      <c r="S39" s="43"/>
      <c r="T39" s="43"/>
      <c r="U39" s="43"/>
    </row>
    <row r="40" spans="1:21">
      <c r="A40" s="43"/>
      <c r="B40" s="43"/>
      <c r="C40" s="43"/>
      <c r="D40" s="43"/>
      <c r="E40" s="43"/>
      <c r="F40" s="43"/>
      <c r="G40" s="43"/>
      <c r="H40" s="43"/>
      <c r="I40" s="43"/>
      <c r="J40" s="43"/>
      <c r="K40" s="43"/>
      <c r="L40" s="43"/>
      <c r="M40" s="43"/>
      <c r="N40" s="43"/>
      <c r="O40" s="43"/>
      <c r="P40" s="43"/>
      <c r="Q40" s="43"/>
      <c r="R40" s="43"/>
      <c r="S40" s="43"/>
      <c r="T40" s="43"/>
      <c r="U40" s="43"/>
    </row>
    <row r="41" spans="1:21">
      <c r="A41" s="43"/>
      <c r="B41" s="43"/>
      <c r="C41" s="43"/>
      <c r="D41" s="43"/>
      <c r="E41" s="43"/>
      <c r="F41" s="43"/>
      <c r="G41" s="43"/>
      <c r="H41" s="43"/>
      <c r="I41" s="43"/>
      <c r="J41" s="43"/>
      <c r="K41" s="43"/>
      <c r="L41" s="43"/>
      <c r="M41" s="43"/>
      <c r="N41" s="43"/>
      <c r="O41" s="43"/>
      <c r="P41" s="43"/>
      <c r="Q41" s="43"/>
      <c r="R41" s="43"/>
      <c r="S41" s="43"/>
      <c r="T41" s="43"/>
      <c r="U41" s="43"/>
    </row>
    <row r="42" spans="1:21">
      <c r="A42" s="43"/>
      <c r="B42" s="43"/>
      <c r="C42" s="43"/>
      <c r="D42" s="43"/>
      <c r="E42" s="43"/>
      <c r="F42" s="43"/>
      <c r="G42" s="43"/>
      <c r="H42" s="43"/>
      <c r="I42" s="43"/>
      <c r="J42" s="43"/>
      <c r="K42" s="43"/>
      <c r="L42" s="43"/>
      <c r="M42" s="43"/>
      <c r="N42" s="43"/>
      <c r="O42" s="43"/>
      <c r="P42" s="43"/>
      <c r="Q42" s="43"/>
      <c r="R42" s="43"/>
      <c r="S42" s="43"/>
      <c r="T42" s="43"/>
      <c r="U42" s="43"/>
    </row>
    <row r="43" spans="1:21">
      <c r="A43" s="43"/>
      <c r="B43" s="43"/>
      <c r="C43" s="43"/>
      <c r="D43" s="43"/>
      <c r="E43" s="43"/>
      <c r="F43" s="43"/>
      <c r="G43" s="43"/>
      <c r="H43" s="43"/>
      <c r="I43" s="43"/>
      <c r="J43" s="43"/>
      <c r="K43" s="43"/>
      <c r="L43" s="43"/>
      <c r="M43" s="43"/>
      <c r="N43" s="43"/>
      <c r="O43" s="43"/>
      <c r="P43" s="43"/>
      <c r="Q43" s="43"/>
      <c r="R43" s="43"/>
      <c r="S43" s="43"/>
      <c r="T43" s="43"/>
      <c r="U43" s="43"/>
    </row>
    <row r="44" spans="1:21">
      <c r="A44" s="43"/>
      <c r="B44" s="43"/>
      <c r="C44" s="43"/>
      <c r="D44" s="43"/>
      <c r="E44" s="43"/>
      <c r="F44" s="43"/>
      <c r="G44" s="43"/>
      <c r="H44" s="43"/>
      <c r="I44" s="43"/>
      <c r="J44" s="43"/>
      <c r="K44" s="43"/>
      <c r="L44" s="43"/>
      <c r="M44" s="43"/>
      <c r="N44" s="43"/>
      <c r="O44" s="43"/>
      <c r="P44" s="43"/>
      <c r="Q44" s="43"/>
      <c r="R44" s="43"/>
      <c r="S44" s="43"/>
      <c r="T44" s="43"/>
      <c r="U44" s="43"/>
    </row>
    <row r="45" spans="1:21">
      <c r="A45" s="43"/>
      <c r="B45" s="43"/>
      <c r="C45" s="43"/>
      <c r="D45" s="43"/>
      <c r="E45" s="43"/>
      <c r="F45" s="43"/>
      <c r="G45" s="43"/>
      <c r="H45" s="43"/>
      <c r="I45" s="43"/>
      <c r="J45" s="43"/>
      <c r="K45" s="43"/>
      <c r="L45" s="43"/>
      <c r="M45" s="43"/>
      <c r="N45" s="43"/>
      <c r="O45" s="43"/>
      <c r="P45" s="43"/>
      <c r="Q45" s="43"/>
      <c r="R45" s="43"/>
      <c r="S45" s="43"/>
      <c r="T45" s="43"/>
      <c r="U45" s="43"/>
    </row>
    <row r="46" spans="1:21">
      <c r="A46" s="43"/>
      <c r="B46" s="43"/>
      <c r="C46" s="43"/>
      <c r="D46" s="43"/>
      <c r="E46" s="43"/>
      <c r="F46" s="43"/>
      <c r="G46" s="43"/>
      <c r="H46" s="43"/>
      <c r="I46" s="43"/>
      <c r="J46" s="43"/>
      <c r="K46" s="43"/>
      <c r="L46" s="43"/>
      <c r="M46" s="43"/>
      <c r="N46" s="43"/>
      <c r="O46" s="43"/>
      <c r="P46" s="43"/>
      <c r="Q46" s="43"/>
      <c r="R46" s="43"/>
      <c r="S46" s="43"/>
      <c r="T46" s="43"/>
      <c r="U46" s="43"/>
    </row>
    <row r="47" spans="1:21">
      <c r="A47" s="43"/>
      <c r="B47" s="43"/>
      <c r="C47" s="43"/>
      <c r="D47" s="43"/>
      <c r="E47" s="43"/>
      <c r="F47" s="43"/>
      <c r="G47" s="43"/>
      <c r="H47" s="43"/>
      <c r="I47" s="43"/>
      <c r="J47" s="43"/>
      <c r="K47" s="43"/>
      <c r="L47" s="43"/>
      <c r="M47" s="43"/>
      <c r="N47" s="43"/>
      <c r="O47" s="43"/>
      <c r="P47" s="43"/>
      <c r="Q47" s="43"/>
      <c r="R47" s="43"/>
      <c r="S47" s="43"/>
      <c r="T47" s="43"/>
      <c r="U47" s="43"/>
    </row>
    <row r="48" spans="1:21">
      <c r="A48" s="43"/>
      <c r="B48" s="43"/>
      <c r="C48" s="43"/>
      <c r="D48" s="43"/>
      <c r="E48" s="43"/>
      <c r="F48" s="43"/>
      <c r="G48" s="43"/>
      <c r="H48" s="43"/>
      <c r="I48" s="43"/>
      <c r="J48" s="43"/>
      <c r="K48" s="43"/>
      <c r="L48" s="43"/>
      <c r="M48" s="43"/>
      <c r="N48" s="43"/>
      <c r="O48" s="43"/>
      <c r="P48" s="43"/>
      <c r="Q48" s="43"/>
      <c r="R48" s="43"/>
      <c r="S48" s="43"/>
      <c r="T48" s="43"/>
      <c r="U48" s="43"/>
    </row>
    <row r="49" spans="1:21">
      <c r="A49" s="43"/>
      <c r="B49" s="43"/>
      <c r="C49" s="43"/>
      <c r="D49" s="43"/>
      <c r="E49" s="43"/>
      <c r="F49" s="43"/>
      <c r="G49" s="43"/>
      <c r="H49" s="43"/>
      <c r="I49" s="43"/>
      <c r="J49" s="43"/>
      <c r="K49" s="43"/>
      <c r="L49" s="43"/>
      <c r="M49" s="43"/>
      <c r="N49" s="43"/>
      <c r="O49" s="43"/>
      <c r="P49" s="43"/>
      <c r="Q49" s="43"/>
      <c r="R49" s="43"/>
      <c r="S49" s="43"/>
      <c r="T49" s="43"/>
      <c r="U49" s="43"/>
    </row>
    <row r="50" spans="1:21">
      <c r="A50" s="43"/>
      <c r="B50" s="43"/>
      <c r="C50" s="43"/>
      <c r="D50" s="43"/>
      <c r="E50" s="43"/>
      <c r="F50" s="43"/>
      <c r="G50" s="43"/>
      <c r="H50" s="43"/>
      <c r="I50" s="43"/>
      <c r="J50" s="43"/>
      <c r="K50" s="43"/>
      <c r="L50" s="43"/>
      <c r="M50" s="43"/>
      <c r="N50" s="43"/>
      <c r="O50" s="43"/>
      <c r="P50" s="43"/>
      <c r="Q50" s="43"/>
      <c r="R50" s="43"/>
      <c r="S50" s="43"/>
      <c r="T50" s="43"/>
      <c r="U50" s="43"/>
    </row>
  </sheetData>
  <sheetProtection algorithmName="SHA-512" hashValue="xNtMsPAGp2T6lnUem2g6YOx89/RzRwKNwiYm0PqoQUYO05xH9BvGrr9mt+0OZ6xmo+nXoMWk/H3XKzKG2XjQ5Q==" saltValue="x+hJ2CC3lHYGxi25VHZyQg==" spinCount="100000" sheet="1" objects="1" scenarios="1"/>
  <pageMargins left="0.7" right="0.7" top="0.75" bottom="0.75" header="0.3" footer="0.3"/>
  <pageSetup paperSize="8" orientation="landscape"/>
  <headerFooter>
    <oddHeader>&amp;C&amp;14Internal Audit/Safety Inspection Performances 2024 - Fleet (Yearly Trend) </oddHead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8"/>
  <sheetViews>
    <sheetView view="pageLayout" zoomScale="115" zoomScaleNormal="100" workbookViewId="0">
      <selection activeCell="N25" sqref="N25"/>
    </sheetView>
  </sheetViews>
  <sheetFormatPr defaultColWidth="9" defaultRowHeight="15"/>
  <sheetData>
    <row r="1" spans="1:21">
      <c r="A1" s="43"/>
      <c r="B1" s="43"/>
      <c r="C1" s="43"/>
      <c r="D1" s="43"/>
      <c r="E1" s="43"/>
      <c r="F1" s="43"/>
      <c r="G1" s="43"/>
      <c r="H1" s="43"/>
      <c r="I1" s="43"/>
      <c r="J1" s="43"/>
      <c r="K1" s="43"/>
      <c r="L1" s="43"/>
      <c r="M1" s="43"/>
      <c r="N1" s="43"/>
      <c r="O1" s="43"/>
      <c r="P1" s="43"/>
      <c r="Q1" s="43"/>
      <c r="R1" s="43"/>
      <c r="S1" s="43"/>
      <c r="T1" s="43"/>
      <c r="U1" s="43"/>
    </row>
    <row r="2" spans="1:21">
      <c r="A2" s="43"/>
      <c r="B2" s="43"/>
      <c r="C2" s="43"/>
      <c r="D2" s="43"/>
      <c r="E2" s="43"/>
      <c r="F2" s="43"/>
      <c r="G2" s="43"/>
      <c r="H2" s="43"/>
      <c r="I2" s="43"/>
      <c r="J2" s="43"/>
      <c r="K2" s="43"/>
      <c r="L2" s="43"/>
      <c r="M2" s="43"/>
      <c r="N2" s="43"/>
      <c r="O2" s="43"/>
      <c r="P2" s="43"/>
      <c r="Q2" s="43"/>
      <c r="R2" s="43"/>
      <c r="S2" s="43"/>
      <c r="T2" s="43"/>
      <c r="U2" s="43"/>
    </row>
    <row r="3" spans="1:21">
      <c r="A3" s="43"/>
      <c r="B3" s="43"/>
      <c r="C3" s="43"/>
      <c r="D3" s="43"/>
      <c r="E3" s="43"/>
      <c r="F3" s="43"/>
      <c r="G3" s="43"/>
      <c r="H3" s="43"/>
      <c r="I3" s="43"/>
      <c r="J3" s="43"/>
      <c r="K3" s="43"/>
      <c r="L3" s="43"/>
      <c r="M3" s="43"/>
      <c r="N3" s="43"/>
      <c r="O3" s="43"/>
      <c r="P3" s="43"/>
      <c r="Q3" s="43"/>
      <c r="R3" s="43"/>
      <c r="S3" s="43"/>
      <c r="T3" s="43"/>
      <c r="U3" s="43"/>
    </row>
    <row r="4" spans="1:21">
      <c r="A4" s="43"/>
      <c r="B4" s="43"/>
      <c r="C4" s="43"/>
      <c r="D4" s="43"/>
      <c r="E4" s="43"/>
      <c r="F4" s="43"/>
      <c r="G4" s="43"/>
      <c r="H4" s="43"/>
      <c r="I4" s="43"/>
      <c r="J4" s="43"/>
      <c r="K4" s="43"/>
      <c r="L4" s="43"/>
      <c r="M4" s="43"/>
      <c r="N4" s="43"/>
      <c r="O4" s="43"/>
      <c r="P4" s="43"/>
      <c r="Q4" s="43"/>
      <c r="R4" s="43"/>
      <c r="S4" s="43"/>
      <c r="T4" s="43"/>
      <c r="U4" s="43"/>
    </row>
    <row r="5" spans="1:21">
      <c r="A5" s="43"/>
      <c r="B5" s="43"/>
      <c r="C5" s="43"/>
      <c r="D5" s="43"/>
      <c r="E5" s="43"/>
      <c r="F5" s="43"/>
      <c r="G5" s="43"/>
      <c r="H5" s="43"/>
      <c r="I5" s="43"/>
      <c r="J5" s="43"/>
      <c r="K5" s="43"/>
      <c r="L5" s="43"/>
      <c r="M5" s="43"/>
      <c r="N5" s="43"/>
      <c r="O5" s="43"/>
      <c r="P5" s="43"/>
      <c r="Q5" s="43"/>
      <c r="R5" s="43"/>
      <c r="S5" s="43"/>
      <c r="T5" s="43"/>
      <c r="U5" s="43"/>
    </row>
    <row r="6" spans="1:21">
      <c r="A6" s="43"/>
      <c r="B6" s="43"/>
      <c r="C6" s="43"/>
      <c r="D6" s="43"/>
      <c r="E6" s="43"/>
      <c r="F6" s="43"/>
      <c r="G6" s="43"/>
      <c r="H6" s="43"/>
      <c r="I6" s="43"/>
      <c r="J6" s="43"/>
      <c r="K6" s="43"/>
      <c r="L6" s="43"/>
      <c r="M6" s="43"/>
      <c r="N6" s="43"/>
      <c r="O6" s="43"/>
      <c r="P6" s="43"/>
      <c r="Q6" s="43"/>
      <c r="R6" s="43"/>
      <c r="S6" s="43"/>
      <c r="T6" s="43"/>
      <c r="U6" s="43"/>
    </row>
    <row r="7" spans="1:21">
      <c r="A7" s="43"/>
      <c r="B7" s="43"/>
      <c r="C7" s="43"/>
      <c r="D7" s="43"/>
      <c r="E7" s="43"/>
      <c r="F7" s="43"/>
      <c r="G7" s="43"/>
      <c r="H7" s="43"/>
      <c r="I7" s="43"/>
      <c r="J7" s="43"/>
      <c r="K7" s="43"/>
      <c r="L7" s="43"/>
      <c r="M7" s="43"/>
      <c r="N7" s="43"/>
      <c r="O7" s="43"/>
      <c r="P7" s="43"/>
      <c r="Q7" s="43"/>
      <c r="R7" s="43"/>
      <c r="S7" s="43"/>
      <c r="T7" s="43"/>
      <c r="U7" s="43"/>
    </row>
    <row r="8" spans="1:21">
      <c r="A8" s="43"/>
      <c r="B8" s="43"/>
      <c r="C8" s="43"/>
      <c r="D8" s="43"/>
      <c r="E8" s="43"/>
      <c r="F8" s="43"/>
      <c r="G8" s="43"/>
      <c r="H8" s="43"/>
      <c r="I8" s="43"/>
      <c r="J8" s="43"/>
      <c r="K8" s="43"/>
      <c r="L8" s="43"/>
      <c r="M8" s="43"/>
      <c r="N8" s="43"/>
      <c r="O8" s="43"/>
      <c r="P8" s="43"/>
      <c r="Q8" s="43"/>
      <c r="R8" s="43"/>
      <c r="S8" s="43"/>
      <c r="T8" s="43"/>
      <c r="U8" s="43"/>
    </row>
    <row r="9" spans="1:21">
      <c r="A9" s="43"/>
      <c r="B9" s="43"/>
      <c r="C9" s="43"/>
      <c r="D9" s="43"/>
      <c r="E9" s="43"/>
      <c r="F9" s="43"/>
      <c r="G9" s="43"/>
      <c r="H9" s="43"/>
      <c r="I9" s="43"/>
      <c r="J9" s="43"/>
      <c r="K9" s="43"/>
      <c r="L9" s="43"/>
      <c r="M9" s="43"/>
      <c r="N9" s="43"/>
      <c r="O9" s="43"/>
      <c r="P9" s="43"/>
      <c r="Q9" s="43"/>
      <c r="R9" s="43"/>
      <c r="S9" s="43"/>
      <c r="T9" s="43"/>
      <c r="U9" s="43"/>
    </row>
    <row r="10" spans="1:21">
      <c r="A10" s="43"/>
      <c r="B10" s="43"/>
      <c r="C10" s="43"/>
      <c r="D10" s="43"/>
      <c r="E10" s="43"/>
      <c r="F10" s="43"/>
      <c r="G10" s="43"/>
      <c r="H10" s="43"/>
      <c r="I10" s="43"/>
      <c r="J10" s="43"/>
      <c r="K10" s="43"/>
      <c r="L10" s="43"/>
      <c r="M10" s="43"/>
      <c r="N10" s="43"/>
      <c r="O10" s="43"/>
      <c r="P10" s="43"/>
      <c r="Q10" s="43"/>
      <c r="R10" s="43"/>
      <c r="S10" s="43"/>
      <c r="T10" s="43"/>
      <c r="U10" s="43"/>
    </row>
    <row r="11" spans="1:21">
      <c r="A11" s="43"/>
      <c r="B11" s="43"/>
      <c r="C11" s="43"/>
      <c r="D11" s="43"/>
      <c r="E11" s="43"/>
      <c r="F11" s="43"/>
      <c r="G11" s="43"/>
      <c r="H11" s="43"/>
      <c r="I11" s="43"/>
      <c r="J11" s="43"/>
      <c r="K11" s="43"/>
      <c r="L11" s="43"/>
      <c r="M11" s="43"/>
      <c r="N11" s="43"/>
      <c r="O11" s="43"/>
      <c r="P11" s="43"/>
      <c r="Q11" s="43"/>
      <c r="R11" s="43"/>
      <c r="S11" s="43"/>
      <c r="T11" s="43"/>
      <c r="U11" s="43"/>
    </row>
    <row r="12" spans="1:21">
      <c r="A12" s="43"/>
      <c r="B12" s="43"/>
      <c r="C12" s="43"/>
      <c r="D12" s="43"/>
      <c r="E12" s="43"/>
      <c r="F12" s="43"/>
      <c r="G12" s="43"/>
      <c r="H12" s="43"/>
      <c r="I12" s="43"/>
      <c r="J12" s="43"/>
      <c r="K12" s="43"/>
      <c r="L12" s="43"/>
      <c r="M12" s="43"/>
      <c r="N12" s="43"/>
      <c r="O12" s="43"/>
      <c r="P12" s="43"/>
      <c r="Q12" s="43"/>
      <c r="R12" s="43"/>
      <c r="S12" s="43"/>
      <c r="T12" s="43"/>
      <c r="U12" s="43"/>
    </row>
    <row r="13" spans="1:21">
      <c r="A13" s="43"/>
      <c r="B13" s="43"/>
      <c r="C13" s="43"/>
      <c r="D13" s="43"/>
      <c r="E13" s="43"/>
      <c r="F13" s="43"/>
      <c r="G13" s="43"/>
      <c r="H13" s="43"/>
      <c r="I13" s="43"/>
      <c r="J13" s="43"/>
      <c r="K13" s="43"/>
      <c r="L13" s="43"/>
      <c r="M13" s="43"/>
      <c r="N13" s="43"/>
      <c r="O13" s="43"/>
      <c r="P13" s="43"/>
      <c r="Q13" s="43"/>
      <c r="R13" s="43"/>
      <c r="S13" s="43"/>
      <c r="T13" s="43"/>
      <c r="U13" s="43"/>
    </row>
    <row r="14" spans="1:21">
      <c r="A14" s="43"/>
      <c r="B14" s="43"/>
      <c r="C14" s="43"/>
      <c r="D14" s="43"/>
      <c r="E14" s="43"/>
      <c r="F14" s="43"/>
      <c r="G14" s="43"/>
      <c r="H14" s="43"/>
      <c r="I14" s="43"/>
      <c r="J14" s="43"/>
      <c r="K14" s="43"/>
      <c r="L14" s="43"/>
      <c r="M14" s="43"/>
      <c r="N14" s="43"/>
      <c r="O14" s="43"/>
      <c r="P14" s="43"/>
      <c r="Q14" s="43"/>
      <c r="R14" s="43"/>
      <c r="S14" s="43"/>
      <c r="T14" s="43"/>
      <c r="U14" s="43"/>
    </row>
    <row r="15" spans="1:21">
      <c r="A15" s="43"/>
      <c r="B15" s="43"/>
      <c r="C15" s="43"/>
      <c r="D15" s="43"/>
      <c r="E15" s="43"/>
      <c r="F15" s="43"/>
      <c r="G15" s="43"/>
      <c r="H15" s="43"/>
      <c r="I15" s="43"/>
      <c r="J15" s="43"/>
      <c r="K15" s="43"/>
      <c r="L15" s="43"/>
      <c r="M15" s="43"/>
      <c r="N15" s="43"/>
      <c r="O15" s="43"/>
      <c r="P15" s="43"/>
      <c r="Q15" s="43"/>
      <c r="R15" s="43"/>
      <c r="S15" s="43"/>
      <c r="T15" s="43"/>
      <c r="U15" s="43"/>
    </row>
    <row r="16" spans="1:21">
      <c r="A16" s="43"/>
      <c r="B16" s="43"/>
      <c r="C16" s="43"/>
      <c r="D16" s="43"/>
      <c r="E16" s="43"/>
      <c r="F16" s="43"/>
      <c r="G16" s="43"/>
      <c r="H16" s="43"/>
      <c r="I16" s="43"/>
      <c r="J16" s="43"/>
      <c r="K16" s="43"/>
      <c r="L16" s="43"/>
      <c r="M16" s="43"/>
      <c r="N16" s="43"/>
      <c r="O16" s="43"/>
      <c r="P16" s="43"/>
      <c r="Q16" s="43"/>
      <c r="R16" s="43"/>
      <c r="S16" s="43"/>
      <c r="T16" s="43"/>
      <c r="U16" s="43"/>
    </row>
    <row r="17" spans="1:21">
      <c r="A17" s="43"/>
      <c r="B17" s="43"/>
      <c r="C17" s="43"/>
      <c r="D17" s="43"/>
      <c r="E17" s="43"/>
      <c r="F17" s="43"/>
      <c r="G17" s="43"/>
      <c r="H17" s="43"/>
      <c r="I17" s="43"/>
      <c r="J17" s="43"/>
      <c r="K17" s="43"/>
      <c r="L17" s="43"/>
      <c r="M17" s="43"/>
      <c r="N17" s="43"/>
      <c r="O17" s="43"/>
      <c r="P17" s="43"/>
      <c r="Q17" s="43"/>
      <c r="R17" s="43"/>
      <c r="S17" s="43"/>
      <c r="T17" s="43"/>
      <c r="U17" s="43"/>
    </row>
    <row r="18" spans="1:21">
      <c r="A18" s="43"/>
      <c r="B18" s="43"/>
      <c r="C18" s="43"/>
      <c r="D18" s="43"/>
      <c r="E18" s="43"/>
      <c r="F18" s="43"/>
      <c r="G18" s="43"/>
      <c r="H18" s="43"/>
      <c r="I18" s="43"/>
      <c r="J18" s="43"/>
      <c r="K18" s="43"/>
      <c r="L18" s="43"/>
      <c r="M18" s="43"/>
      <c r="N18" s="43"/>
      <c r="O18" s="43"/>
      <c r="P18" s="43"/>
      <c r="Q18" s="43"/>
      <c r="R18" s="43"/>
      <c r="S18" s="43"/>
      <c r="T18" s="43"/>
      <c r="U18" s="43"/>
    </row>
    <row r="19" spans="1:21">
      <c r="A19" s="43"/>
      <c r="B19" s="43"/>
      <c r="C19" s="43"/>
      <c r="D19" s="43"/>
      <c r="E19" s="43"/>
      <c r="F19" s="43"/>
      <c r="G19" s="43"/>
      <c r="H19" s="43"/>
      <c r="I19" s="43"/>
      <c r="J19" s="43"/>
      <c r="K19" s="43"/>
      <c r="L19" s="43"/>
      <c r="M19" s="43"/>
      <c r="N19" s="43"/>
      <c r="O19" s="43"/>
      <c r="P19" s="43"/>
      <c r="Q19" s="43"/>
      <c r="R19" s="43"/>
      <c r="S19" s="43"/>
      <c r="T19" s="43"/>
      <c r="U19" s="43"/>
    </row>
    <row r="20" spans="1:21">
      <c r="A20" s="43"/>
      <c r="B20" s="43"/>
      <c r="C20" s="43"/>
      <c r="D20" s="43"/>
      <c r="E20" s="43"/>
      <c r="F20" s="43"/>
      <c r="G20" s="43"/>
      <c r="H20" s="43"/>
      <c r="I20" s="43"/>
      <c r="J20" s="43"/>
      <c r="K20" s="43"/>
      <c r="L20" s="43"/>
      <c r="M20" s="43"/>
      <c r="N20" s="43"/>
      <c r="O20" s="43"/>
      <c r="P20" s="43"/>
      <c r="Q20" s="43"/>
      <c r="R20" s="43"/>
      <c r="S20" s="43"/>
      <c r="T20" s="43"/>
      <c r="U20" s="43"/>
    </row>
    <row r="21" spans="1:21">
      <c r="A21" s="43"/>
      <c r="B21" s="43"/>
      <c r="C21" s="43"/>
      <c r="D21" s="43"/>
      <c r="E21" s="43"/>
      <c r="F21" s="43"/>
      <c r="G21" s="43"/>
      <c r="H21" s="43"/>
      <c r="I21" s="43"/>
      <c r="J21" s="43"/>
      <c r="K21" s="43"/>
      <c r="L21" s="43"/>
      <c r="M21" s="43"/>
      <c r="N21" s="43"/>
      <c r="O21" s="43"/>
      <c r="P21" s="43"/>
      <c r="Q21" s="43"/>
      <c r="R21" s="43"/>
      <c r="S21" s="43"/>
      <c r="T21" s="43"/>
      <c r="U21" s="43"/>
    </row>
    <row r="22" spans="1:21">
      <c r="A22" s="43"/>
      <c r="B22" s="43"/>
      <c r="C22" s="43"/>
      <c r="D22" s="43"/>
      <c r="E22" s="43"/>
      <c r="F22" s="43"/>
      <c r="G22" s="43"/>
      <c r="H22" s="43"/>
      <c r="I22" s="43"/>
      <c r="J22" s="43"/>
      <c r="K22" s="43"/>
      <c r="L22" s="43"/>
      <c r="M22" s="43"/>
      <c r="N22" s="43"/>
      <c r="O22" s="43"/>
      <c r="P22" s="43"/>
      <c r="Q22" s="43"/>
      <c r="R22" s="43"/>
      <c r="S22" s="43"/>
      <c r="T22" s="43"/>
      <c r="U22" s="43"/>
    </row>
    <row r="23" spans="1:21">
      <c r="A23" s="43"/>
      <c r="B23" s="43"/>
      <c r="C23" s="43"/>
      <c r="D23" s="43"/>
      <c r="E23" s="43"/>
      <c r="F23" s="43"/>
      <c r="G23" s="43"/>
      <c r="H23" s="43"/>
      <c r="I23" s="43"/>
      <c r="J23" s="43"/>
      <c r="K23" s="43"/>
      <c r="L23" s="43"/>
      <c r="M23" s="43"/>
      <c r="N23" s="43"/>
      <c r="O23" s="43"/>
      <c r="P23" s="43"/>
      <c r="Q23" s="43"/>
      <c r="R23" s="43"/>
      <c r="S23" s="43"/>
      <c r="T23" s="43"/>
      <c r="U23" s="43"/>
    </row>
    <row r="24" spans="1:21">
      <c r="A24" s="43"/>
      <c r="B24" s="43"/>
      <c r="C24" s="43"/>
      <c r="D24" s="43"/>
      <c r="E24" s="43"/>
      <c r="F24" s="43"/>
      <c r="G24" s="43"/>
      <c r="H24" s="43"/>
      <c r="I24" s="43"/>
      <c r="J24" s="43"/>
      <c r="K24" s="43"/>
      <c r="L24" s="43"/>
      <c r="M24" s="43"/>
      <c r="N24" s="43"/>
      <c r="O24" s="43"/>
      <c r="P24" s="43"/>
      <c r="Q24" s="43"/>
      <c r="R24" s="43"/>
      <c r="S24" s="43"/>
      <c r="T24" s="43"/>
      <c r="U24" s="43"/>
    </row>
    <row r="25" spans="1:21">
      <c r="A25" s="43"/>
      <c r="B25" s="43"/>
      <c r="C25" s="43"/>
      <c r="D25" s="43"/>
      <c r="E25" s="43"/>
      <c r="F25" s="43"/>
      <c r="G25" s="43"/>
      <c r="H25" s="43"/>
      <c r="I25" s="43"/>
      <c r="J25" s="43"/>
      <c r="K25" s="43"/>
      <c r="L25" s="43"/>
      <c r="M25" s="43"/>
      <c r="N25" s="43"/>
      <c r="O25" s="43"/>
      <c r="P25" s="43"/>
      <c r="Q25" s="43"/>
      <c r="R25" s="43"/>
      <c r="S25" s="43"/>
      <c r="T25" s="43"/>
      <c r="U25" s="43"/>
    </row>
    <row r="26" spans="1:21">
      <c r="A26" s="43"/>
      <c r="B26" s="43"/>
      <c r="C26" s="43"/>
      <c r="D26" s="43"/>
      <c r="E26" s="43"/>
      <c r="F26" s="43"/>
      <c r="G26" s="43"/>
      <c r="H26" s="43"/>
      <c r="I26" s="43"/>
      <c r="J26" s="43"/>
      <c r="K26" s="43"/>
      <c r="L26" s="43"/>
      <c r="M26" s="43"/>
      <c r="N26" s="43"/>
      <c r="O26" s="43"/>
      <c r="P26" s="43"/>
      <c r="Q26" s="43"/>
      <c r="R26" s="43"/>
      <c r="S26" s="43"/>
      <c r="T26" s="43"/>
      <c r="U26" s="43"/>
    </row>
    <row r="27" spans="1:21">
      <c r="A27" s="43"/>
      <c r="B27" s="43"/>
      <c r="C27" s="43"/>
      <c r="D27" s="43"/>
      <c r="E27" s="43"/>
      <c r="F27" s="43"/>
      <c r="G27" s="43"/>
      <c r="H27" s="43"/>
      <c r="I27" s="43"/>
      <c r="J27" s="43"/>
      <c r="K27" s="43"/>
      <c r="L27" s="43"/>
      <c r="M27" s="43"/>
      <c r="N27" s="43"/>
      <c r="O27" s="43"/>
      <c r="P27" s="43"/>
      <c r="Q27" s="43"/>
      <c r="R27" s="43"/>
      <c r="S27" s="43"/>
      <c r="T27" s="43"/>
      <c r="U27" s="43"/>
    </row>
    <row r="28" spans="1:21">
      <c r="A28" s="43"/>
      <c r="B28" s="43"/>
      <c r="C28" s="43"/>
      <c r="D28" s="43"/>
      <c r="E28" s="43"/>
      <c r="F28" s="43"/>
      <c r="G28" s="43"/>
      <c r="H28" s="43"/>
      <c r="I28" s="43"/>
      <c r="J28" s="43"/>
      <c r="K28" s="43"/>
      <c r="L28" s="43"/>
      <c r="M28" s="43"/>
      <c r="N28" s="43"/>
      <c r="O28" s="43"/>
      <c r="P28" s="43"/>
      <c r="Q28" s="43"/>
      <c r="R28" s="43"/>
      <c r="S28" s="43"/>
      <c r="T28" s="43"/>
      <c r="U28" s="43"/>
    </row>
    <row r="29" spans="1:21">
      <c r="A29" s="43"/>
      <c r="B29" s="43"/>
      <c r="C29" s="43"/>
      <c r="D29" s="43"/>
      <c r="E29" s="43"/>
      <c r="F29" s="43"/>
      <c r="G29" s="43"/>
      <c r="H29" s="43"/>
      <c r="I29" s="43"/>
      <c r="J29" s="43"/>
      <c r="K29" s="43"/>
      <c r="L29" s="43"/>
      <c r="M29" s="43"/>
      <c r="N29" s="43"/>
      <c r="O29" s="43"/>
      <c r="P29" s="43"/>
      <c r="Q29" s="43"/>
      <c r="R29" s="43"/>
      <c r="S29" s="43"/>
      <c r="T29" s="43"/>
      <c r="U29" s="43"/>
    </row>
    <row r="30" spans="1:21">
      <c r="A30" s="43"/>
      <c r="B30" s="43"/>
      <c r="C30" s="43"/>
      <c r="D30" s="43"/>
      <c r="E30" s="43"/>
      <c r="F30" s="43"/>
      <c r="G30" s="43"/>
      <c r="H30" s="43"/>
      <c r="I30" s="43"/>
      <c r="J30" s="43"/>
      <c r="K30" s="43"/>
      <c r="L30" s="43"/>
      <c r="M30" s="43"/>
      <c r="N30" s="43"/>
      <c r="O30" s="43"/>
      <c r="P30" s="43"/>
      <c r="Q30" s="43"/>
      <c r="R30" s="43"/>
      <c r="S30" s="43"/>
      <c r="T30" s="43"/>
      <c r="U30" s="43"/>
    </row>
    <row r="31" spans="1:21">
      <c r="A31" s="43"/>
      <c r="B31" s="43"/>
      <c r="C31" s="43"/>
      <c r="D31" s="43"/>
      <c r="E31" s="43"/>
      <c r="F31" s="43"/>
      <c r="G31" s="43"/>
      <c r="H31" s="43"/>
      <c r="I31" s="43"/>
      <c r="J31" s="43"/>
      <c r="K31" s="43"/>
      <c r="L31" s="43"/>
      <c r="M31" s="43"/>
      <c r="N31" s="43"/>
      <c r="O31" s="43"/>
      <c r="P31" s="43"/>
      <c r="Q31" s="43"/>
      <c r="R31" s="43"/>
      <c r="S31" s="43"/>
      <c r="T31" s="43"/>
      <c r="U31" s="43"/>
    </row>
    <row r="32" spans="1:21">
      <c r="A32" s="43"/>
      <c r="B32" s="43"/>
      <c r="C32" s="43"/>
      <c r="D32" s="43"/>
      <c r="E32" s="43"/>
      <c r="F32" s="43"/>
      <c r="G32" s="43"/>
      <c r="H32" s="43"/>
      <c r="I32" s="43"/>
      <c r="J32" s="43"/>
      <c r="K32" s="43"/>
      <c r="L32" s="43"/>
      <c r="M32" s="43"/>
      <c r="N32" s="43"/>
      <c r="O32" s="43"/>
      <c r="P32" s="43"/>
      <c r="Q32" s="43"/>
      <c r="R32" s="43"/>
      <c r="S32" s="43"/>
      <c r="T32" s="43"/>
      <c r="U32" s="43"/>
    </row>
    <row r="33" spans="1:21">
      <c r="A33" s="43"/>
      <c r="B33" s="43"/>
      <c r="C33" s="43"/>
      <c r="D33" s="43"/>
      <c r="E33" s="43"/>
      <c r="F33" s="43"/>
      <c r="G33" s="43"/>
      <c r="H33" s="43"/>
      <c r="I33" s="43"/>
      <c r="J33" s="43"/>
      <c r="K33" s="43"/>
      <c r="L33" s="43"/>
      <c r="M33" s="43"/>
      <c r="N33" s="43"/>
      <c r="O33" s="43"/>
      <c r="P33" s="43"/>
      <c r="Q33" s="43"/>
      <c r="R33" s="43"/>
      <c r="S33" s="43"/>
      <c r="T33" s="43"/>
      <c r="U33" s="43"/>
    </row>
    <row r="34" spans="1:21">
      <c r="A34" s="43"/>
      <c r="B34" s="43"/>
      <c r="C34" s="43"/>
      <c r="D34" s="43"/>
      <c r="E34" s="43"/>
      <c r="F34" s="43"/>
      <c r="G34" s="43"/>
      <c r="H34" s="43"/>
      <c r="I34" s="43"/>
      <c r="J34" s="43"/>
      <c r="K34" s="43"/>
      <c r="L34" s="43"/>
      <c r="M34" s="43"/>
      <c r="N34" s="43"/>
      <c r="O34" s="43"/>
      <c r="P34" s="43"/>
      <c r="Q34" s="43"/>
      <c r="R34" s="43"/>
      <c r="S34" s="43"/>
      <c r="T34" s="43"/>
      <c r="U34" s="43"/>
    </row>
    <row r="35" spans="1:21">
      <c r="A35" s="43"/>
      <c r="B35" s="43"/>
      <c r="C35" s="43"/>
      <c r="D35" s="43"/>
      <c r="E35" s="43"/>
      <c r="F35" s="43"/>
      <c r="G35" s="43"/>
      <c r="H35" s="43"/>
      <c r="I35" s="43"/>
      <c r="J35" s="43"/>
      <c r="K35" s="43"/>
      <c r="L35" s="43"/>
      <c r="M35" s="43"/>
      <c r="N35" s="43"/>
      <c r="O35" s="43"/>
      <c r="P35" s="43"/>
      <c r="Q35" s="43"/>
      <c r="R35" s="43"/>
      <c r="S35" s="43"/>
      <c r="T35" s="43"/>
      <c r="U35" s="43"/>
    </row>
    <row r="36" spans="1:21">
      <c r="A36" s="43"/>
      <c r="B36" s="43"/>
      <c r="C36" s="43"/>
      <c r="D36" s="43"/>
      <c r="E36" s="43"/>
      <c r="F36" s="43"/>
      <c r="G36" s="43"/>
      <c r="H36" s="43"/>
      <c r="I36" s="43"/>
      <c r="J36" s="43"/>
      <c r="K36" s="43"/>
      <c r="L36" s="43"/>
      <c r="M36" s="43"/>
      <c r="N36" s="43"/>
      <c r="O36" s="43"/>
      <c r="P36" s="43"/>
      <c r="Q36" s="43"/>
      <c r="R36" s="43"/>
      <c r="S36" s="43"/>
      <c r="T36" s="43"/>
      <c r="U36" s="43"/>
    </row>
    <row r="37" spans="1:21">
      <c r="A37" s="43"/>
      <c r="B37" s="43"/>
      <c r="C37" s="43"/>
      <c r="D37" s="43"/>
      <c r="E37" s="43"/>
      <c r="F37" s="43"/>
      <c r="G37" s="43"/>
      <c r="H37" s="43"/>
      <c r="I37" s="43"/>
      <c r="J37" s="43"/>
      <c r="K37" s="43"/>
      <c r="L37" s="43"/>
      <c r="M37" s="43"/>
      <c r="N37" s="43"/>
      <c r="O37" s="43"/>
      <c r="P37" s="43"/>
      <c r="Q37" s="43"/>
      <c r="R37" s="43"/>
      <c r="S37" s="43"/>
      <c r="T37" s="43"/>
      <c r="U37" s="43"/>
    </row>
    <row r="38" spans="1:21">
      <c r="A38" s="43"/>
      <c r="B38" s="43"/>
      <c r="C38" s="43"/>
      <c r="D38" s="43"/>
      <c r="E38" s="43"/>
      <c r="F38" s="43"/>
      <c r="G38" s="43"/>
      <c r="H38" s="43"/>
      <c r="I38" s="43"/>
      <c r="J38" s="43"/>
      <c r="K38" s="43"/>
      <c r="L38" s="43"/>
      <c r="M38" s="43"/>
      <c r="N38" s="43"/>
      <c r="O38" s="43"/>
      <c r="P38" s="43"/>
      <c r="Q38" s="43"/>
      <c r="R38" s="43"/>
      <c r="S38" s="43"/>
      <c r="T38" s="43"/>
      <c r="U38" s="43"/>
    </row>
    <row r="39" spans="1:21">
      <c r="A39" s="43"/>
      <c r="B39" s="43"/>
      <c r="C39" s="43"/>
      <c r="D39" s="43"/>
      <c r="E39" s="43"/>
      <c r="F39" s="43"/>
      <c r="G39" s="43"/>
      <c r="H39" s="43"/>
      <c r="I39" s="43"/>
      <c r="J39" s="43"/>
      <c r="K39" s="43"/>
      <c r="L39" s="43"/>
      <c r="M39" s="43"/>
      <c r="N39" s="43"/>
      <c r="O39" s="43"/>
      <c r="P39" s="43"/>
      <c r="Q39" s="43"/>
      <c r="R39" s="43"/>
      <c r="S39" s="43"/>
      <c r="T39" s="43"/>
      <c r="U39" s="43"/>
    </row>
    <row r="40" spans="1:21">
      <c r="A40" s="43"/>
      <c r="B40" s="43"/>
      <c r="C40" s="43"/>
      <c r="D40" s="43"/>
      <c r="E40" s="43"/>
      <c r="F40" s="43"/>
      <c r="G40" s="43"/>
      <c r="H40" s="43"/>
      <c r="I40" s="43"/>
      <c r="J40" s="43"/>
      <c r="K40" s="43"/>
      <c r="L40" s="43"/>
      <c r="M40" s="43"/>
      <c r="N40" s="43"/>
      <c r="O40" s="43"/>
      <c r="P40" s="43"/>
      <c r="Q40" s="43"/>
      <c r="R40" s="43"/>
      <c r="S40" s="43"/>
      <c r="T40" s="43"/>
      <c r="U40" s="43"/>
    </row>
    <row r="41" spans="1:21">
      <c r="A41" s="43"/>
      <c r="B41" s="43"/>
      <c r="C41" s="43"/>
      <c r="D41" s="43"/>
      <c r="E41" s="43"/>
      <c r="F41" s="43"/>
      <c r="G41" s="43"/>
      <c r="H41" s="43"/>
      <c r="I41" s="43"/>
      <c r="J41" s="43"/>
      <c r="K41" s="43"/>
      <c r="L41" s="43"/>
      <c r="M41" s="43"/>
      <c r="N41" s="43"/>
      <c r="O41" s="43"/>
      <c r="P41" s="43"/>
      <c r="Q41" s="43"/>
      <c r="R41" s="43"/>
      <c r="S41" s="43"/>
      <c r="T41" s="43"/>
      <c r="U41" s="43"/>
    </row>
    <row r="42" spans="1:21">
      <c r="A42" s="43"/>
      <c r="B42" s="43"/>
      <c r="C42" s="43"/>
      <c r="D42" s="43"/>
      <c r="E42" s="43"/>
      <c r="F42" s="43"/>
      <c r="G42" s="43"/>
      <c r="H42" s="43"/>
      <c r="I42" s="43"/>
      <c r="J42" s="43"/>
      <c r="K42" s="43"/>
      <c r="L42" s="43"/>
      <c r="M42" s="43"/>
      <c r="N42" s="43"/>
      <c r="O42" s="43"/>
      <c r="P42" s="43"/>
      <c r="Q42" s="43"/>
      <c r="R42" s="43"/>
      <c r="S42" s="43"/>
      <c r="T42" s="43"/>
      <c r="U42" s="43"/>
    </row>
    <row r="43" spans="1:21">
      <c r="A43" s="43"/>
      <c r="B43" s="43"/>
      <c r="C43" s="43"/>
      <c r="D43" s="43"/>
      <c r="E43" s="43"/>
      <c r="F43" s="43"/>
      <c r="G43" s="43"/>
      <c r="H43" s="43"/>
      <c r="I43" s="43"/>
      <c r="J43" s="43"/>
      <c r="K43" s="43"/>
      <c r="L43" s="43"/>
      <c r="M43" s="43"/>
      <c r="N43" s="43"/>
      <c r="O43" s="43"/>
      <c r="P43" s="43"/>
      <c r="Q43" s="43"/>
      <c r="R43" s="43"/>
      <c r="S43" s="43"/>
      <c r="T43" s="43"/>
      <c r="U43" s="43"/>
    </row>
    <row r="44" spans="1:21">
      <c r="A44" s="43"/>
      <c r="B44" s="43"/>
      <c r="C44" s="43"/>
      <c r="D44" s="43"/>
      <c r="E44" s="43"/>
      <c r="F44" s="43"/>
      <c r="G44" s="43"/>
      <c r="H44" s="43"/>
      <c r="I44" s="43"/>
      <c r="J44" s="43"/>
      <c r="K44" s="43"/>
      <c r="L44" s="43"/>
      <c r="M44" s="43"/>
      <c r="N44" s="43"/>
      <c r="O44" s="43"/>
      <c r="P44" s="43"/>
      <c r="Q44" s="43"/>
      <c r="R44" s="43"/>
      <c r="S44" s="43"/>
      <c r="T44" s="43"/>
      <c r="U44" s="43"/>
    </row>
    <row r="45" spans="1:21">
      <c r="A45" s="43"/>
      <c r="B45" s="43"/>
      <c r="C45" s="43"/>
      <c r="D45" s="43"/>
      <c r="E45" s="43"/>
      <c r="F45" s="43"/>
      <c r="G45" s="43"/>
      <c r="H45" s="43"/>
      <c r="I45" s="43"/>
      <c r="J45" s="43"/>
      <c r="K45" s="43"/>
      <c r="L45" s="43"/>
      <c r="M45" s="43"/>
      <c r="N45" s="43"/>
      <c r="O45" s="43"/>
      <c r="P45" s="43"/>
      <c r="Q45" s="43"/>
      <c r="R45" s="43"/>
      <c r="S45" s="43"/>
      <c r="T45" s="43"/>
      <c r="U45" s="43"/>
    </row>
    <row r="46" spans="1:21">
      <c r="A46" s="43"/>
      <c r="B46" s="43"/>
      <c r="C46" s="43"/>
      <c r="D46" s="43"/>
      <c r="E46" s="43"/>
      <c r="F46" s="43"/>
      <c r="G46" s="43"/>
      <c r="H46" s="43"/>
      <c r="I46" s="43"/>
      <c r="J46" s="43"/>
      <c r="K46" s="43"/>
      <c r="L46" s="43"/>
      <c r="M46" s="43"/>
      <c r="N46" s="43"/>
      <c r="O46" s="43"/>
      <c r="P46" s="43"/>
      <c r="Q46" s="43"/>
      <c r="R46" s="43"/>
      <c r="S46" s="43"/>
      <c r="T46" s="43"/>
      <c r="U46" s="43"/>
    </row>
    <row r="47" spans="1:21">
      <c r="A47" s="43"/>
      <c r="B47" s="43"/>
      <c r="C47" s="43"/>
      <c r="D47" s="43"/>
      <c r="E47" s="43"/>
      <c r="F47" s="43"/>
      <c r="G47" s="43"/>
      <c r="H47" s="43"/>
      <c r="I47" s="43"/>
      <c r="J47" s="43"/>
      <c r="K47" s="43"/>
      <c r="L47" s="43"/>
      <c r="M47" s="43"/>
      <c r="N47" s="43"/>
      <c r="O47" s="43"/>
      <c r="P47" s="43"/>
      <c r="Q47" s="43"/>
      <c r="R47" s="43"/>
      <c r="S47" s="43"/>
      <c r="T47" s="43"/>
      <c r="U47" s="43"/>
    </row>
    <row r="48" spans="1:21">
      <c r="A48" s="43"/>
      <c r="B48" s="43"/>
      <c r="C48" s="43"/>
      <c r="D48" s="43"/>
      <c r="E48" s="43"/>
      <c r="F48" s="43"/>
      <c r="G48" s="43"/>
      <c r="H48" s="43"/>
      <c r="I48" s="43"/>
      <c r="J48" s="43"/>
      <c r="K48" s="43"/>
      <c r="L48" s="43"/>
      <c r="M48" s="43"/>
      <c r="N48" s="43"/>
      <c r="O48" s="43"/>
      <c r="P48" s="43"/>
      <c r="Q48" s="43"/>
      <c r="R48" s="43"/>
      <c r="S48" s="43"/>
      <c r="T48" s="43"/>
      <c r="U48" s="43"/>
    </row>
  </sheetData>
  <sheetProtection algorithmName="SHA-512" hashValue="QHhnQSQvFf2Ex7beDp7c7wZ7n5CUXFUFZ2pOHq+33+fGehnPnmMpnVZ4sVc6LxeeBlA9vzcaWcXegRD36vlLDA==" saltValue="YHKy8+uvPvZXVfn9YNZZeQ==" spinCount="100000" sheet="1" objects="1" scenarios="1"/>
  <pageMargins left="0.7" right="0.7" top="0.869565217391304" bottom="0.75" header="0.3" footer="0.3"/>
  <pageSetup paperSize="8" orientation="landscape"/>
  <headerFooter>
    <oddHeader>&amp;C&amp;14Internal Audit/Safety Inspections Performances 2024
 - Tankers - Dry (Yearly Trend)</oddHead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view="pageLayout" zoomScale="115" zoomScaleNormal="100" topLeftCell="A50" workbookViewId="0">
      <selection activeCell="W17" sqref="W17"/>
    </sheetView>
  </sheetViews>
  <sheetFormatPr defaultColWidth="9" defaultRowHeight="15"/>
  <sheetData/>
  <sheetProtection algorithmName="SHA-512" hashValue="hOspdZykFV0GvJ89QxyGqWrgeIKGxVkV7VIo2fI6ooF8oe5/cfPsJiQ47pnDlqSnD8WUSkEt9G/q6Z2um2x38A==" saltValue="zLHjB/RFgK/9rhkwhX6azg==" spinCount="100000" sheet="1" objects="1" scenarios="1"/>
  <pageMargins left="0.7" right="0.7" top="0.75" bottom="0.75" header="0.3" footer="0.3"/>
  <pageSetup paperSize="8" orientation="landscape"/>
  <headerFooter>
    <oddHeader>&amp;C&amp;14Internal Audit Deficiencies 2024</oddHead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view="pageLayout" zoomScale="130" zoomScaleNormal="100" topLeftCell="A48" workbookViewId="0">
      <selection activeCell="H30" sqref="H30"/>
    </sheetView>
  </sheetViews>
  <sheetFormatPr defaultColWidth="9" defaultRowHeight="15"/>
  <sheetData/>
  <sheetProtection algorithmName="SHA-512" hashValue="A8Ue7dFudprcAeRNHUnrEK+hu5/WYfKk7L7FjStdtrjd10wlOi+hi7odGCE/wwDvWDYOlk+WuiRI/5bJr/Mx6g==" saltValue="OFggu4B/ZfqzZ1S3KICUBw==" spinCount="100000" sheet="1" objects="1" scenarios="1"/>
  <pageMargins left="0.7" right="0.7" top="0.75" bottom="0.75" header="0.3" footer="0.3"/>
  <pageSetup paperSize="8" orientation="landscape"/>
  <headerFooter>
    <oddHeader>&amp;C&amp;14Internal Audit Performances 2024 - Tankers - Dry (Yearly Trend)</oddHead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view="pageLayout" zoomScale="70" zoomScaleNormal="100" topLeftCell="A11" workbookViewId="0">
      <selection activeCell="H28" sqref="H28"/>
    </sheetView>
  </sheetViews>
  <sheetFormatPr defaultColWidth="8.57142857142857" defaultRowHeight="15"/>
  <sheetData/>
  <sheetProtection algorithmName="SHA-512" hashValue="MerNgVGUsvkO9mW2gm6LwPNmvrkuVbzCwIIDGjnv0tHEaAj4mfBMW5zBU4iLn2w2taVA+E/BurC7Dn2U/4N6ng==" saltValue="iV2Js/wMBK4xwTJvj5ybLQ==" spinCount="100000" sheet="1" objects="1" scenarios="1"/>
  <pageMargins left="0.7" right="0.7" top="0.75" bottom="0.75" header="0.3" footer="0.3"/>
  <pageSetup paperSize="8" orientation="landscape"/>
  <headerFooter>
    <oddHeader>&amp;C&amp;14Safety Inspections Performances 2024 - Tankers - Dry(Yearly Trend)</oddHead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view="pageLayout" zoomScale="130" zoomScaleNormal="100" workbookViewId="0">
      <selection activeCell="I11" sqref="I11"/>
    </sheetView>
  </sheetViews>
  <sheetFormatPr defaultColWidth="8.57142857142857" defaultRowHeight="15"/>
  <sheetData/>
  <sheetProtection algorithmName="SHA-512" hashValue="mS8ibzJQEFfkYPDge8j69kPf0KQin2+jcAL9wENSNa2eROUrVztkuzQs2GR7hsWKy+6iZtprg4lOAGxYFG0DpA==" saltValue="Su7tp+a+cr3D2YxXjxKrXw==" spinCount="100000" sheet="1" objects="1" scenarios="1"/>
  <pageMargins left="0.7" right="0.7" top="0.75" bottom="0.75" header="0.3" footer="0.3"/>
  <pageSetup paperSize="8" orientation="landscape"/>
  <headerFooter>
    <oddHeader>&amp;C&amp;14Safety Inspections Deficiencies 2024
</oddHead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R27"/>
  <sheetViews>
    <sheetView workbookViewId="0">
      <selection activeCell="T11" sqref="T11"/>
    </sheetView>
  </sheetViews>
  <sheetFormatPr defaultColWidth="9" defaultRowHeight="15"/>
  <sheetData>
    <row r="3" spans="2:18">
      <c r="B3" s="43"/>
      <c r="C3" s="43"/>
      <c r="D3" s="43"/>
      <c r="E3" s="43"/>
      <c r="F3" s="43"/>
      <c r="G3" s="43"/>
      <c r="H3" s="43"/>
      <c r="I3" s="43"/>
      <c r="J3" s="43"/>
      <c r="K3" s="43"/>
      <c r="L3" s="43"/>
      <c r="M3" s="43"/>
      <c r="N3" s="43"/>
      <c r="O3" s="43"/>
      <c r="P3" s="43"/>
      <c r="Q3" s="43"/>
      <c r="R3" s="43"/>
    </row>
    <row r="4" spans="2:18">
      <c r="B4" s="43"/>
      <c r="C4" s="43"/>
      <c r="D4" s="43"/>
      <c r="E4" s="43"/>
      <c r="F4" s="43"/>
      <c r="G4" s="43"/>
      <c r="H4" s="43"/>
      <c r="I4" s="43"/>
      <c r="J4" s="43"/>
      <c r="K4" s="43"/>
      <c r="L4" s="43"/>
      <c r="M4" s="43"/>
      <c r="N4" s="43"/>
      <c r="O4" s="43"/>
      <c r="P4" s="43"/>
      <c r="Q4" s="43"/>
      <c r="R4" s="43"/>
    </row>
    <row r="5" spans="2:18">
      <c r="B5" s="43"/>
      <c r="C5" s="43"/>
      <c r="D5" s="43"/>
      <c r="E5" s="43"/>
      <c r="F5" s="43"/>
      <c r="G5" s="43"/>
      <c r="H5" s="43"/>
      <c r="I5" s="43"/>
      <c r="J5" s="43"/>
      <c r="K5" s="43"/>
      <c r="L5" s="43"/>
      <c r="M5" s="43"/>
      <c r="N5" s="43"/>
      <c r="O5" s="43"/>
      <c r="P5" s="43"/>
      <c r="Q5" s="43"/>
      <c r="R5" s="43"/>
    </row>
    <row r="6" spans="2:18">
      <c r="B6" s="43"/>
      <c r="C6" s="43"/>
      <c r="D6" s="43"/>
      <c r="E6" s="43"/>
      <c r="F6" s="43"/>
      <c r="G6" s="43"/>
      <c r="H6" s="43"/>
      <c r="I6" s="43"/>
      <c r="J6" s="43"/>
      <c r="K6" s="43"/>
      <c r="L6" s="43"/>
      <c r="M6" s="43"/>
      <c r="N6" s="43"/>
      <c r="O6" s="43"/>
      <c r="P6" s="43"/>
      <c r="Q6" s="43"/>
      <c r="R6" s="43"/>
    </row>
    <row r="7" spans="2:18">
      <c r="B7" s="43"/>
      <c r="C7" s="43"/>
      <c r="D7" s="43"/>
      <c r="E7" s="43"/>
      <c r="F7" s="43"/>
      <c r="G7" s="43"/>
      <c r="H7" s="43"/>
      <c r="I7" s="43"/>
      <c r="J7" s="43"/>
      <c r="K7" s="43"/>
      <c r="L7" s="43"/>
      <c r="M7" s="43"/>
      <c r="N7" s="43"/>
      <c r="O7" s="43"/>
      <c r="P7" s="43"/>
      <c r="Q7" s="43"/>
      <c r="R7" s="43"/>
    </row>
    <row r="8" spans="2:18">
      <c r="B8" s="43"/>
      <c r="C8" s="43"/>
      <c r="D8" s="43"/>
      <c r="E8" s="43"/>
      <c r="F8" s="43"/>
      <c r="G8" s="43"/>
      <c r="H8" s="43"/>
      <c r="I8" s="43"/>
      <c r="J8" s="43"/>
      <c r="K8" s="43"/>
      <c r="L8" s="43"/>
      <c r="M8" s="43"/>
      <c r="N8" s="43"/>
      <c r="O8" s="43"/>
      <c r="P8" s="43"/>
      <c r="Q8" s="43"/>
      <c r="R8" s="43"/>
    </row>
    <row r="9" spans="2:18">
      <c r="B9" s="43"/>
      <c r="C9" s="43"/>
      <c r="D9" s="43"/>
      <c r="E9" s="43"/>
      <c r="F9" s="43"/>
      <c r="G9" s="43"/>
      <c r="H9" s="43"/>
      <c r="I9" s="43"/>
      <c r="J9" s="43"/>
      <c r="K9" s="43"/>
      <c r="L9" s="43"/>
      <c r="M9" s="43"/>
      <c r="N9" s="43"/>
      <c r="O9" s="43"/>
      <c r="P9" s="43"/>
      <c r="Q9" s="43"/>
      <c r="R9" s="43"/>
    </row>
    <row r="10" spans="2:18">
      <c r="B10" s="43"/>
      <c r="C10" s="43"/>
      <c r="D10" s="43"/>
      <c r="E10" s="43"/>
      <c r="F10" s="43"/>
      <c r="G10" s="43"/>
      <c r="H10" s="43"/>
      <c r="I10" s="43"/>
      <c r="J10" s="43"/>
      <c r="K10" s="43"/>
      <c r="L10" s="43"/>
      <c r="M10" s="43"/>
      <c r="N10" s="43"/>
      <c r="O10" s="43"/>
      <c r="P10" s="43"/>
      <c r="Q10" s="43"/>
      <c r="R10" s="43"/>
    </row>
    <row r="11" spans="2:18">
      <c r="B11" s="43"/>
      <c r="C11" s="43"/>
      <c r="D11" s="43"/>
      <c r="E11" s="43"/>
      <c r="F11" s="43"/>
      <c r="G11" s="43"/>
      <c r="H11" s="43"/>
      <c r="I11" s="43"/>
      <c r="J11" s="43"/>
      <c r="K11" s="43"/>
      <c r="L11" s="43"/>
      <c r="M11" s="43"/>
      <c r="N11" s="43"/>
      <c r="O11" s="43"/>
      <c r="P11" s="43"/>
      <c r="Q11" s="43"/>
      <c r="R11" s="43"/>
    </row>
    <row r="12" spans="2:18">
      <c r="B12" s="43"/>
      <c r="C12" s="43"/>
      <c r="D12" s="43"/>
      <c r="E12" s="43"/>
      <c r="F12" s="43"/>
      <c r="G12" s="43"/>
      <c r="H12" s="43"/>
      <c r="I12" s="43"/>
      <c r="J12" s="43"/>
      <c r="K12" s="43"/>
      <c r="L12" s="43"/>
      <c r="M12" s="43"/>
      <c r="N12" s="43"/>
      <c r="O12" s="43"/>
      <c r="P12" s="43"/>
      <c r="Q12" s="43"/>
      <c r="R12" s="43"/>
    </row>
    <row r="13" spans="2:18">
      <c r="B13" s="43"/>
      <c r="C13" s="43"/>
      <c r="D13" s="43"/>
      <c r="E13" s="43"/>
      <c r="F13" s="43"/>
      <c r="G13" s="43"/>
      <c r="H13" s="43"/>
      <c r="I13" s="43"/>
      <c r="J13" s="43"/>
      <c r="K13" s="43"/>
      <c r="L13" s="43"/>
      <c r="M13" s="43"/>
      <c r="N13" s="43"/>
      <c r="O13" s="43"/>
      <c r="P13" s="43"/>
      <c r="Q13" s="43"/>
      <c r="R13" s="43"/>
    </row>
    <row r="14" spans="2:18">
      <c r="B14" s="43"/>
      <c r="C14" s="43"/>
      <c r="D14" s="43"/>
      <c r="E14" s="43"/>
      <c r="F14" s="43"/>
      <c r="G14" s="43"/>
      <c r="H14" s="43"/>
      <c r="I14" s="43"/>
      <c r="J14" s="43"/>
      <c r="K14" s="43"/>
      <c r="L14" s="43"/>
      <c r="M14" s="43"/>
      <c r="N14" s="43"/>
      <c r="O14" s="43"/>
      <c r="P14" s="43"/>
      <c r="Q14" s="43"/>
      <c r="R14" s="43"/>
    </row>
    <row r="15" spans="2:18">
      <c r="B15" s="43"/>
      <c r="C15" s="43"/>
      <c r="D15" s="43"/>
      <c r="E15" s="43"/>
      <c r="F15" s="43"/>
      <c r="G15" s="43"/>
      <c r="H15" s="43"/>
      <c r="I15" s="43"/>
      <c r="J15" s="43"/>
      <c r="K15" s="43"/>
      <c r="L15" s="43"/>
      <c r="M15" s="43"/>
      <c r="N15" s="43"/>
      <c r="O15" s="43"/>
      <c r="P15" s="43"/>
      <c r="Q15" s="43"/>
      <c r="R15" s="43"/>
    </row>
    <row r="16" spans="2:18">
      <c r="B16" s="43"/>
      <c r="C16" s="43"/>
      <c r="D16" s="43"/>
      <c r="E16" s="43"/>
      <c r="F16" s="43"/>
      <c r="G16" s="43"/>
      <c r="H16" s="43"/>
      <c r="I16" s="43"/>
      <c r="J16" s="43"/>
      <c r="K16" s="43"/>
      <c r="L16" s="43"/>
      <c r="M16" s="43"/>
      <c r="N16" s="43"/>
      <c r="O16" s="43"/>
      <c r="P16" s="43"/>
      <c r="Q16" s="43"/>
      <c r="R16" s="43"/>
    </row>
    <row r="17" spans="2:18">
      <c r="B17" s="43"/>
      <c r="C17" s="43"/>
      <c r="D17" s="43"/>
      <c r="E17" s="43"/>
      <c r="F17" s="43"/>
      <c r="G17" s="43"/>
      <c r="H17" s="43"/>
      <c r="I17" s="43"/>
      <c r="J17" s="43"/>
      <c r="K17" s="43"/>
      <c r="L17" s="43"/>
      <c r="M17" s="43"/>
      <c r="N17" s="43"/>
      <c r="O17" s="43"/>
      <c r="P17" s="43"/>
      <c r="Q17" s="43"/>
      <c r="R17" s="43"/>
    </row>
    <row r="18" spans="2:18">
      <c r="B18" s="43"/>
      <c r="C18" s="43"/>
      <c r="D18" s="43"/>
      <c r="E18" s="43"/>
      <c r="F18" s="43"/>
      <c r="G18" s="43"/>
      <c r="H18" s="43"/>
      <c r="I18" s="43"/>
      <c r="J18" s="43"/>
      <c r="K18" s="43"/>
      <c r="L18" s="43"/>
      <c r="M18" s="43"/>
      <c r="N18" s="43"/>
      <c r="O18" s="43"/>
      <c r="P18" s="43"/>
      <c r="Q18" s="43"/>
      <c r="R18" s="43"/>
    </row>
    <row r="19" spans="2:18">
      <c r="B19" s="43"/>
      <c r="C19" s="43"/>
      <c r="D19" s="43"/>
      <c r="E19" s="43"/>
      <c r="F19" s="43"/>
      <c r="G19" s="43"/>
      <c r="H19" s="43"/>
      <c r="I19" s="43"/>
      <c r="J19" s="43"/>
      <c r="K19" s="43"/>
      <c r="L19" s="43"/>
      <c r="M19" s="43"/>
      <c r="N19" s="43"/>
      <c r="O19" s="43"/>
      <c r="P19" s="43"/>
      <c r="Q19" s="43"/>
      <c r="R19" s="43"/>
    </row>
    <row r="20" spans="2:18">
      <c r="B20" s="43"/>
      <c r="C20" s="43"/>
      <c r="D20" s="43"/>
      <c r="E20" s="43"/>
      <c r="F20" s="43"/>
      <c r="G20" s="43"/>
      <c r="H20" s="43"/>
      <c r="I20" s="43"/>
      <c r="J20" s="43"/>
      <c r="K20" s="43"/>
      <c r="L20" s="43"/>
      <c r="M20" s="43"/>
      <c r="N20" s="43"/>
      <c r="O20" s="43"/>
      <c r="P20" s="43"/>
      <c r="Q20" s="43"/>
      <c r="R20" s="43"/>
    </row>
    <row r="21" spans="2:18">
      <c r="B21" s="43"/>
      <c r="C21" s="43"/>
      <c r="D21" s="43"/>
      <c r="E21" s="43"/>
      <c r="F21" s="43"/>
      <c r="G21" s="43"/>
      <c r="H21" s="43"/>
      <c r="I21" s="43"/>
      <c r="J21" s="43"/>
      <c r="K21" s="43"/>
      <c r="L21" s="43"/>
      <c r="M21" s="43"/>
      <c r="N21" s="43"/>
      <c r="O21" s="43"/>
      <c r="P21" s="43"/>
      <c r="Q21" s="43"/>
      <c r="R21" s="43"/>
    </row>
    <row r="22" spans="2:18">
      <c r="B22" s="43"/>
      <c r="C22" s="43"/>
      <c r="D22" s="43"/>
      <c r="E22" s="43"/>
      <c r="F22" s="43"/>
      <c r="G22" s="43"/>
      <c r="H22" s="43"/>
      <c r="I22" s="43"/>
      <c r="J22" s="43"/>
      <c r="K22" s="43"/>
      <c r="L22" s="43"/>
      <c r="M22" s="43"/>
      <c r="N22" s="43"/>
      <c r="O22" s="43"/>
      <c r="P22" s="43"/>
      <c r="Q22" s="43"/>
      <c r="R22" s="43"/>
    </row>
    <row r="23" spans="2:18">
      <c r="B23" s="43"/>
      <c r="C23" s="43"/>
      <c r="D23" s="43"/>
      <c r="E23" s="43"/>
      <c r="F23" s="43"/>
      <c r="G23" s="43"/>
      <c r="H23" s="43"/>
      <c r="I23" s="43"/>
      <c r="J23" s="43"/>
      <c r="K23" s="43"/>
      <c r="L23" s="43"/>
      <c r="M23" s="43"/>
      <c r="N23" s="43"/>
      <c r="O23" s="43"/>
      <c r="P23" s="43"/>
      <c r="Q23" s="43"/>
      <c r="R23" s="43"/>
    </row>
    <row r="24" spans="2:18">
      <c r="B24" s="43"/>
      <c r="C24" s="43"/>
      <c r="D24" s="43"/>
      <c r="E24" s="43"/>
      <c r="F24" s="43"/>
      <c r="G24" s="43"/>
      <c r="H24" s="43"/>
      <c r="I24" s="43"/>
      <c r="J24" s="43"/>
      <c r="K24" s="43"/>
      <c r="L24" s="43"/>
      <c r="M24" s="43"/>
      <c r="N24" s="43"/>
      <c r="O24" s="43"/>
      <c r="P24" s="43"/>
      <c r="Q24" s="43"/>
      <c r="R24" s="43"/>
    </row>
    <row r="25" spans="2:18">
      <c r="B25" s="43"/>
      <c r="C25" s="43"/>
      <c r="D25" s="43"/>
      <c r="E25" s="43"/>
      <c r="F25" s="43"/>
      <c r="G25" s="43"/>
      <c r="H25" s="43"/>
      <c r="I25" s="43"/>
      <c r="J25" s="43"/>
      <c r="K25" s="43"/>
      <c r="L25" s="43"/>
      <c r="M25" s="43"/>
      <c r="N25" s="43"/>
      <c r="O25" s="43"/>
      <c r="P25" s="43"/>
      <c r="Q25" s="43"/>
      <c r="R25" s="43"/>
    </row>
    <row r="26" spans="2:18">
      <c r="B26" s="43"/>
      <c r="C26" s="43"/>
      <c r="D26" s="43"/>
      <c r="E26" s="43"/>
      <c r="F26" s="43"/>
      <c r="G26" s="43"/>
      <c r="H26" s="43"/>
      <c r="I26" s="43"/>
      <c r="J26" s="43"/>
      <c r="K26" s="43"/>
      <c r="L26" s="43"/>
      <c r="M26" s="43"/>
      <c r="N26" s="43"/>
      <c r="O26" s="43"/>
      <c r="P26" s="43"/>
      <c r="Q26" s="43"/>
      <c r="R26" s="43"/>
    </row>
    <row r="27" spans="2:18">
      <c r="B27" s="43"/>
      <c r="C27" s="43"/>
      <c r="D27" s="43"/>
      <c r="E27" s="43"/>
      <c r="F27" s="43"/>
      <c r="G27" s="43"/>
      <c r="H27" s="43"/>
      <c r="I27" s="43"/>
      <c r="J27" s="43"/>
      <c r="K27" s="43"/>
      <c r="L27" s="43"/>
      <c r="M27" s="43"/>
      <c r="N27" s="43"/>
      <c r="O27" s="43"/>
      <c r="P27" s="43"/>
      <c r="Q27" s="43"/>
      <c r="R27" s="43"/>
    </row>
  </sheetData>
  <sheetProtection algorithmName="SHA-512" hashValue="Mt3VZy76bljgvaEo5ERDt+CFl7j3iyOmQ5DXiqctl7JEN+fLMm/zrObC0H87SvqwE8DB4dyTeubN+UCbNPME9Q==" saltValue="/luQa1aW5fYGLmrqRD/mSw==" spinCount="100000" sheet="1" objects="1" scenarios="1"/>
  <pageMargins left="0.7" right="0.7" top="0.75" bottom="0.75" header="0.3" footer="0.3"/>
  <pageSetup paperSize="9" orientation="landscape" verticalDpi="90"/>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3"/>
  <sheetViews>
    <sheetView zoomScale="90" zoomScaleNormal="90" workbookViewId="0">
      <selection activeCell="W37" sqref="W37"/>
    </sheetView>
  </sheetViews>
  <sheetFormatPr defaultColWidth="9.42857142857143" defaultRowHeight="15"/>
  <cols>
    <col min="1" max="1" width="18.4285714285714" customWidth="1"/>
    <col min="2" max="2" width="8" customWidth="1"/>
    <col min="3" max="3" width="9.42857142857143" customWidth="1"/>
    <col min="4" max="4" width="12.5714285714286" customWidth="1"/>
    <col min="5" max="5" width="9.42857142857143" customWidth="1"/>
    <col min="6" max="6" width="10.4285714285714" customWidth="1"/>
    <col min="7" max="7" width="14.4285714285714" customWidth="1"/>
    <col min="8" max="9" width="8.57142857142857" customWidth="1"/>
    <col min="10" max="10" width="13.5714285714286" customWidth="1"/>
    <col min="11" max="11" width="9.42857142857143" customWidth="1"/>
    <col min="12" max="12" width="10.4285714285714" customWidth="1"/>
    <col min="13" max="13" width="13.4285714285714" customWidth="1"/>
    <col min="14" max="15" width="10.4285714285714" customWidth="1"/>
    <col min="16" max="16" width="16" customWidth="1"/>
    <col min="17" max="17" width="9.57142857142857" customWidth="1"/>
    <col min="18" max="18" width="10.4285714285714" customWidth="1"/>
    <col min="19" max="19" width="14.4285714285714" customWidth="1"/>
    <col min="20" max="20" width="9.57142857142857" customWidth="1"/>
    <col min="21" max="21" width="11.4285714285714" customWidth="1"/>
    <col min="22" max="22" width="12.4285714285714" customWidth="1"/>
  </cols>
  <sheetData>
    <row r="1" spans="1:22">
      <c r="A1" s="1">
        <f ca="1">TODAY()</f>
        <v>45805</v>
      </c>
      <c r="B1" s="2" t="s">
        <v>212</v>
      </c>
      <c r="C1" s="2"/>
      <c r="D1" s="2"/>
      <c r="E1" s="3" t="s">
        <v>223</v>
      </c>
      <c r="F1" s="3"/>
      <c r="G1" s="3"/>
      <c r="H1" s="4" t="s">
        <v>383</v>
      </c>
      <c r="I1" s="4"/>
      <c r="J1" s="4"/>
      <c r="K1" s="21" t="s">
        <v>214</v>
      </c>
      <c r="L1" s="21"/>
      <c r="M1" s="21"/>
      <c r="N1" s="22" t="s">
        <v>384</v>
      </c>
      <c r="O1" s="22"/>
      <c r="P1" s="22"/>
      <c r="Q1" s="33" t="s">
        <v>216</v>
      </c>
      <c r="R1" s="33"/>
      <c r="S1" s="33"/>
      <c r="T1" s="34" t="s">
        <v>217</v>
      </c>
      <c r="U1" s="34"/>
      <c r="V1" s="34"/>
    </row>
    <row r="2" ht="27" customHeight="1" spans="1:22">
      <c r="A2" s="5"/>
      <c r="B2" s="6" t="s">
        <v>385</v>
      </c>
      <c r="C2" s="7" t="s">
        <v>386</v>
      </c>
      <c r="D2" s="8" t="s">
        <v>387</v>
      </c>
      <c r="E2" s="9" t="s">
        <v>388</v>
      </c>
      <c r="F2" s="9" t="s">
        <v>389</v>
      </c>
      <c r="G2" s="10" t="s">
        <v>390</v>
      </c>
      <c r="H2" s="11" t="s">
        <v>391</v>
      </c>
      <c r="I2" s="11" t="s">
        <v>392</v>
      </c>
      <c r="J2" s="23" t="s">
        <v>393</v>
      </c>
      <c r="K2" s="24" t="s">
        <v>394</v>
      </c>
      <c r="L2" s="24" t="s">
        <v>395</v>
      </c>
      <c r="M2" s="25" t="s">
        <v>396</v>
      </c>
      <c r="N2" s="26" t="s">
        <v>397</v>
      </c>
      <c r="O2" s="26" t="s">
        <v>398</v>
      </c>
      <c r="P2" s="27" t="s">
        <v>399</v>
      </c>
      <c r="Q2" s="35" t="s">
        <v>400</v>
      </c>
      <c r="R2" s="35" t="s">
        <v>401</v>
      </c>
      <c r="S2" s="36" t="s">
        <v>402</v>
      </c>
      <c r="T2" s="37" t="s">
        <v>403</v>
      </c>
      <c r="U2" s="37" t="s">
        <v>404</v>
      </c>
      <c r="V2" s="38" t="s">
        <v>405</v>
      </c>
    </row>
    <row r="3" spans="1:22">
      <c r="A3" s="12" t="s">
        <v>28</v>
      </c>
      <c r="B3" s="13">
        <f>COUNTIFS('Tanker Data'!D3:D122,"*",'Tanker Data'!B3:B122,A3)</f>
        <v>0</v>
      </c>
      <c r="C3" s="14">
        <f>SUMIF('Tanker Data'!B3:B122,A3,'Tanker Data'!F3:F122)</f>
        <v>0</v>
      </c>
      <c r="D3" s="15" t="e">
        <f t="shared" ref="D3:D13" si="0">C3/B3</f>
        <v>#DIV/0!</v>
      </c>
      <c r="E3" s="16">
        <f>COUNTIFS('Tanker Data'!I3:I122,"*",'Tanker Data'!B3:B122,A3)</f>
        <v>0</v>
      </c>
      <c r="F3" s="16">
        <f>SUMIF('Tanker Data'!B3:B122,A3,'Tanker Data'!K3:K122)</f>
        <v>0</v>
      </c>
      <c r="G3" s="17" t="e">
        <f t="shared" ref="G3:G13" si="1">F3/E3</f>
        <v>#DIV/0!</v>
      </c>
      <c r="H3" s="18">
        <f>COUNTIFS('Tanker Data'!N3:N122,"*",'Tanker Data'!B3:B122,A3)</f>
        <v>0</v>
      </c>
      <c r="I3" s="18">
        <f>SUMIF('Tanker Data'!B3:B122,A3,'Tanker Data'!P3:P122)</f>
        <v>0</v>
      </c>
      <c r="J3" s="28" t="e">
        <f t="shared" ref="J3:J13" si="2">I3/H3</f>
        <v>#DIV/0!</v>
      </c>
      <c r="K3" s="29">
        <f>COUNTIFS('Tanker Data'!S3:S122,"*",'Tanker Data'!B3:B122,A3)</f>
        <v>0</v>
      </c>
      <c r="L3" s="29">
        <f>SUMIF('Tanker Data'!B3:B122,A3,'Tanker Data'!U3:U122)</f>
        <v>0</v>
      </c>
      <c r="M3" s="30" t="e">
        <f t="shared" ref="M3:M13" si="3">L3/K3</f>
        <v>#DIV/0!</v>
      </c>
      <c r="N3" s="31">
        <f>COUNTIFS('Tanker Data'!X3:X122,"*",'Tanker Data'!B3:B122,A3)</f>
        <v>0</v>
      </c>
      <c r="O3" s="31">
        <f>SUMIF('Tanker Data'!B3:B122,A3,'Tanker Data'!Z3:Z122)</f>
        <v>0</v>
      </c>
      <c r="P3" s="32" t="e">
        <f>O3/N3</f>
        <v>#DIV/0!</v>
      </c>
      <c r="Q3" s="39">
        <f>COUNTIFS('Tanker Data'!AC3:AC122,"*",'Tanker Data'!B3:B122,A3)</f>
        <v>0</v>
      </c>
      <c r="R3" s="39">
        <f>SUMIF('Tanker Data'!B3:B122,A3,'Tanker Data'!AE3:AE122)</f>
        <v>0</v>
      </c>
      <c r="S3" s="40" t="e">
        <f t="shared" ref="S3:S13" si="4">R3/Q3</f>
        <v>#DIV/0!</v>
      </c>
      <c r="T3" s="41">
        <f>COUNTIFS('Tanker Data'!AH3:AH122,"*",'Tanker Data'!B3:B122,A3)</f>
        <v>0</v>
      </c>
      <c r="U3" s="41">
        <f>SUMIF('Tanker Data'!B3:B122,A3,'Tanker Data'!AJ3:AJ122)</f>
        <v>0</v>
      </c>
      <c r="V3" s="42" t="e">
        <f t="shared" ref="V3:V13" si="5">U3/T3</f>
        <v>#DIV/0!</v>
      </c>
    </row>
    <row r="4" spans="1:22">
      <c r="A4" s="12" t="s">
        <v>29</v>
      </c>
      <c r="B4" s="13">
        <f>COUNTIFS('Tanker Data'!D3:D122,"*",'Tanker Data'!B3:B122,A4)</f>
        <v>0</v>
      </c>
      <c r="C4" s="14">
        <f>SUMIF('Tanker Data'!B3:B122,A4,'Tanker Data'!F3:F122)</f>
        <v>0</v>
      </c>
      <c r="D4" s="15" t="e">
        <f t="shared" si="0"/>
        <v>#DIV/0!</v>
      </c>
      <c r="E4" s="16">
        <f>COUNTIFS('Tanker Data'!I3:I122,"*",'Tanker Data'!B3:B122,A4)</f>
        <v>0</v>
      </c>
      <c r="F4" s="16">
        <f>SUMIF('Tanker Data'!B3:B122,A4,'Tanker Data'!K3:K122)</f>
        <v>0</v>
      </c>
      <c r="G4" s="17" t="e">
        <f t="shared" si="1"/>
        <v>#DIV/0!</v>
      </c>
      <c r="H4" s="18">
        <f>COUNTIFS('Tanker Data'!N3:N122,"*",'Tanker Data'!B3:B122,A4)</f>
        <v>0</v>
      </c>
      <c r="I4" s="18">
        <f>SUMIF('Tanker Data'!B3:B122,A4,'Tanker Data'!P3:P122)</f>
        <v>0</v>
      </c>
      <c r="J4" s="28" t="e">
        <f t="shared" si="2"/>
        <v>#DIV/0!</v>
      </c>
      <c r="K4" s="29">
        <f>COUNTIFS('Tanker Data'!S3:S122,"*",'Tanker Data'!B3:B122,A4)</f>
        <v>0</v>
      </c>
      <c r="L4" s="29">
        <f>SUMIF('Tanker Data'!B3:B122,A4,'Tanker Data'!U3:U122)</f>
        <v>0</v>
      </c>
      <c r="M4" s="30" t="e">
        <f t="shared" si="3"/>
        <v>#DIV/0!</v>
      </c>
      <c r="N4" s="31">
        <f>COUNTIFS('Tanker Data'!X3:X122,"*",'Tanker Data'!B3:B122,A4)</f>
        <v>0</v>
      </c>
      <c r="O4" s="31">
        <f>SUMIF('Tanker Data'!B3:B122,A4,'Tanker Data'!Z3:Z122)</f>
        <v>0</v>
      </c>
      <c r="P4" s="32" t="e">
        <f t="shared" ref="P4:P13" si="6">O4/N4</f>
        <v>#DIV/0!</v>
      </c>
      <c r="Q4" s="39">
        <f>COUNTIFS('Tanker Data'!AC3:AC122,"*",'Tanker Data'!B3:B122,A4)</f>
        <v>0</v>
      </c>
      <c r="R4" s="39">
        <f>SUMIF('Tanker Data'!B3:B122,A4,'Tanker Data'!AE3:AE122)</f>
        <v>0</v>
      </c>
      <c r="S4" s="40" t="e">
        <f t="shared" si="4"/>
        <v>#DIV/0!</v>
      </c>
      <c r="T4" s="41">
        <f>COUNTIFS('Tanker Data'!AH3:AH122,"*",'Tanker Data'!B3:B122,A4)</f>
        <v>0</v>
      </c>
      <c r="U4" s="41">
        <f>SUMIF('Tanker Data'!B3:B122,A4,'Tanker Data'!AJ3:AJ122)</f>
        <v>0</v>
      </c>
      <c r="V4" s="42" t="e">
        <f t="shared" si="5"/>
        <v>#DIV/0!</v>
      </c>
    </row>
    <row r="5" spans="1:22">
      <c r="A5" s="12" t="s">
        <v>23</v>
      </c>
      <c r="B5" s="13">
        <f>COUNTIFS('Tanker Data'!D3:D122,"*",'Tanker Data'!B3:B122,A5)</f>
        <v>1</v>
      </c>
      <c r="C5" s="14">
        <f>SUMIF('Tanker Data'!B3:B122,A5,'Tanker Data'!F3:F122)</f>
        <v>9</v>
      </c>
      <c r="D5" s="15">
        <f t="shared" si="0"/>
        <v>9</v>
      </c>
      <c r="E5" s="16">
        <f>COUNTIFS('Tanker Data'!I3:I122,"*",'Tanker Data'!B3:B122,A5)</f>
        <v>1</v>
      </c>
      <c r="F5" s="16">
        <f>SUMIF('Tanker Data'!B3:B122,A5,'Tanker Data'!K3:K122)</f>
        <v>10</v>
      </c>
      <c r="G5" s="17">
        <f t="shared" si="1"/>
        <v>10</v>
      </c>
      <c r="H5" s="18">
        <f>COUNTIFS('Tanker Data'!N3:N122,"*",'Tanker Data'!B3:B122,A5)</f>
        <v>0</v>
      </c>
      <c r="I5" s="18">
        <f>SUMIF('Tanker Data'!B3:B122,A5,'Tanker Data'!P3:P122)</f>
        <v>4</v>
      </c>
      <c r="J5" s="28" t="e">
        <f t="shared" si="2"/>
        <v>#DIV/0!</v>
      </c>
      <c r="K5" s="29">
        <f>COUNTIFS('Tanker Data'!S3:S122,"*",'Tanker Data'!B3:B122,A5)</f>
        <v>0</v>
      </c>
      <c r="L5" s="29">
        <f>SUMIF('Tanker Data'!B3:B122,A5,'Tanker Data'!U3:U122)</f>
        <v>0</v>
      </c>
      <c r="M5" s="30" t="e">
        <f t="shared" si="3"/>
        <v>#DIV/0!</v>
      </c>
      <c r="N5" s="31">
        <f>COUNTIFS('Tanker Data'!X3:X122,"*",'Tanker Data'!B3:B122,A5)</f>
        <v>0</v>
      </c>
      <c r="O5" s="31">
        <f>SUMIF('Tanker Data'!B3:B122,A5,'Tanker Data'!Z3:Z122)</f>
        <v>0</v>
      </c>
      <c r="P5" s="32" t="e">
        <f t="shared" si="6"/>
        <v>#DIV/0!</v>
      </c>
      <c r="Q5" s="39">
        <f>COUNTIFS('Tanker Data'!AC3:AC122,"*",'Tanker Data'!B3:B122,A5)</f>
        <v>1</v>
      </c>
      <c r="R5" s="39">
        <f>SUMIF('Tanker Data'!B3:B122,A5,'Tanker Data'!AE3:AE122)</f>
        <v>0</v>
      </c>
      <c r="S5" s="40">
        <f t="shared" si="4"/>
        <v>0</v>
      </c>
      <c r="T5" s="41">
        <f>COUNTIFS('Tanker Data'!AH3:AH122,"*",'Tanker Data'!B3:B122,A5)</f>
        <v>0</v>
      </c>
      <c r="U5" s="41">
        <f>SUMIF('Tanker Data'!B3:B122,A5,'Tanker Data'!AJ3:AJ122)</f>
        <v>0</v>
      </c>
      <c r="V5" s="42" t="e">
        <f t="shared" si="5"/>
        <v>#DIV/0!</v>
      </c>
    </row>
    <row r="6" spans="1:22">
      <c r="A6" s="19" t="s">
        <v>27</v>
      </c>
      <c r="B6" s="13">
        <f>COUNTIFS('Tanker Data'!D3:D122,"*",'Tanker Data'!B3:B122,A6)</f>
        <v>1</v>
      </c>
      <c r="C6" s="14">
        <f>SUMIF('Tanker Data'!B3:B122,A6,'Tanker Data'!F3:F122)</f>
        <v>6</v>
      </c>
      <c r="D6" s="15">
        <f t="shared" si="0"/>
        <v>6</v>
      </c>
      <c r="E6" s="16">
        <f>COUNTIFS('Tanker Data'!I3:I122,"*",'Tanker Data'!B3:B122,A6)</f>
        <v>1</v>
      </c>
      <c r="F6" s="16">
        <f>SUMIF('Tanker Data'!B3:B122,A6,'Tanker Data'!K3:K122)</f>
        <v>6</v>
      </c>
      <c r="G6" s="17">
        <f t="shared" si="1"/>
        <v>6</v>
      </c>
      <c r="H6" s="18">
        <f>COUNTIFS('Tanker Data'!N3:N122,"*",'Tanker Data'!B3:B122,A6)</f>
        <v>1</v>
      </c>
      <c r="I6" s="18">
        <f>SUMIF('Tanker Data'!B3:B122,A6,'Tanker Data'!P3:P122)</f>
        <v>3</v>
      </c>
      <c r="J6" s="28">
        <f t="shared" si="2"/>
        <v>3</v>
      </c>
      <c r="K6" s="29">
        <f>COUNTIFS('Tanker Data'!S3:S122,"*",'Tanker Data'!B3:B122,A6)</f>
        <v>0</v>
      </c>
      <c r="L6" s="29">
        <f>SUMIF('Tanker Data'!B3:B122,A6,'Tanker Data'!U3:U122)</f>
        <v>0</v>
      </c>
      <c r="M6" s="30" t="e">
        <f t="shared" si="3"/>
        <v>#DIV/0!</v>
      </c>
      <c r="N6" s="31">
        <f>COUNTIFS('Tanker Data'!X3:X122,"*",'Tanker Data'!B3:B122,A6)</f>
        <v>0</v>
      </c>
      <c r="O6" s="31">
        <f>SUMIF('Tanker Data'!B3:B122,A6,'Tanker Data'!Z3:Z122)</f>
        <v>0</v>
      </c>
      <c r="P6" s="32" t="e">
        <f t="shared" si="6"/>
        <v>#DIV/0!</v>
      </c>
      <c r="Q6" s="39">
        <f>COUNTIFS('Tanker Data'!AC3:AC122,"*",'Tanker Data'!B3:B122,A6)</f>
        <v>1</v>
      </c>
      <c r="R6" s="39">
        <f>SUMIF('Tanker Data'!B3:B122,A6,'Tanker Data'!AE3:AE122)</f>
        <v>0</v>
      </c>
      <c r="S6" s="40">
        <f t="shared" si="4"/>
        <v>0</v>
      </c>
      <c r="T6" s="41">
        <f>COUNTIFS('Tanker Data'!AH3:AH122,"*",'Tanker Data'!B3:B122,A6)</f>
        <v>0</v>
      </c>
      <c r="U6" s="41">
        <f>SUMIF('Tanker Data'!B3:B122,A6,'Tanker Data'!AJ3:AJ122)</f>
        <v>0</v>
      </c>
      <c r="V6" s="42" t="e">
        <f t="shared" si="5"/>
        <v>#DIV/0!</v>
      </c>
    </row>
    <row r="7" spans="1:22">
      <c r="A7" s="12" t="s">
        <v>30</v>
      </c>
      <c r="B7" s="13">
        <f>COUNTIFS('Tanker Data'!D3:D122,"*",'Tanker Data'!B3:B122,A7)</f>
        <v>9</v>
      </c>
      <c r="C7" s="14">
        <f>SUMIF('Tanker Data'!B3:B122,A7,'Tanker Data'!F3:F122)</f>
        <v>27</v>
      </c>
      <c r="D7" s="15">
        <f t="shared" si="0"/>
        <v>3</v>
      </c>
      <c r="E7" s="16">
        <f>COUNTIFS('Tanker Data'!I3:I122,"*",'Tanker Data'!B3:B122,A7)</f>
        <v>8</v>
      </c>
      <c r="F7" s="16">
        <f>SUMIF('Tanker Data'!B3:B122,A7,'Tanker Data'!K3:K122)</f>
        <v>39</v>
      </c>
      <c r="G7" s="17">
        <f t="shared" ref="G7:G8" si="7">F7/E7</f>
        <v>4.875</v>
      </c>
      <c r="H7" s="18">
        <f>COUNTIFS('Tanker Data'!N3:N122,"*",'Tanker Data'!B3:B122,A7)</f>
        <v>7</v>
      </c>
      <c r="I7" s="18">
        <f>SUMIF('Tanker Data'!B3:B122,A7,'Tanker Data'!P3:P122)</f>
        <v>21</v>
      </c>
      <c r="J7" s="28">
        <f t="shared" si="2"/>
        <v>3</v>
      </c>
      <c r="K7" s="29">
        <f>COUNTIFS('Tanker Data'!S3:S122,"*",'Tanker Data'!B3:B122,A7)</f>
        <v>4</v>
      </c>
      <c r="L7" s="29">
        <f>SUMIF('Tanker Data'!B3:B122,A7,'Tanker Data'!U3:U122)</f>
        <v>8</v>
      </c>
      <c r="M7" s="30">
        <f t="shared" si="3"/>
        <v>2</v>
      </c>
      <c r="N7" s="31">
        <f>COUNTIFS('Tanker Data'!X3:X122,"*",'Tanker Data'!B3:B122,A7)</f>
        <v>5</v>
      </c>
      <c r="O7" s="31">
        <f>SUMIF('Tanker Data'!B3:B122,A7,'Tanker Data'!Z3:Z122)</f>
        <v>12</v>
      </c>
      <c r="P7" s="32">
        <f t="shared" si="6"/>
        <v>2.4</v>
      </c>
      <c r="Q7" s="39">
        <f>COUNTIFS('Tanker Data'!AC3:AC122,"*",'Tanker Data'!B3:B122,A7)</f>
        <v>9</v>
      </c>
      <c r="R7" s="39">
        <f>SUMIF('Tanker Data'!B3:B122,A7,'Tanker Data'!AE3:AE122)</f>
        <v>2</v>
      </c>
      <c r="S7" s="40">
        <f t="shared" ref="S7:S8" si="8">R7/Q7</f>
        <v>0.222222222222222</v>
      </c>
      <c r="T7" s="41">
        <f>COUNTIFS('Tanker Data'!AH3:AH122,"*",'Tanker Data'!B3:B122,A7)</f>
        <v>5</v>
      </c>
      <c r="U7" s="41">
        <f>SUMIF('Tanker Data'!B3:B122,A7,'Tanker Data'!AJ3:AJ122)</f>
        <v>11</v>
      </c>
      <c r="V7" s="42">
        <f t="shared" si="5"/>
        <v>2.2</v>
      </c>
    </row>
    <row r="8" spans="1:22">
      <c r="A8" s="19" t="s">
        <v>22</v>
      </c>
      <c r="B8" s="13">
        <f>COUNTIFS('Tanker Data'!D5:D124,"*",'Tanker Data'!B5:B124,A8)</f>
        <v>1</v>
      </c>
      <c r="C8" s="14">
        <f>SUMIF('Tanker Data'!B5:B124,A8,'Tanker Data'!F5:F124)</f>
        <v>6</v>
      </c>
      <c r="D8" s="15">
        <f t="shared" ref="D8:D9" si="9">C8/B8</f>
        <v>6</v>
      </c>
      <c r="E8" s="16">
        <f>COUNTIFS('Tanker Data'!I5:I124,"*",'Tanker Data'!B5:B124,A8)</f>
        <v>0</v>
      </c>
      <c r="F8" s="16">
        <f>SUMIF('Tanker Data'!B5:B124,A8,'Tanker Data'!K5:K124)</f>
        <v>0</v>
      </c>
      <c r="G8" s="17" t="e">
        <f t="shared" si="7"/>
        <v>#DIV/0!</v>
      </c>
      <c r="H8" s="18">
        <f>COUNTIFS('Tanker Data'!N5:N124,"*",'Tanker Data'!B5:B124,A8)</f>
        <v>0</v>
      </c>
      <c r="I8" s="18">
        <f>SUMIF('Tanker Data'!B5:B124,A8,'Tanker Data'!P5:P124)</f>
        <v>0</v>
      </c>
      <c r="J8" s="28" t="e">
        <f t="shared" ref="J8:J9" si="10">I8/H8</f>
        <v>#DIV/0!</v>
      </c>
      <c r="K8" s="29">
        <f>COUNTIFS('Tanker Data'!S5:S124,"*",'Tanker Data'!B5:B124,A8)</f>
        <v>0</v>
      </c>
      <c r="L8" s="29">
        <f>SUMIF('Tanker Data'!B5:B124,A8,'Tanker Data'!U5:U124)</f>
        <v>0</v>
      </c>
      <c r="M8" s="30" t="e">
        <f t="shared" ref="M8:M9" si="11">L8/K8</f>
        <v>#DIV/0!</v>
      </c>
      <c r="N8" s="31">
        <f>COUNTIFS('Tanker Data'!X5:X124,"*",'Tanker Data'!B5:B124,A8)</f>
        <v>0</v>
      </c>
      <c r="O8" s="31">
        <f>SUMIF('Tanker Data'!B5:B124,A8,'Tanker Data'!Z5:Z124)</f>
        <v>0</v>
      </c>
      <c r="P8" s="32" t="e">
        <f t="shared" ref="P8:P9" si="12">O8/N8</f>
        <v>#DIV/0!</v>
      </c>
      <c r="Q8" s="39">
        <f>COUNTIFS('Tanker Data'!AC5:AC124,"*",'Tanker Data'!B5:B124,A8)</f>
        <v>1</v>
      </c>
      <c r="R8" s="39">
        <f>SUMIF('Tanker Data'!B5:B124,A8,'Tanker Data'!AE5:AE124)</f>
        <v>0</v>
      </c>
      <c r="S8" s="40">
        <f t="shared" si="8"/>
        <v>0</v>
      </c>
      <c r="T8" s="41">
        <f>COUNTIFS('Tanker Data'!AH5:AH124,"*",'Tanker Data'!B5:B124,A8)</f>
        <v>0</v>
      </c>
      <c r="U8" s="41">
        <f>SUMIF('Tanker Data'!B5:B124,A8,'Tanker Data'!AJ5:AJ124)</f>
        <v>0</v>
      </c>
      <c r="V8" s="42" t="e">
        <f t="shared" ref="V8:V9" si="13">U8/T8</f>
        <v>#DIV/0!</v>
      </c>
    </row>
    <row r="9" spans="1:22">
      <c r="A9" s="12" t="s">
        <v>26</v>
      </c>
      <c r="B9" s="13">
        <f>COUNTIFS('Tanker Data'!D5:D124,"*",'Tanker Data'!B5:B124,A9)</f>
        <v>1</v>
      </c>
      <c r="C9" s="14">
        <f>SUMIF('Tanker Data'!B5:B124,A9,'Tanker Data'!F5:F124)</f>
        <v>3</v>
      </c>
      <c r="D9" s="15">
        <f t="shared" si="9"/>
        <v>3</v>
      </c>
      <c r="E9" s="16">
        <f>COUNTIFS('Tanker Data'!I5:I124,"*",'Tanker Data'!B5:B124,A9)</f>
        <v>0</v>
      </c>
      <c r="F9" s="16">
        <f>SUMIF('Tanker Data'!B5:B124,A9,'Tanker Data'!K5:K124)</f>
        <v>0</v>
      </c>
      <c r="G9" s="17" t="e">
        <f t="shared" ref="G9:G10" si="14">F9/E9</f>
        <v>#DIV/0!</v>
      </c>
      <c r="H9" s="18">
        <f>COUNTIFS('Tanker Data'!N5:N124,"*",'Tanker Data'!B5:B124,A9)</f>
        <v>0</v>
      </c>
      <c r="I9" s="18">
        <f>SUMIF('Tanker Data'!B5:B124,A9,'Tanker Data'!P5:P124)</f>
        <v>0</v>
      </c>
      <c r="J9" s="28" t="e">
        <f t="shared" si="10"/>
        <v>#DIV/0!</v>
      </c>
      <c r="K9" s="29">
        <f>COUNTIFS('Tanker Data'!S5:S124,"*",'Tanker Data'!B5:B124,A9)</f>
        <v>0</v>
      </c>
      <c r="L9" s="29">
        <f>SUMIF('Tanker Data'!B5:B124,A9,'Tanker Data'!U5:U124)</f>
        <v>0</v>
      </c>
      <c r="M9" s="30" t="e">
        <f t="shared" si="11"/>
        <v>#DIV/0!</v>
      </c>
      <c r="N9" s="31">
        <f>COUNTIFS('Tanker Data'!X5:X124,"*",'Tanker Data'!B5:B124,A9)</f>
        <v>1</v>
      </c>
      <c r="O9" s="31">
        <f>SUMIF('Tanker Data'!B5:B124,A9,'Tanker Data'!Z5:Z124)</f>
        <v>2</v>
      </c>
      <c r="P9" s="32">
        <f t="shared" si="12"/>
        <v>2</v>
      </c>
      <c r="Q9" s="39">
        <f>COUNTIFS('Tanker Data'!AC5:AC124,"*",'Tanker Data'!B5:B124,A9)</f>
        <v>1</v>
      </c>
      <c r="R9" s="39">
        <f>SUMIF('Tanker Data'!B5:B124,A9,'Tanker Data'!AE5:AE124)</f>
        <v>0</v>
      </c>
      <c r="S9" s="40">
        <f t="shared" ref="S9:S10" si="15">R9/Q9</f>
        <v>0</v>
      </c>
      <c r="T9" s="41">
        <f>COUNTIFS('Tanker Data'!AH5:AH124,"*",'Tanker Data'!B5:B124,A9)</f>
        <v>1</v>
      </c>
      <c r="U9" s="41">
        <f>SUMIF('Tanker Data'!B5:B124,A9,'Tanker Data'!AJ5:AJ124)</f>
        <v>1</v>
      </c>
      <c r="V9" s="42">
        <f t="shared" si="13"/>
        <v>1</v>
      </c>
    </row>
    <row r="10" spans="1:22">
      <c r="A10" s="19" t="s">
        <v>25</v>
      </c>
      <c r="B10" s="13">
        <f>COUNTIFS('Tanker Data'!D7:D126,"*",'Tanker Data'!B7:B126,A10)</f>
        <v>4</v>
      </c>
      <c r="C10" s="14">
        <f>SUMIF('Tanker Data'!B7:B126,A10,'Tanker Data'!F7:F126)</f>
        <v>14</v>
      </c>
      <c r="D10" s="15">
        <f t="shared" ref="D10:D12" si="16">C10/B10</f>
        <v>3.5</v>
      </c>
      <c r="E10" s="16">
        <f>COUNTIFS('Tanker Data'!I7:I126,"*",'Tanker Data'!B7:B126,A10)</f>
        <v>5</v>
      </c>
      <c r="F10" s="16">
        <f>SUMIF('Tanker Data'!B7:B126,A10,'Tanker Data'!K7:K126)</f>
        <v>17</v>
      </c>
      <c r="G10" s="17">
        <f t="shared" si="14"/>
        <v>3.4</v>
      </c>
      <c r="H10" s="18">
        <f>COUNTIFS('Tanker Data'!N7:N126,"*",'Tanker Data'!B7:B126,A10)</f>
        <v>4</v>
      </c>
      <c r="I10" s="18">
        <f>SUMIF('Tanker Data'!B7:B126,A10,'Tanker Data'!P7:P126)</f>
        <v>9</v>
      </c>
      <c r="J10" s="28">
        <f t="shared" ref="J10:J12" si="17">I10/H10</f>
        <v>2.25</v>
      </c>
      <c r="K10" s="29">
        <f>COUNTIFS('Tanker Data'!S7:S126,"*",'Tanker Data'!B7:B126,A10)</f>
        <v>4</v>
      </c>
      <c r="L10" s="29">
        <f>SUMIF('Tanker Data'!B7:B126,A10,'Tanker Data'!U7:U126)</f>
        <v>6</v>
      </c>
      <c r="M10" s="30">
        <f t="shared" ref="M10:M12" si="18">L10/K10</f>
        <v>1.5</v>
      </c>
      <c r="N10" s="31">
        <f>COUNTIFS('Tanker Data'!X7:X126,"*",'Tanker Data'!B7:B126,A10)</f>
        <v>4</v>
      </c>
      <c r="O10" s="31">
        <f>SUMIF('Tanker Data'!B7:B126,A10,'Tanker Data'!Z7:Z126)</f>
        <v>10</v>
      </c>
      <c r="P10" s="32">
        <f t="shared" ref="P10:P12" si="19">O10/N10</f>
        <v>2.5</v>
      </c>
      <c r="Q10" s="39">
        <f>COUNTIFS('Tanker Data'!AC7:AC126,"*",'Tanker Data'!B7:B126,A10)</f>
        <v>4</v>
      </c>
      <c r="R10" s="39">
        <f>SUMIF('Tanker Data'!B7:B126,A10,'Tanker Data'!AE7:AE126)</f>
        <v>0</v>
      </c>
      <c r="S10" s="40">
        <f t="shared" si="15"/>
        <v>0</v>
      </c>
      <c r="T10" s="41">
        <f>COUNTIFS('Tanker Data'!AH7:AH126,"*",'Tanker Data'!B7:B126,A10)</f>
        <v>4</v>
      </c>
      <c r="U10" s="41">
        <f>SUMIF('Tanker Data'!B7:B126,A10,'Tanker Data'!AJ7:AJ126)</f>
        <v>5</v>
      </c>
      <c r="V10" s="42">
        <f t="shared" ref="V10:V11" si="20">U10/T10</f>
        <v>1.25</v>
      </c>
    </row>
    <row r="11" spans="1:22">
      <c r="A11" s="12" t="s">
        <v>31</v>
      </c>
      <c r="B11" s="13">
        <f>COUNTIFS('Tanker Data'!D7:D126,"*",'Tanker Data'!B7:B126,A11)</f>
        <v>3</v>
      </c>
      <c r="C11" s="14">
        <f>SUMIF('Tanker Data'!B7:B126,A11,'Tanker Data'!F7:F126)</f>
        <v>15</v>
      </c>
      <c r="D11" s="15">
        <f t="shared" si="16"/>
        <v>5</v>
      </c>
      <c r="E11" s="16">
        <f>COUNTIFS('Tanker Data'!I7:I126,"*",'Tanker Data'!B7:B126,A11)</f>
        <v>2</v>
      </c>
      <c r="F11" s="16">
        <f>SUMIF('Tanker Data'!B7:B126,A11,'Tanker Data'!K7:K126)</f>
        <v>11</v>
      </c>
      <c r="G11" s="17">
        <f t="shared" ref="G11" si="21">F11/E11</f>
        <v>5.5</v>
      </c>
      <c r="H11" s="18">
        <f>COUNTIFS('Tanker Data'!N7:N126,"*",'Tanker Data'!B7:B126,A11)</f>
        <v>3</v>
      </c>
      <c r="I11" s="18">
        <f>SUMIF('Tanker Data'!B7:B126,A11,'Tanker Data'!P7:P126)</f>
        <v>7</v>
      </c>
      <c r="J11" s="28">
        <f t="shared" si="17"/>
        <v>2.33333333333333</v>
      </c>
      <c r="K11" s="29">
        <f>COUNTIFS('Tanker Data'!S7:S126,"*",'Tanker Data'!B7:B126,A11)</f>
        <v>2</v>
      </c>
      <c r="L11" s="29">
        <f>SUMIF('Tanker Data'!B7:B126,A11,'Tanker Data'!U7:U126)</f>
        <v>7</v>
      </c>
      <c r="M11" s="30">
        <f t="shared" si="18"/>
        <v>3.5</v>
      </c>
      <c r="N11" s="31">
        <f>COUNTIFS('Tanker Data'!X7:X126,"*",'Tanker Data'!B7:B126,A11)</f>
        <v>3</v>
      </c>
      <c r="O11" s="31">
        <f>SUMIF('Tanker Data'!B7:B126,A11,'Tanker Data'!Z7:Z126)</f>
        <v>9</v>
      </c>
      <c r="P11" s="32">
        <f t="shared" si="19"/>
        <v>3</v>
      </c>
      <c r="Q11" s="39">
        <f>COUNTIFS('Tanker Data'!AC7:AC126,"*",'Tanker Data'!B7:B126,A11)</f>
        <v>3</v>
      </c>
      <c r="R11" s="39">
        <f>SUMIF('Tanker Data'!B7:B126,A11,'Tanker Data'!AE7:AE126)</f>
        <v>0</v>
      </c>
      <c r="S11" s="40">
        <f t="shared" ref="S11" si="22">R11/Q11</f>
        <v>0</v>
      </c>
      <c r="T11" s="41">
        <f>COUNTIFS('Tanker Data'!AH7:AH126,"*",'Tanker Data'!B7:B126,A11)</f>
        <v>2</v>
      </c>
      <c r="U11" s="41">
        <f>SUMIF('Tanker Data'!B7:B126,A11,'Tanker Data'!AJ7:AJ126)</f>
        <v>5</v>
      </c>
      <c r="V11" s="42">
        <f t="shared" si="20"/>
        <v>2.5</v>
      </c>
    </row>
    <row r="12" spans="1:22">
      <c r="A12" s="12" t="s">
        <v>24</v>
      </c>
      <c r="B12" s="13">
        <f>COUNTIFS('Tanker Data'!D3:D122,"*",'Tanker Data'!B3:B122,A12)</f>
        <v>2</v>
      </c>
      <c r="C12" s="14">
        <f>SUMIF('Tanker Data'!B3:B122,A12,'Tanker Data'!F3:F122)</f>
        <v>6</v>
      </c>
      <c r="D12" s="15">
        <f t="shared" si="16"/>
        <v>3</v>
      </c>
      <c r="E12" s="16">
        <f>COUNTIFS('Tanker Data'!I3:I122,"*",'Tanker Data'!B3:B122,A12)</f>
        <v>2</v>
      </c>
      <c r="F12" s="16">
        <f>SUMIF('Tanker Data'!B3:B122,A12,'Tanker Data'!K3:K122)</f>
        <v>9</v>
      </c>
      <c r="G12" s="17">
        <f t="shared" ref="G12" si="23">F12/E12</f>
        <v>4.5</v>
      </c>
      <c r="H12" s="18">
        <f>COUNTIFS('Tanker Data'!N3:N122,"*",'Tanker Data'!B3:B122,A12)</f>
        <v>2</v>
      </c>
      <c r="I12" s="18">
        <f>SUMIF('Tanker Data'!B3:B122,A12,'Tanker Data'!P3:P122)</f>
        <v>8</v>
      </c>
      <c r="J12" s="28">
        <f t="shared" si="17"/>
        <v>4</v>
      </c>
      <c r="K12" s="29">
        <f>COUNTIFS('Tanker Data'!S3:S122,"*",'Tanker Data'!B3:B122,A12)</f>
        <v>2</v>
      </c>
      <c r="L12" s="29">
        <f>SUMIF('Tanker Data'!B3:B122,A12,'Tanker Data'!U3:U122)</f>
        <v>4</v>
      </c>
      <c r="M12" s="30">
        <f t="shared" si="18"/>
        <v>2</v>
      </c>
      <c r="N12" s="31">
        <f>COUNTIFS('Tanker Data'!X3:X122,"*",'Tanker Data'!B3:B122,A12)</f>
        <v>2</v>
      </c>
      <c r="O12" s="31">
        <f>SUMIF('Tanker Data'!B3:B122,A12,'Tanker Data'!Z3:Z122)</f>
        <v>5</v>
      </c>
      <c r="P12" s="32">
        <f t="shared" si="19"/>
        <v>2.5</v>
      </c>
      <c r="Q12" s="39">
        <f>COUNTIFS('Tanker Data'!AC3:AC123,"*",'Tanker Data'!B3:B123,A12)</f>
        <v>2</v>
      </c>
      <c r="R12" s="39">
        <f>SUMIF('Tanker Data'!B3:B123,A12,'Tanker Data'!AE3:AE123)</f>
        <v>0</v>
      </c>
      <c r="S12" s="40">
        <f t="shared" ref="S12" si="24">R12/Q12</f>
        <v>0</v>
      </c>
      <c r="T12" s="41">
        <f>COUNTIFS('Tanker Data'!AH3:AH122,"*",'Tanker Data'!B3:B122,A12)</f>
        <v>2</v>
      </c>
      <c r="U12" s="41">
        <f>SUMIF('Tanker Data'!B3:B122,A12,'Tanker Data'!AJ3:AJ122)</f>
        <v>4</v>
      </c>
      <c r="V12" s="42">
        <f t="shared" ref="V12" si="25">U12/T12</f>
        <v>2</v>
      </c>
    </row>
    <row r="13" spans="1:22">
      <c r="A13" s="12" t="s">
        <v>35</v>
      </c>
      <c r="B13" s="13">
        <f>COUNTIFS('Tanker Data'!D3:D122,"*",'Tanker Data'!B3:B122,A13)</f>
        <v>0</v>
      </c>
      <c r="C13" s="14">
        <f>SUMIF('Tanker Data'!B3:B122,A13,'Tanker Data'!F3:F122)</f>
        <v>0</v>
      </c>
      <c r="D13" s="15" t="e">
        <f t="shared" si="0"/>
        <v>#DIV/0!</v>
      </c>
      <c r="E13" s="16">
        <f>COUNTIFS('Tanker Data'!I3:I122,"*",'Tanker Data'!B3:B122,A13)</f>
        <v>0</v>
      </c>
      <c r="F13" s="16">
        <f>SUMIF('Tanker Data'!B3:B122,A13,'Tanker Data'!K3:K122)</f>
        <v>0</v>
      </c>
      <c r="G13" s="17" t="e">
        <f t="shared" si="1"/>
        <v>#DIV/0!</v>
      </c>
      <c r="H13" s="18">
        <f>COUNTIFS('Tanker Data'!N3:N122,"*",'Tanker Data'!B3:B122,A13)</f>
        <v>0</v>
      </c>
      <c r="I13" s="18">
        <f>SUMIF('Tanker Data'!B3:B122,A13,'Tanker Data'!P3:P122)</f>
        <v>0</v>
      </c>
      <c r="J13" s="28" t="e">
        <f t="shared" si="2"/>
        <v>#DIV/0!</v>
      </c>
      <c r="K13" s="29">
        <f>COUNTIFS('Tanker Data'!S3:S122,"*",'Tanker Data'!B3:B122,A13)</f>
        <v>0</v>
      </c>
      <c r="L13" s="29">
        <f>SUMIF('Tanker Data'!B3:B122,A13,'Tanker Data'!U3:U122)</f>
        <v>0</v>
      </c>
      <c r="M13" s="30" t="e">
        <f t="shared" si="3"/>
        <v>#DIV/0!</v>
      </c>
      <c r="N13" s="31">
        <f>COUNTIFS('Tanker Data'!X3:X122,"*",'Tanker Data'!B3:B122,A13)</f>
        <v>0</v>
      </c>
      <c r="O13" s="31">
        <f>SUMIF('Tanker Data'!B3:B122,A13,'Tanker Data'!Z3:Z122)</f>
        <v>0</v>
      </c>
      <c r="P13" s="32" t="e">
        <f t="shared" si="6"/>
        <v>#DIV/0!</v>
      </c>
      <c r="Q13" s="39">
        <f>COUNTIFS('Tanker Data'!AC3:AC122,"*",'Tanker Data'!B3:B122,A13)</f>
        <v>0</v>
      </c>
      <c r="R13" s="39">
        <f>SUMIF('Tanker Data'!B3:B122,A13,'Tanker Data'!AE3:AE122)</f>
        <v>0</v>
      </c>
      <c r="S13" s="40" t="e">
        <f t="shared" si="4"/>
        <v>#DIV/0!</v>
      </c>
      <c r="T13" s="41">
        <f>COUNTIFS('Tanker Data'!AH3:AH122,"*",'Tanker Data'!B3:B122,A13)</f>
        <v>0</v>
      </c>
      <c r="U13" s="41">
        <f>SUMIF('Tanker Data'!B3:B122,A13,'Tanker Data'!AJ3:AJ122)</f>
        <v>0</v>
      </c>
      <c r="V13" s="42" t="e">
        <f t="shared" si="5"/>
        <v>#DIV/0!</v>
      </c>
    </row>
  </sheetData>
  <sheetProtection algorithmName="SHA-512" hashValue="qT7HZA+6AVN/1VtRcokAlUlEV4teMw3V1xiv0IrXhLm4iR3cxlHLjyWzXcYIXeoH5YpaYZiDFk04T3695gOoDw==" saltValue="/C5y7VgnmItbMBX53tdOhg==" spinCount="100000" sheet="1" objects="1" scenarios="1"/>
  <mergeCells count="7">
    <mergeCell ref="B1:D1"/>
    <mergeCell ref="E1:G1"/>
    <mergeCell ref="H1:J1"/>
    <mergeCell ref="K1:M1"/>
    <mergeCell ref="N1:P1"/>
    <mergeCell ref="Q1:S1"/>
    <mergeCell ref="T1:V1"/>
  </mergeCells>
  <dataValidations count="1">
    <dataValidation type="list" allowBlank="1" showInputMessage="1" showErrorMessage="1" sqref="A3:A13">
      <formula1>MarineSuperintendent</formula1>
    </dataValidation>
  </dataValidations>
  <pageMargins left="0.7" right="0.7" top="0.75" bottom="0.75" header="0.3" footer="0.3"/>
  <pageSetup paperSize="9" orientation="portrait" verticalDpi="90"/>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3"/>
  <sheetViews>
    <sheetView workbookViewId="0">
      <selection activeCell="B3" sqref="B3"/>
    </sheetView>
  </sheetViews>
  <sheetFormatPr defaultColWidth="9.42857142857143" defaultRowHeight="15"/>
  <cols>
    <col min="1" max="1" width="18.4285714285714" customWidth="1"/>
    <col min="2" max="2" width="8" customWidth="1"/>
    <col min="3" max="3" width="9.42857142857143" customWidth="1"/>
    <col min="4" max="4" width="12.5714285714286" customWidth="1"/>
    <col min="5" max="5" width="9.42857142857143" customWidth="1"/>
    <col min="6" max="6" width="10.4285714285714" customWidth="1"/>
    <col min="7" max="7" width="14.4285714285714" customWidth="1"/>
    <col min="8" max="9" width="8.57142857142857" customWidth="1"/>
    <col min="10" max="10" width="13.5714285714286" customWidth="1"/>
    <col min="11" max="11" width="9.42857142857143" customWidth="1"/>
    <col min="12" max="12" width="10.4285714285714" customWidth="1"/>
    <col min="13" max="13" width="13.4285714285714" customWidth="1"/>
    <col min="14" max="15" width="10.4285714285714" customWidth="1"/>
    <col min="16" max="16" width="16" customWidth="1"/>
    <col min="17" max="17" width="9.57142857142857" customWidth="1"/>
    <col min="18" max="18" width="10.4285714285714" customWidth="1"/>
    <col min="19" max="19" width="14.4285714285714" customWidth="1"/>
    <col min="20" max="20" width="9.57142857142857" customWidth="1"/>
    <col min="21" max="21" width="10.4285714285714" customWidth="1"/>
    <col min="22" max="22" width="13.5714285714286" customWidth="1"/>
  </cols>
  <sheetData>
    <row r="1" spans="1:22">
      <c r="A1" s="1">
        <f ca="1">TODAY()</f>
        <v>45805</v>
      </c>
      <c r="B1" s="2" t="s">
        <v>212</v>
      </c>
      <c r="C1" s="2"/>
      <c r="D1" s="2"/>
      <c r="E1" s="3" t="s">
        <v>223</v>
      </c>
      <c r="F1" s="3"/>
      <c r="G1" s="3"/>
      <c r="H1" s="4" t="s">
        <v>383</v>
      </c>
      <c r="I1" s="4"/>
      <c r="J1" s="4"/>
      <c r="K1" s="21" t="s">
        <v>214</v>
      </c>
      <c r="L1" s="21"/>
      <c r="M1" s="21"/>
      <c r="N1" s="22" t="s">
        <v>384</v>
      </c>
      <c r="O1" s="22"/>
      <c r="P1" s="22"/>
      <c r="Q1" s="33" t="s">
        <v>216</v>
      </c>
      <c r="R1" s="33"/>
      <c r="S1" s="33"/>
      <c r="T1" s="34" t="s">
        <v>217</v>
      </c>
      <c r="U1" s="34"/>
      <c r="V1" s="34"/>
    </row>
    <row r="2" ht="27" customHeight="1" spans="1:22">
      <c r="A2" s="5"/>
      <c r="B2" s="6" t="s">
        <v>385</v>
      </c>
      <c r="C2" s="7" t="s">
        <v>386</v>
      </c>
      <c r="D2" s="8" t="s">
        <v>387</v>
      </c>
      <c r="E2" s="9" t="s">
        <v>388</v>
      </c>
      <c r="F2" s="9" t="s">
        <v>389</v>
      </c>
      <c r="G2" s="10" t="s">
        <v>390</v>
      </c>
      <c r="H2" s="11" t="s">
        <v>391</v>
      </c>
      <c r="I2" s="11" t="s">
        <v>392</v>
      </c>
      <c r="J2" s="23" t="s">
        <v>393</v>
      </c>
      <c r="K2" s="24" t="s">
        <v>394</v>
      </c>
      <c r="L2" s="24" t="s">
        <v>395</v>
      </c>
      <c r="M2" s="25" t="s">
        <v>396</v>
      </c>
      <c r="N2" s="26" t="s">
        <v>397</v>
      </c>
      <c r="O2" s="26" t="s">
        <v>398</v>
      </c>
      <c r="P2" s="27" t="s">
        <v>399</v>
      </c>
      <c r="Q2" s="35" t="s">
        <v>400</v>
      </c>
      <c r="R2" s="35" t="s">
        <v>401</v>
      </c>
      <c r="S2" s="36" t="s">
        <v>402</v>
      </c>
      <c r="T2" s="37" t="s">
        <v>403</v>
      </c>
      <c r="U2" s="37" t="s">
        <v>404</v>
      </c>
      <c r="V2" s="38" t="s">
        <v>405</v>
      </c>
    </row>
    <row r="3" spans="1:22">
      <c r="A3" s="12" t="s">
        <v>28</v>
      </c>
      <c r="B3" s="13">
        <f>COUNTIFS('Dry Data'!D3:D46,"*",'Dry Data'!B3:B46,A3)</f>
        <v>0</v>
      </c>
      <c r="C3" s="14">
        <f>SUMIF('Dry Data'!B3:B46,A3,'Dry Data'!F3:F46)</f>
        <v>0</v>
      </c>
      <c r="D3" s="15" t="e">
        <f t="shared" ref="D3:D9" si="0">C3/B3</f>
        <v>#DIV/0!</v>
      </c>
      <c r="E3" s="16">
        <f>COUNTIFS('Dry Data'!I3:I46,"*",'Dry Data'!B3:B46,A3)</f>
        <v>0</v>
      </c>
      <c r="F3" s="16">
        <f>SUMIF('Dry Data'!B3:B46,A3,'Dry Data'!K3:K46)</f>
        <v>0</v>
      </c>
      <c r="G3" s="17" t="e">
        <f t="shared" ref="G3:G9" si="1">F3/E3</f>
        <v>#DIV/0!</v>
      </c>
      <c r="H3" s="18">
        <f>COUNTIFS('Dry Data'!N3:N46,"*",'Dry Data'!B3:B46,A3)</f>
        <v>0</v>
      </c>
      <c r="I3" s="18">
        <f>SUMIF('Dry Data'!B3:B46,A3,'Dry Data'!P3:P46)</f>
        <v>0</v>
      </c>
      <c r="J3" s="28" t="e">
        <f t="shared" ref="J3:J9" si="2">I3/H3</f>
        <v>#DIV/0!</v>
      </c>
      <c r="K3" s="29">
        <f>COUNTIFS('Dry Data'!S3:S46,"*",'Dry Data'!B3:B46,A3)</f>
        <v>0</v>
      </c>
      <c r="L3" s="29">
        <f>SUMIF('Dry Data'!B3:B46,A3,'Dry Data'!U3:U46)</f>
        <v>0</v>
      </c>
      <c r="M3" s="30" t="e">
        <f>L3/K3</f>
        <v>#DIV/0!</v>
      </c>
      <c r="N3" s="31">
        <f>COUNTIFS('Dry Data'!X3:X46,"*",'Dry Data'!B3:B46,A3)</f>
        <v>0</v>
      </c>
      <c r="O3" s="31">
        <f>SUMIF('Dry Data'!B3:B46,A3,'Dry Data'!Z3:Z46)</f>
        <v>0</v>
      </c>
      <c r="P3" s="32" t="e">
        <f>O3/N3</f>
        <v>#DIV/0!</v>
      </c>
      <c r="Q3" s="39">
        <f>COUNTIFS('Dry Data'!AC3:AC46,"*",'Dry Data'!B3:B46,A3)</f>
        <v>0</v>
      </c>
      <c r="R3" s="39">
        <f>SUMIF('Dry Data'!B3:B46,A3,'Dry Data'!AE3:AE46)</f>
        <v>0</v>
      </c>
      <c r="S3" s="40" t="e">
        <f t="shared" ref="S3:S9" si="3">R3/Q3</f>
        <v>#DIV/0!</v>
      </c>
      <c r="T3" s="41">
        <f>COUNTIFS('Dry Data'!AH3:AH46,"*",'Dry Data'!B3:B46,A3)</f>
        <v>0</v>
      </c>
      <c r="U3" s="41">
        <f>SUMIF('Dry Data'!B3:B46,A3,'Dry Data'!AJ3:AJ46)</f>
        <v>0</v>
      </c>
      <c r="V3" s="42" t="e">
        <f t="shared" ref="V3:V13" si="4">U3/T3</f>
        <v>#DIV/0!</v>
      </c>
    </row>
    <row r="4" spans="1:22">
      <c r="A4" s="12" t="s">
        <v>29</v>
      </c>
      <c r="B4" s="13">
        <f>COUNTIFS('Dry Data'!D3:D46,"*",'Dry Data'!B3:B46,A4)</f>
        <v>0</v>
      </c>
      <c r="C4" s="14">
        <f>SUMIF('Dry Data'!B3:B46,A4,'Dry Data'!F3:F46)</f>
        <v>0</v>
      </c>
      <c r="D4" s="15" t="e">
        <f t="shared" si="0"/>
        <v>#DIV/0!</v>
      </c>
      <c r="E4" s="16">
        <f>COUNTIFS('Dry Data'!I3:I46,"*",'Dry Data'!B3:B46,A4)</f>
        <v>0</v>
      </c>
      <c r="F4" s="16">
        <f>SUMIF('Dry Data'!B3:B46,A4,'Dry Data'!K3:K46)</f>
        <v>0</v>
      </c>
      <c r="G4" s="17" t="e">
        <f t="shared" si="1"/>
        <v>#DIV/0!</v>
      </c>
      <c r="H4" s="18">
        <f>COUNTIFS('Dry Data'!N3:N46,"*",'Dry Data'!B3:B46,A4)</f>
        <v>0</v>
      </c>
      <c r="I4" s="18">
        <f>SUMIF('Dry Data'!B3:B46,A4,'Dry Data'!P3:P46)</f>
        <v>0</v>
      </c>
      <c r="J4" s="28" t="e">
        <f t="shared" si="2"/>
        <v>#DIV/0!</v>
      </c>
      <c r="K4" s="29">
        <f>COUNTIFS('Dry Data'!S3:S46,"*",'Dry Data'!B3:B46,A4)</f>
        <v>0</v>
      </c>
      <c r="L4" s="29">
        <f>SUMIF('Dry Data'!B3:B46,A4,'Dry Data'!U3:U46)</f>
        <v>0</v>
      </c>
      <c r="M4" s="30" t="e">
        <f t="shared" ref="M4:M9" si="5">L4/K4</f>
        <v>#DIV/0!</v>
      </c>
      <c r="N4" s="31">
        <f>COUNTIFS('Dry Data'!X3:X46,"*",'Dry Data'!B3:B46,A4)</f>
        <v>0</v>
      </c>
      <c r="O4" s="31">
        <f>SUMIF('Dry Data'!B3:B46,A4,'Dry Data'!Z3:Z46)</f>
        <v>0</v>
      </c>
      <c r="P4" s="32" t="e">
        <f t="shared" ref="P4:P9" si="6">O4/N4</f>
        <v>#DIV/0!</v>
      </c>
      <c r="Q4" s="39">
        <f>COUNTIFS('Dry Data'!AC3:AC46,"*",'Dry Data'!B3:B46,A4)</f>
        <v>0</v>
      </c>
      <c r="R4" s="39">
        <f>SUMIF('Dry Data'!B3:B46,A4,'Dry Data'!AE3:AE46)</f>
        <v>0</v>
      </c>
      <c r="S4" s="40" t="e">
        <f t="shared" si="3"/>
        <v>#DIV/0!</v>
      </c>
      <c r="T4" s="41">
        <f>COUNTIFS('Dry Data'!AH3:AH46,"*",'Dry Data'!B3:B46,A4)</f>
        <v>0</v>
      </c>
      <c r="U4" s="41">
        <f>SUMIF('Dry Data'!B3:B46,A4,'Dry Data'!AJ3:AJ46)</f>
        <v>0</v>
      </c>
      <c r="V4" s="42" t="e">
        <f t="shared" si="4"/>
        <v>#DIV/0!</v>
      </c>
    </row>
    <row r="5" spans="1:22">
      <c r="A5" s="12" t="s">
        <v>23</v>
      </c>
      <c r="B5" s="13">
        <f>COUNTIFS('Dry Data'!D3:D46,"*",'Dry Data'!B3:B46,A5)</f>
        <v>0</v>
      </c>
      <c r="C5" s="14">
        <f>SUMIF('Dry Data'!B3:B46,A5,'Dry Data'!F3:F46)</f>
        <v>0</v>
      </c>
      <c r="D5" s="15" t="e">
        <f t="shared" si="0"/>
        <v>#DIV/0!</v>
      </c>
      <c r="E5" s="16">
        <f>COUNTIFS('Dry Data'!I3:I46,"*",'Dry Data'!B3:B46,A5)</f>
        <v>0</v>
      </c>
      <c r="F5" s="16">
        <f>SUMIF('Dry Data'!B3:B46,A5,'Dry Data'!K3:K46)</f>
        <v>0</v>
      </c>
      <c r="G5" s="17" t="e">
        <f t="shared" si="1"/>
        <v>#DIV/0!</v>
      </c>
      <c r="H5" s="18">
        <f>COUNTIFS('Dry Data'!N3:N46,"*",'Dry Data'!B3:B46,A5)</f>
        <v>0</v>
      </c>
      <c r="I5" s="18">
        <f>SUMIF('Dry Data'!B3:B46,A5,'Dry Data'!P3:P46)</f>
        <v>0</v>
      </c>
      <c r="J5" s="28" t="e">
        <f t="shared" si="2"/>
        <v>#DIV/0!</v>
      </c>
      <c r="K5" s="29">
        <f>COUNTIFS('Dry Data'!S3:S46,"*",'Dry Data'!B3:B46,A5)</f>
        <v>0</v>
      </c>
      <c r="L5" s="29">
        <f>SUMIF('Dry Data'!B3:B46,A5,'Dry Data'!U3:U46)</f>
        <v>0</v>
      </c>
      <c r="M5" s="30" t="e">
        <f t="shared" si="5"/>
        <v>#DIV/0!</v>
      </c>
      <c r="N5" s="31">
        <f>COUNTIFS('Dry Data'!X3:X46,"*",'Dry Data'!B3:B46,A5)</f>
        <v>0</v>
      </c>
      <c r="O5" s="31">
        <f>SUMIF('Dry Data'!B3:B46,A5,'Dry Data'!Z3:Z46)</f>
        <v>0</v>
      </c>
      <c r="P5" s="32" t="e">
        <f t="shared" si="6"/>
        <v>#DIV/0!</v>
      </c>
      <c r="Q5" s="39">
        <f>COUNTIFS('Dry Data'!AC3:AC46,"*",'Dry Data'!B3:B46,A5)</f>
        <v>0</v>
      </c>
      <c r="R5" s="39">
        <f>SUMIF('Dry Data'!B3:B46,A5,'Dry Data'!AE3:AE46)</f>
        <v>0</v>
      </c>
      <c r="S5" s="40" t="e">
        <f t="shared" si="3"/>
        <v>#DIV/0!</v>
      </c>
      <c r="T5" s="41">
        <f>COUNTIFS('Dry Data'!AH3:AH46,"*",'Dry Data'!B3:B46,A5)</f>
        <v>0</v>
      </c>
      <c r="U5" s="41">
        <f>SUMIF('Dry Data'!B3:B46,A5,'Dry Data'!AJ3:AJ46)</f>
        <v>0</v>
      </c>
      <c r="V5" s="42" t="e">
        <f t="shared" si="4"/>
        <v>#DIV/0!</v>
      </c>
    </row>
    <row r="6" spans="1:22">
      <c r="A6" s="19" t="s">
        <v>27</v>
      </c>
      <c r="B6" s="13">
        <f>COUNTIFS('Dry Data'!D3:D46,"*",'Dry Data'!B3:B46,A6)</f>
        <v>2</v>
      </c>
      <c r="C6" s="14">
        <f>SUMIF('Dry Data'!B3:B46,A6,'Dry Data'!F3:F46)</f>
        <v>6</v>
      </c>
      <c r="D6" s="15">
        <f t="shared" si="0"/>
        <v>3</v>
      </c>
      <c r="E6" s="16">
        <f>COUNTIFS('Dry Data'!I3:I46,"*",'Dry Data'!B3:B46,A6)</f>
        <v>0</v>
      </c>
      <c r="F6" s="16">
        <f>SUMIF('Dry Data'!B3:B46,A6,'Dry Data'!K3:K46)</f>
        <v>0</v>
      </c>
      <c r="G6" s="17" t="e">
        <f t="shared" si="1"/>
        <v>#DIV/0!</v>
      </c>
      <c r="H6" s="18">
        <f>COUNTIFS('Dry Data'!N3:N46,"*",'Dry Data'!B3:B46,A6)</f>
        <v>0</v>
      </c>
      <c r="I6" s="18">
        <f>SUMIF('Dry Data'!B3:B46,A6,'Dry Data'!P3:P46)</f>
        <v>0</v>
      </c>
      <c r="J6" s="28" t="e">
        <f t="shared" si="2"/>
        <v>#DIV/0!</v>
      </c>
      <c r="K6" s="29">
        <f>COUNTIFS('Dry Data'!S3:S46,"*",'Dry Data'!B3:B46,A6)</f>
        <v>1</v>
      </c>
      <c r="L6" s="29">
        <f>SUMIF('Dry Data'!B3:B46,A6,'Dry Data'!U3:U46)</f>
        <v>1</v>
      </c>
      <c r="M6" s="30">
        <f t="shared" si="5"/>
        <v>1</v>
      </c>
      <c r="N6" s="31">
        <f>COUNTIFS('Dry Data'!X3:X46,"*",'Dry Data'!B3:B46,A6)</f>
        <v>0</v>
      </c>
      <c r="O6" s="31">
        <f>SUMIF('Dry Data'!B3:B46,A6,'Dry Data'!Z3:Z46)</f>
        <v>0</v>
      </c>
      <c r="P6" s="32" t="e">
        <f t="shared" si="6"/>
        <v>#DIV/0!</v>
      </c>
      <c r="Q6" s="39">
        <f>COUNTIFS('Dry Data'!AC3:AC46,"*",'Dry Data'!B3:B46,A6)</f>
        <v>2</v>
      </c>
      <c r="R6" s="39">
        <f>SUMIF('Dry Data'!B3:B46,A6,'Dry Data'!AE3:AE46)</f>
        <v>0</v>
      </c>
      <c r="S6" s="40">
        <f t="shared" si="3"/>
        <v>0</v>
      </c>
      <c r="T6" s="41">
        <f>COUNTIFS('Dry Data'!AH3:AH46,"*",'Dry Data'!B3:B46,A6)</f>
        <v>0</v>
      </c>
      <c r="U6" s="41">
        <f>SUMIF('Dry Data'!B3:B46,A6,'Dry Data'!AJ3:AJ46)</f>
        <v>0</v>
      </c>
      <c r="V6" s="42" t="e">
        <f t="shared" si="4"/>
        <v>#DIV/0!</v>
      </c>
    </row>
    <row r="7" spans="1:22">
      <c r="A7" s="12" t="s">
        <v>30</v>
      </c>
      <c r="B7" s="13">
        <f>COUNTIFS('Dry Data'!D3:D46,"*",'Dry Data'!B3:B46,A7)</f>
        <v>0</v>
      </c>
      <c r="C7" s="14">
        <f>SUMIF('Dry Data'!B3:B46,A7,'Dry Data'!F3:F46)</f>
        <v>0</v>
      </c>
      <c r="D7" s="15" t="e">
        <f t="shared" ref="D7" si="7">C7/B7</f>
        <v>#DIV/0!</v>
      </c>
      <c r="E7" s="16">
        <f>COUNTIFS('Dry Data'!I3:I46,"*",'Dry Data'!B3:B46,A7)</f>
        <v>0</v>
      </c>
      <c r="F7" s="16">
        <f>SUMIF('Dry Data'!B3:B46,A7,'Dry Data'!K3:K46)</f>
        <v>0</v>
      </c>
      <c r="G7" s="17" t="e">
        <f t="shared" ref="G7" si="8">F7/E7</f>
        <v>#DIV/0!</v>
      </c>
      <c r="H7" s="18">
        <f>COUNTIFS('Dry Data'!N3:N46,"*",'Dry Data'!B3:B46,A7)</f>
        <v>0</v>
      </c>
      <c r="I7" s="18">
        <f>SUMIF('Dry Data'!B3:B46,A7,'Dry Data'!P3:P46)</f>
        <v>0</v>
      </c>
      <c r="J7" s="28" t="e">
        <f t="shared" ref="J7" si="9">I7/H7</f>
        <v>#DIV/0!</v>
      </c>
      <c r="K7" s="29">
        <f>COUNTIFS('Dry Data'!S3:S46,"*",'Dry Data'!B3:B46,A7)</f>
        <v>0</v>
      </c>
      <c r="L7" s="29">
        <f>SUMIF('Dry Data'!B3:B46,A7,'Dry Data'!U3:U46)</f>
        <v>0</v>
      </c>
      <c r="M7" s="30" t="e">
        <f t="shared" ref="M7" si="10">L7/K7</f>
        <v>#DIV/0!</v>
      </c>
      <c r="N7" s="31">
        <f>COUNTIFS('Dry Data'!X3:X46,"*",'Dry Data'!B3:B46,A7)</f>
        <v>0</v>
      </c>
      <c r="O7" s="31">
        <f>SUMIF('Dry Data'!B3:B46,A7,'Dry Data'!Z3:Z46)</f>
        <v>0</v>
      </c>
      <c r="P7" s="32" t="e">
        <f t="shared" ref="P7" si="11">O7/N7</f>
        <v>#DIV/0!</v>
      </c>
      <c r="Q7" s="39">
        <f>COUNTIFS('Dry Data'!AC3:AC46,"*",'Dry Data'!B3:B46,A7)</f>
        <v>0</v>
      </c>
      <c r="R7" s="39">
        <f>SUMIF('Dry Data'!B3:B46,A7,'Dry Data'!AE3:AE46)</f>
        <v>0</v>
      </c>
      <c r="S7" s="40" t="e">
        <f t="shared" ref="S7" si="12">R7/Q7</f>
        <v>#DIV/0!</v>
      </c>
      <c r="T7" s="41">
        <f>COUNTIFS('Dry Data'!AH3:AH46,"*",'Dry Data'!B3:B46,A7)</f>
        <v>0</v>
      </c>
      <c r="U7" s="41">
        <f>SUMIF('Dry Data'!B3:B46,A7,'Dry Data'!AJ3:AJ46)</f>
        <v>0</v>
      </c>
      <c r="V7" s="42" t="e">
        <f t="shared" si="4"/>
        <v>#DIV/0!</v>
      </c>
    </row>
    <row r="8" spans="1:22">
      <c r="A8" s="12" t="s">
        <v>22</v>
      </c>
      <c r="B8" s="13">
        <f>COUNTIFS('Dry Data'!D3:D46,"*",'Dry Data'!B3:B46,A8)</f>
        <v>0</v>
      </c>
      <c r="C8" s="14">
        <f>SUMIF('Dry Data'!B3:B46,A8,'Dry Data'!F3:F46)</f>
        <v>0</v>
      </c>
      <c r="D8" s="15" t="e">
        <f t="shared" ref="D8" si="13">C8/B8</f>
        <v>#DIV/0!</v>
      </c>
      <c r="E8" s="16">
        <f>COUNTIFS('Dry Data'!I3:I46,"*",'Dry Data'!B3:B46,A8)</f>
        <v>0</v>
      </c>
      <c r="F8" s="16">
        <f>SUMIF('Dry Data'!B3:B46,A8,'Dry Data'!K3:K46)</f>
        <v>0</v>
      </c>
      <c r="G8" s="17" t="e">
        <f t="shared" ref="G8" si="14">F8/E8</f>
        <v>#DIV/0!</v>
      </c>
      <c r="H8" s="18">
        <f>COUNTIFS('Dry Data'!N3:N46,"*",'Dry Data'!B3:B46,A8)</f>
        <v>0</v>
      </c>
      <c r="I8" s="18">
        <f>SUMIF('Dry Data'!B3:B46,A8,'Dry Data'!P3:P46)</f>
        <v>0</v>
      </c>
      <c r="J8" s="28" t="e">
        <f t="shared" ref="J8" si="15">I8/H8</f>
        <v>#DIV/0!</v>
      </c>
      <c r="K8" s="29">
        <f>COUNTIFS('Dry Data'!S3:S46,"*",'Dry Data'!B3:B46,A8)</f>
        <v>0</v>
      </c>
      <c r="L8" s="29">
        <f>SUMIF('Dry Data'!B3:B46,A8,'Dry Data'!U3:U46)</f>
        <v>0</v>
      </c>
      <c r="M8" s="30" t="e">
        <f t="shared" ref="M8" si="16">L8/K8</f>
        <v>#DIV/0!</v>
      </c>
      <c r="N8" s="31">
        <f>COUNTIFS('Dry Data'!X3:X46,"*",'Dry Data'!B3:B46,A8)</f>
        <v>0</v>
      </c>
      <c r="O8" s="31">
        <f>SUMIF('Dry Data'!B3:B46,A8,'Dry Data'!Z3:Z46)</f>
        <v>0</v>
      </c>
      <c r="P8" s="32" t="e">
        <f t="shared" ref="P8" si="17">O8/N8</f>
        <v>#DIV/0!</v>
      </c>
      <c r="Q8" s="39">
        <f>COUNTIFS('Dry Data'!AC3:AC46,"*",'Dry Data'!B3:B46,A8)</f>
        <v>0</v>
      </c>
      <c r="R8" s="39">
        <f>SUMIF('Dry Data'!B3:B46,A8,'Dry Data'!AE3:AE46)</f>
        <v>0</v>
      </c>
      <c r="S8" s="40" t="e">
        <f t="shared" ref="S8" si="18">R8/Q8</f>
        <v>#DIV/0!</v>
      </c>
      <c r="T8" s="41">
        <f>COUNTIFS('Dry Data'!AH3:AH46,"*",'Dry Data'!B3:B46,A8)</f>
        <v>0</v>
      </c>
      <c r="U8" s="41">
        <f>SUMIF('Dry Data'!B3:B46,A8,'Dry Data'!AJ3:AJ46)</f>
        <v>0</v>
      </c>
      <c r="V8" s="42" t="e">
        <f t="shared" ref="V8" si="19">U8/T8</f>
        <v>#DIV/0!</v>
      </c>
    </row>
    <row r="9" spans="1:22">
      <c r="A9" s="12" t="s">
        <v>26</v>
      </c>
      <c r="B9" s="13">
        <f>COUNTIFS('Dry Data'!D3:D46,"*",'Dry Data'!B3:B46,A9)</f>
        <v>0</v>
      </c>
      <c r="C9" s="14">
        <f>SUMIF('Dry Data'!B3:B46,A9,'Dry Data'!F3:F46)</f>
        <v>0</v>
      </c>
      <c r="D9" s="15" t="e">
        <f t="shared" si="0"/>
        <v>#DIV/0!</v>
      </c>
      <c r="E9" s="16">
        <f>COUNTIFS('Dry Data'!I3:I46,"*",'Dry Data'!B3:B46,A9)</f>
        <v>0</v>
      </c>
      <c r="F9" s="16">
        <f>SUMIF('Dry Data'!B3:B46,A9,'Dry Data'!K3:K46)</f>
        <v>0</v>
      </c>
      <c r="G9" s="17" t="e">
        <f t="shared" si="1"/>
        <v>#DIV/0!</v>
      </c>
      <c r="H9" s="18">
        <f>COUNTIFS('Dry Data'!N3:N46,"*",'Dry Data'!B3:B46,A9)</f>
        <v>0</v>
      </c>
      <c r="I9" s="18">
        <f>SUMIF('Dry Data'!B3:B46,A9,'Dry Data'!P3:P46)</f>
        <v>0</v>
      </c>
      <c r="J9" s="28" t="e">
        <f t="shared" si="2"/>
        <v>#DIV/0!</v>
      </c>
      <c r="K9" s="29">
        <f>COUNTIFS('Dry Data'!S3:S46,"*",'Dry Data'!B3:B46,A9)</f>
        <v>0</v>
      </c>
      <c r="L9" s="29">
        <f>SUMIF('Dry Data'!B3:B46,A9,'Dry Data'!U3:U46)</f>
        <v>0</v>
      </c>
      <c r="M9" s="30" t="e">
        <f t="shared" si="5"/>
        <v>#DIV/0!</v>
      </c>
      <c r="N9" s="31">
        <f>COUNTIFS('Dry Data'!X3:X46,"*",'Dry Data'!B3:B46,A9)</f>
        <v>0</v>
      </c>
      <c r="O9" s="31">
        <f>SUMIF('Dry Data'!B3:B46,A9,'Dry Data'!Z3:Z46)</f>
        <v>0</v>
      </c>
      <c r="P9" s="32" t="e">
        <f t="shared" si="6"/>
        <v>#DIV/0!</v>
      </c>
      <c r="Q9" s="39">
        <f>COUNTIFS('Dry Data'!AC3:AC46,"*",'Dry Data'!B3:B46,A9)</f>
        <v>0</v>
      </c>
      <c r="R9" s="39">
        <f>SUMIF('Dry Data'!B3:B46,A9,'Dry Data'!AE3:AE46)</f>
        <v>0</v>
      </c>
      <c r="S9" s="40" t="e">
        <f t="shared" si="3"/>
        <v>#DIV/0!</v>
      </c>
      <c r="T9" s="41">
        <f>COUNTIFS('Dry Data'!AH3:AH46,"*",'Dry Data'!B3:B46,A9)</f>
        <v>0</v>
      </c>
      <c r="U9" s="41">
        <f>SUMIF('Dry Data'!B3:B46,A9,'Dry Data'!AJ3:AJ46)</f>
        <v>0</v>
      </c>
      <c r="V9" s="42" t="e">
        <f t="shared" si="4"/>
        <v>#DIV/0!</v>
      </c>
    </row>
    <row r="10" spans="1:22">
      <c r="A10" s="12" t="s">
        <v>25</v>
      </c>
      <c r="B10" s="13">
        <f>COUNTIFS('Dry Data'!D4:D47,"*",'Dry Data'!B4:B47,A10)</f>
        <v>3</v>
      </c>
      <c r="C10" s="14">
        <f>SUMIF('Dry Data'!B4:B47,A10,'Dry Data'!F4:F47)</f>
        <v>12</v>
      </c>
      <c r="D10" s="15">
        <f t="shared" ref="D10:D11" si="20">C10/B10</f>
        <v>4</v>
      </c>
      <c r="E10" s="16">
        <f>COUNTIFS('Dry Data'!I4:I47,"*",'Dry Data'!B4:B47,A10)</f>
        <v>1</v>
      </c>
      <c r="F10" s="16">
        <f>SUMIF('Dry Data'!B4:B47,A10,'Dry Data'!K4:K47)</f>
        <v>2</v>
      </c>
      <c r="G10" s="17">
        <f t="shared" ref="G10:G11" si="21">F10/E10</f>
        <v>2</v>
      </c>
      <c r="H10" s="18">
        <f>COUNTIFS('Dry Data'!N4:N47,"*",'Dry Data'!B4:B47,A10)</f>
        <v>0</v>
      </c>
      <c r="I10" s="18">
        <f>SUMIF('Dry Data'!B4:B47,A10,'Dry Data'!P4:P47)</f>
        <v>0</v>
      </c>
      <c r="J10" s="28" t="e">
        <f t="shared" ref="J10:J11" si="22">I10/H10</f>
        <v>#DIV/0!</v>
      </c>
      <c r="K10" s="29">
        <f>COUNTIFS('Dry Data'!S4:S47,"*",'Dry Data'!B4:B47,A10)</f>
        <v>0</v>
      </c>
      <c r="L10" s="29">
        <f>SUMIF('Dry Data'!B4:B47,A10,'Dry Data'!U4:U47)</f>
        <v>0</v>
      </c>
      <c r="M10" s="30" t="e">
        <f t="shared" ref="M10:M11" si="23">L10/K10</f>
        <v>#DIV/0!</v>
      </c>
      <c r="N10" s="31">
        <f>COUNTIFS('Dry Data'!X4:X47,"*",'Dry Data'!B4:B47,A10)</f>
        <v>0</v>
      </c>
      <c r="O10" s="31">
        <f>SUMIF('Dry Data'!B4:B47,A10,'Dry Data'!Z4:Z47)</f>
        <v>0</v>
      </c>
      <c r="P10" s="32" t="e">
        <f t="shared" ref="P10:P11" si="24">O10/N10</f>
        <v>#DIV/0!</v>
      </c>
      <c r="Q10" s="39">
        <f>COUNTIFS('Dry Data'!AC4:AC47,"*",'Dry Data'!B4:B47,A10)</f>
        <v>3</v>
      </c>
      <c r="R10" s="39">
        <f>SUMIF('Dry Data'!B4:B47,A10,'Dry Data'!AE4:AE47)</f>
        <v>0</v>
      </c>
      <c r="S10" s="40">
        <f t="shared" ref="S10:S11" si="25">R10/Q10</f>
        <v>0</v>
      </c>
      <c r="T10" s="41">
        <f>COUNTIFS('Dry Data'!AH4:AH47,"*",'Dry Data'!B4:B47,A10)</f>
        <v>0</v>
      </c>
      <c r="U10" s="41">
        <f>SUMIF('Dry Data'!B4:B47,A10,'Dry Data'!AJ4:AJ47)</f>
        <v>0</v>
      </c>
      <c r="V10" s="42" t="e">
        <f t="shared" ref="V10:V11" si="26">U10/T10</f>
        <v>#DIV/0!</v>
      </c>
    </row>
    <row r="11" spans="1:22">
      <c r="A11" s="12" t="s">
        <v>31</v>
      </c>
      <c r="B11" s="13">
        <f>COUNTIFS('Dry Data'!D5:D48,"*",'Dry Data'!B5:B48,A11)</f>
        <v>1</v>
      </c>
      <c r="C11" s="14">
        <f>SUMIF('Dry Data'!B5:B48,A11,'Dry Data'!F5:F48)</f>
        <v>6</v>
      </c>
      <c r="D11" s="15">
        <f t="shared" si="20"/>
        <v>6</v>
      </c>
      <c r="E11" s="16">
        <f>COUNTIFS('Dry Data'!I5:I48,"*",'Dry Data'!B5:B48,A11)</f>
        <v>1</v>
      </c>
      <c r="F11" s="16">
        <f>SUMIF('Dry Data'!B5:B48,A11,'Dry Data'!K5:K48)</f>
        <v>7</v>
      </c>
      <c r="G11" s="17">
        <f t="shared" si="21"/>
        <v>7</v>
      </c>
      <c r="H11" s="18">
        <f>COUNTIFS('Dry Data'!N5:N48,"*",'Dry Data'!B5:B48,A11)</f>
        <v>0</v>
      </c>
      <c r="I11" s="18">
        <f>SUMIF('Dry Data'!B5:B48,A11,'Dry Data'!P5:P48)</f>
        <v>0</v>
      </c>
      <c r="J11" s="28" t="e">
        <f t="shared" si="22"/>
        <v>#DIV/0!</v>
      </c>
      <c r="K11" s="29">
        <f>COUNTIFS('Dry Data'!S5:S48,"*",'Dry Data'!B5:B48,A11)</f>
        <v>0</v>
      </c>
      <c r="L11" s="29">
        <f>SUMIF('Dry Data'!B5:B48,A11,'Dry Data'!U5:U48)</f>
        <v>0</v>
      </c>
      <c r="M11" s="30" t="e">
        <f t="shared" si="23"/>
        <v>#DIV/0!</v>
      </c>
      <c r="N11" s="31">
        <f>COUNTIFS('Dry Data'!X5:X48,"*",'Dry Data'!B5:B48,A11)</f>
        <v>0</v>
      </c>
      <c r="O11" s="31">
        <f>SUMIF('Dry Data'!B5:B48,A11,'Dry Data'!Z5:Z48)</f>
        <v>0</v>
      </c>
      <c r="P11" s="32" t="e">
        <f t="shared" si="24"/>
        <v>#DIV/0!</v>
      </c>
      <c r="Q11" s="39">
        <f>COUNTIFS('Dry Data'!AC5:AC48,"*",'Dry Data'!B5:B48,A11)</f>
        <v>1</v>
      </c>
      <c r="R11" s="39">
        <f>SUMIF('Dry Data'!B5:B48,A11,'Dry Data'!AE5:AE48)</f>
        <v>0</v>
      </c>
      <c r="S11" s="40">
        <f t="shared" si="25"/>
        <v>0</v>
      </c>
      <c r="T11" s="41">
        <f>COUNTIFS('Dry Data'!AH5:AH48,"*",'Dry Data'!B5:B48,A11)</f>
        <v>0</v>
      </c>
      <c r="U11" s="41">
        <f>SUMIF('Dry Data'!B5:B48,A11,'Dry Data'!AJ5:AJ48)</f>
        <v>0</v>
      </c>
      <c r="V11" s="42" t="e">
        <f t="shared" si="26"/>
        <v>#DIV/0!</v>
      </c>
    </row>
    <row r="12" spans="1:22">
      <c r="A12" s="12" t="s">
        <v>24</v>
      </c>
      <c r="B12" s="13">
        <f>COUNTIFS('Dry Data'!D3:D46,"*",'Dry Data'!B3:B46,A12)</f>
        <v>0</v>
      </c>
      <c r="C12" s="14">
        <f>SUMIF('Dry Data'!B3:B46,A12,'Dry Data'!F3:F46)</f>
        <v>0</v>
      </c>
      <c r="D12" s="15" t="e">
        <f t="shared" ref="D12" si="27">C12/B12</f>
        <v>#DIV/0!</v>
      </c>
      <c r="E12" s="16">
        <f>COUNTIFS('Dry Data'!I3:I46,"*",'Dry Data'!B3:B46,A12)</f>
        <v>0</v>
      </c>
      <c r="F12" s="16">
        <f>SUMIF('Dry Data'!B3:B46,A12,'Dry Data'!K3:K46)</f>
        <v>0</v>
      </c>
      <c r="G12" s="17" t="e">
        <f t="shared" ref="G12" si="28">F12/E12</f>
        <v>#DIV/0!</v>
      </c>
      <c r="H12" s="18">
        <f>COUNTIFS('Dry Data'!N3:N46,"*",'Dry Data'!B3:B46,A12)</f>
        <v>0</v>
      </c>
      <c r="I12" s="18">
        <f>SUMIF('Dry Data'!B3:B46,A12,'Dry Data'!P3:P46)</f>
        <v>0</v>
      </c>
      <c r="J12" s="28" t="e">
        <f t="shared" ref="J12" si="29">I12/H12</f>
        <v>#DIV/0!</v>
      </c>
      <c r="K12" s="29">
        <f>COUNTIFS('Dry Data'!S3:S46,"*",'Dry Data'!B3:B46,A12)</f>
        <v>0</v>
      </c>
      <c r="L12" s="29">
        <f>SUMIF('Dry Data'!B3:B46,A12,'Dry Data'!U3:U46)</f>
        <v>0</v>
      </c>
      <c r="M12" s="30" t="e">
        <f t="shared" ref="M12" si="30">L12/K12</f>
        <v>#DIV/0!</v>
      </c>
      <c r="N12" s="31">
        <f>COUNTIFS('Dry Data'!X3:X46,"*",'Dry Data'!B3:B46,A12)</f>
        <v>0</v>
      </c>
      <c r="O12" s="31">
        <f>SUMIF('Dry Data'!B3:B46,A12,'Dry Data'!Z3:Z46)</f>
        <v>0</v>
      </c>
      <c r="P12" s="32" t="e">
        <f t="shared" ref="P12" si="31">O12/N12</f>
        <v>#DIV/0!</v>
      </c>
      <c r="Q12" s="39">
        <f>COUNTIFS('Dry Data'!AC3:AC46,"*",'Dry Data'!B3:B46,A12)</f>
        <v>0</v>
      </c>
      <c r="R12" s="39">
        <f>SUMIF('Dry Data'!B3:B46,A12,'Dry Data'!AE3:AE46)</f>
        <v>0</v>
      </c>
      <c r="S12" s="40" t="e">
        <f t="shared" ref="S12" si="32">R12/Q12</f>
        <v>#DIV/0!</v>
      </c>
      <c r="T12" s="41">
        <f>COUNTIFS('Dry Data'!AH3:AH46,"*",'Dry Data'!B3:B46,A12)</f>
        <v>0</v>
      </c>
      <c r="U12" s="41">
        <f>SUMIF('Dry Data'!B3:B46,A12,'Dry Data'!AJ3:AJ46)</f>
        <v>0</v>
      </c>
      <c r="V12" s="42" t="e">
        <f t="shared" ref="V12" si="33">U12/T12</f>
        <v>#DIV/0!</v>
      </c>
    </row>
    <row r="13" spans="1:22">
      <c r="A13" s="20" t="s">
        <v>35</v>
      </c>
      <c r="B13" s="13">
        <f>COUNTIFS('Dry Data'!D3:D46,"*",'Dry Data'!B3:B46,A13)</f>
        <v>1</v>
      </c>
      <c r="C13" s="14">
        <f>SUMIF('Dry Data'!B3:B46,A13,'Dry Data'!F3:F46)</f>
        <v>3</v>
      </c>
      <c r="D13" s="15">
        <f t="shared" ref="D13" si="34">C13/B13</f>
        <v>3</v>
      </c>
      <c r="E13" s="16">
        <f>COUNTIFS('Dry Data'!I3:I46,"*",'Dry Data'!B3:B46,A13)</f>
        <v>1</v>
      </c>
      <c r="F13" s="16">
        <f>SUMIF('Dry Data'!B3:B46,A13,'Dry Data'!K3:K46)</f>
        <v>5</v>
      </c>
      <c r="G13" s="17">
        <f t="shared" ref="G13" si="35">F13/E13</f>
        <v>5</v>
      </c>
      <c r="H13" s="18">
        <f>COUNTIFS('Dry Data'!N3:N46,"*",'Dry Data'!B3:B46,A13)</f>
        <v>0</v>
      </c>
      <c r="I13" s="18">
        <f>SUMIF('Dry Data'!B3:B46,A13,'Dry Data'!P3:P46)</f>
        <v>0</v>
      </c>
      <c r="J13" s="28" t="e">
        <f t="shared" ref="J13" si="36">I13/H13</f>
        <v>#DIV/0!</v>
      </c>
      <c r="K13" s="29">
        <f>COUNTIFS('Dry Data'!S3:S46,"*",'Dry Data'!B3:B46,A13)</f>
        <v>0</v>
      </c>
      <c r="L13" s="29">
        <f>SUMIF('Dry Data'!B3:B46,A13,'Dry Data'!U3:U46)</f>
        <v>0</v>
      </c>
      <c r="M13" s="30" t="e">
        <f t="shared" ref="M13" si="37">L13/K13</f>
        <v>#DIV/0!</v>
      </c>
      <c r="N13" s="31">
        <f>COUNTIFS('Dry Data'!X3:X46,"*",'Dry Data'!B3:B46,A13)</f>
        <v>0</v>
      </c>
      <c r="O13" s="31">
        <f>SUMIF('Dry Data'!B3:B46,A13,'Dry Data'!Z3:Z46)</f>
        <v>0</v>
      </c>
      <c r="P13" s="32" t="e">
        <f t="shared" ref="P13" si="38">O13/N13</f>
        <v>#DIV/0!</v>
      </c>
      <c r="Q13" s="39">
        <f>COUNTIFS('Dry Data'!AC3:AC46,"*",'Dry Data'!B3:B46,A13)</f>
        <v>1</v>
      </c>
      <c r="R13" s="39">
        <f>SUMIF('Dry Data'!B3:B46,A13,'Dry Data'!AE3:AE46)</f>
        <v>0</v>
      </c>
      <c r="S13" s="40">
        <f t="shared" ref="S13" si="39">R13/Q13</f>
        <v>0</v>
      </c>
      <c r="T13" s="41">
        <f>COUNTIFS('Dry Data'!AH3:AH46,"*",'Dry Data'!B3:B46,A13)</f>
        <v>0</v>
      </c>
      <c r="U13" s="41">
        <f>SUMIF('Dry Data'!B3:B46,A13,'Dry Data'!AJ3:AJ46)</f>
        <v>0</v>
      </c>
      <c r="V13" s="42" t="e">
        <f t="shared" si="4"/>
        <v>#DIV/0!</v>
      </c>
    </row>
  </sheetData>
  <sheetProtection algorithmName="SHA-512" hashValue="dXaAZ6P8ujvCiOcVvR2UWjeaWLj6RHAkIpUh+ETwVRVHIJSvB1h8Q/HYb5BKaqz5qvsfXwVvkNMeIpfZmulj3Q==" saltValue="R8h0w8ImrLQHiXVIGMGX3w==" spinCount="100000" sheet="1" objects="1" scenarios="1"/>
  <mergeCells count="7">
    <mergeCell ref="B1:D1"/>
    <mergeCell ref="E1:G1"/>
    <mergeCell ref="H1:J1"/>
    <mergeCell ref="K1:M1"/>
    <mergeCell ref="N1:P1"/>
    <mergeCell ref="Q1:S1"/>
    <mergeCell ref="T1:V1"/>
  </mergeCells>
  <dataValidations count="1">
    <dataValidation type="list" allowBlank="1" showInputMessage="1" showErrorMessage="1" sqref="A3:A13">
      <formula1>MarineSuperintendent</formula1>
    </dataValidation>
  </dataValidations>
  <pageMargins left="0.7" right="0.7" top="0.75" bottom="0.75" header="0.3" footer="0.3"/>
  <pageSetup paperSize="9" orientation="portrait" verticalDpi="90"/>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K77" sqref="AK77"/>
    </sheetView>
  </sheetViews>
  <sheetFormatPr defaultColWidth="9" defaultRowHeight="15"/>
  <sheetData/>
  <sheetProtection algorithmName="SHA-512" hashValue="Z8BbSLZLhLMEtAz2JGDJ9tPfYX1VVM8sEdQXiS0xAd9ezLQV+XKWfH5U0xkJgBdxpG1xFQG/uuVTtcOzBA1f3w==" saltValue="lX9D3rLtFQSzrAPcMe5AFQ==" spinCount="100000" sheet="1" objects="1" scenarios="1"/>
  <pageMargins left="0.7" right="0.7" top="0.75" bottom="0.75" header="0.3" footer="0.3"/>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opLeftCell="A58" workbookViewId="0">
      <selection activeCell="Z20" sqref="Z20"/>
    </sheetView>
  </sheetViews>
  <sheetFormatPr defaultColWidth="9" defaultRowHeight="15"/>
  <sheetData/>
  <sheetProtection algorithmName="SHA-512" hashValue="YRLQXZcolBDXxuhUhHMCTdiNNqAYWNzSRtK8CIDykn6DQAIEpYmZgTBfmGNrfSdei9frNRhD9rWGLhSWcQ1x9A==" saltValue="ZoRWMR1De8dKQk76dVqi5Q==" spinCount="100000" sheet="1" objects="1" scenarios="1"/>
  <pageMargins left="0.7" right="0.7" top="0.75" bottom="0.75" header="0.3" footer="0.3"/>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rangeList sheetStid="26" master="" otherUserPermission="visible"/>
  <rangeList sheetStid="2" master="" otherUserPermission="visible"/>
  <rangeList sheetStid="4" master="" otherUserPermission="visible"/>
  <rangeList sheetStid="7" master="" otherUserPermission="visible"/>
  <rangeList sheetStid="9" master="" otherUserPermission="visible"/>
  <rangeList sheetStid="25" master="" otherUserPermission="visible"/>
  <rangeList sheetStid="14" master="" otherUserPermission="visible"/>
  <rangeList sheetStid="17" master="" otherUserPermission="visible"/>
  <rangeList sheetStid="15" master="" otherUserPermission="visible"/>
  <rangeList sheetStid="16" master="" otherUserPermission="visible"/>
  <rangeList sheetStid="21" master="" otherUserPermission="visible"/>
  <rangeList sheetStid="19" master="" otherUserPermission="visible"/>
  <rangeList sheetStid="20" master="" otherUserPermission="visible"/>
  <rangeList sheetStid="22" master="" otherUserPermission="visible"/>
  <rangeList sheetStid="18" master="" otherUserPermission="visible"/>
  <rangeList sheetStid="11" master="" otherUserPermission="visible"/>
  <rangeList sheetStid="8" master="" otherUserPermission="visible"/>
  <rangeList sheetStid="23" master="" otherUserPermission="visible"/>
  <rangeList sheetStid="2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20</vt:i4>
      </vt:variant>
    </vt:vector>
  </HeadingPairs>
  <TitlesOfParts>
    <vt:vector size="20" baseType="lpstr">
      <vt:lpstr>Guide</vt:lpstr>
      <vt:lpstr>IA Planner</vt:lpstr>
      <vt:lpstr> IA-SI DRY</vt:lpstr>
      <vt:lpstr>IA-SI  TANKER</vt:lpstr>
      <vt:lpstr>Dry Data</vt:lpstr>
      <vt:lpstr>Tanker Data</vt:lpstr>
      <vt:lpstr>Int.Aud. Category</vt:lpstr>
      <vt:lpstr>Saf.Insp.category</vt:lpstr>
      <vt:lpstr>Nav.Audit Comparison</vt:lpstr>
      <vt:lpstr>Int Audit fleet graph</vt:lpstr>
      <vt:lpstr>Saf Insp fleet Graph</vt:lpstr>
      <vt:lpstr>IA-Deficiencies</vt:lpstr>
      <vt:lpstr>Int Audit Year Tank-Dry</vt:lpstr>
      <vt:lpstr>Saf. Insp. Year Tank-Dry </vt:lpstr>
      <vt:lpstr>SI-Deficiencies </vt:lpstr>
      <vt:lpstr>Nav Audit Graph</vt:lpstr>
      <vt:lpstr>Tanker Graph by inspector</vt:lpstr>
      <vt:lpstr>Dry Graph By Ispector </vt:lpstr>
      <vt:lpstr>Rem-Nc-Obs Tanker</vt:lpstr>
      <vt:lpstr>Rem-Nc-Obs Dry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barone</dc:creator>
  <cp:lastModifiedBy>mathias.n</cp:lastModifiedBy>
  <dcterms:created xsi:type="dcterms:W3CDTF">2011-12-01T10:18:00Z</dcterms:created>
  <cp:lastPrinted>2023-07-03T07:12:00Z</cp:lastPrinted>
  <dcterms:modified xsi:type="dcterms:W3CDTF">2025-05-28T09:28:58Z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97AC0CC4FE9249319BAE70C4E73E41BB_12</vt:lpwstr>
  </property>
  <property fmtid="{D5CDD505-2E9C-101B-9397-08002B2CF9AE}" pid="3" name="KSOProductBuildVer">
    <vt:lpwstr>1033-12.2.0.21179</vt:lpwstr>
  </property>
</Properties>
</file>